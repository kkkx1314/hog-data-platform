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91"/>
  </bookViews>
  <sheets>
    <sheet name="官方数据库·目录" sheetId="48" r:id="rId1"/>
    <sheet name="官方-猪粮比" sheetId="47" r:id="rId2"/>
    <sheet name="官方-农业部能繁母猪同环比" sheetId="19" r:id="rId3"/>
    <sheet name="官方-统计局2020数据" sheetId="32" r:id="rId4"/>
    <sheet name="能繁母猪存栏量 统计局" sheetId="49" r:id="rId5"/>
    <sheet name="官方-生猪出栏量" sheetId="50" r:id="rId6"/>
    <sheet name="官方-生猪存栏量" sheetId="33" r:id="rId7"/>
    <sheet name="官方-商务部月度屠宰量" sheetId="34" r:id="rId8"/>
    <sheet name="官方-屠宰企业个数" sheetId="35" r:id="rId9"/>
    <sheet name="官方-季度猪肉产量" sheetId="54" r:id="rId10"/>
    <sheet name="官方-2018年各省份猪肉产量" sheetId="36" r:id="rId11"/>
    <sheet name="官方-肉类生产结构历史数据" sheetId="37" r:id="rId12"/>
    <sheet name="官方-猪肉消费与价格" sheetId="38" r:id="rId13"/>
    <sheet name="36城零售价" sheetId="51" r:id="rId14"/>
    <sheet name="收放储" sheetId="52" r:id="rId15"/>
    <sheet name="官方-猪肉（白条猪）价格" sheetId="55" r:id="rId16"/>
  </sheets>
  <definedNames>
    <definedName name="ExternalData_1" localSheetId="7">'官方-商务部月度屠宰量'!#REF!</definedName>
    <definedName name="ExternalData_2" localSheetId="7">'官方-商务部月度屠宰量'!$A$3:$B$137</definedName>
    <definedName name="ExternalData_2" localSheetId="6">'官方-生猪存栏量'!$A$2:$A$124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zhengll</author>
    <author>Administrator</author>
  </authors>
  <commentList>
    <comment ref="B65" authorId="0">
      <text>
        <r>
          <rPr>
            <b/>
            <sz val="9"/>
            <rFont val="宋体"/>
            <charset val="134"/>
          </rPr>
          <t>zhengll:</t>
        </r>
        <r>
          <rPr>
            <sz val="9"/>
            <rFont val="宋体"/>
            <charset val="134"/>
          </rPr>
          <t xml:space="preserve">
公布数据</t>
        </r>
      </text>
    </comment>
    <comment ref="C65" authorId="0">
      <text>
        <r>
          <rPr>
            <b/>
            <sz val="9"/>
            <rFont val="宋体"/>
            <charset val="134"/>
          </rPr>
          <t>zhengll:</t>
        </r>
        <r>
          <rPr>
            <sz val="9"/>
            <rFont val="宋体"/>
            <charset val="134"/>
          </rPr>
          <t xml:space="preserve">
公告</t>
        </r>
      </text>
    </comment>
    <comment ref="B75" authorId="1">
      <text>
        <r>
          <rPr>
            <sz val="9"/>
            <rFont val="宋体"/>
            <charset val="134"/>
          </rPr>
          <t>相当于正常保有量
的108.8%，产能大
幅增加，处于黄色区域</t>
        </r>
      </text>
    </comment>
    <comment ref="D7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原数值-2.3%为官方公布季度环比，现根据总量计算替换月度环比-0.91%</t>
        </r>
      </text>
    </comment>
    <comment ref="B76" authorId="1">
      <text>
        <r>
          <rPr>
            <sz val="9"/>
            <rFont val="宋体"/>
            <charset val="134"/>
          </rPr>
          <t>相当于正常保有量
的106%，产能大
幅增加，处于黄色区域</t>
        </r>
      </text>
    </comment>
    <comment ref="B77" authorId="1">
      <text>
        <r>
          <rPr>
            <sz val="9"/>
            <rFont val="宋体"/>
            <charset val="134"/>
          </rPr>
          <t>相当于正常保有量
的104.8%，产能
正常波动，处于绿色区域</t>
        </r>
      </text>
    </comment>
    <comment ref="B78" authorId="1">
      <text>
        <r>
          <rPr>
            <sz val="9"/>
            <rFont val="宋体"/>
            <charset val="134"/>
          </rPr>
          <t>相当于正常保有量
的105.6%，产能大
幅增加，处于黄色区域</t>
        </r>
      </text>
    </comment>
    <comment ref="D7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原数值-2.9%为官方公布季度环比，现根据总量计算替换月度环比0.77%</t>
        </r>
      </text>
    </comment>
    <comment ref="B79" authorId="1">
      <text>
        <r>
          <rPr>
            <sz val="9"/>
            <rFont val="宋体"/>
            <charset val="134"/>
          </rPr>
          <t>相当于正常保有量
的104.6%，产能
正常波动，处于绿色区域</t>
        </r>
      </text>
    </comment>
    <comment ref="B80" authorId="1">
      <text>
        <r>
          <rPr>
            <sz val="9"/>
            <rFont val="宋体"/>
            <charset val="134"/>
          </rPr>
          <t>相当于正常保有量
的104.1%，产能
正常，处于绿色区域</t>
        </r>
      </text>
    </comment>
    <comment ref="D81" authorId="1">
      <text>
        <r>
          <rPr>
            <sz val="9"/>
            <rFont val="宋体"/>
            <charset val="134"/>
          </rPr>
          <t>根据官方季度数值推算</t>
        </r>
      </text>
    </comment>
    <comment ref="D82" authorId="1">
      <text>
        <r>
          <rPr>
            <sz val="9"/>
            <rFont val="宋体"/>
            <charset val="134"/>
          </rPr>
          <t>相当于正常保有量
的101.9%，产能
正常，处于绿色区域</t>
        </r>
      </text>
    </comment>
    <comment ref="D83" authorId="1">
      <text>
        <r>
          <rPr>
            <sz val="9"/>
            <rFont val="宋体"/>
            <charset val="134"/>
          </rPr>
          <t>相当于正常保有量
的102.2%，产能
正常，处于绿色区域</t>
        </r>
      </text>
    </comment>
    <comment ref="B8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7月15日统计局官方信息公布</t>
        </r>
      </text>
    </comment>
    <comment ref="D84" authorId="1">
      <text>
        <r>
          <rPr>
            <sz val="9"/>
            <rFont val="宋体"/>
            <charset val="134"/>
          </rPr>
          <t>根据官方季度数值推算</t>
        </r>
      </text>
    </comment>
    <comment ref="D85" authorId="1">
      <text>
        <r>
          <rPr>
            <sz val="9"/>
            <rFont val="宋体"/>
            <charset val="134"/>
          </rPr>
          <t>相当于正常保有量
的104.8%，产能
正常，处于绿色区域</t>
        </r>
      </text>
    </comment>
    <comment ref="D86" authorId="1">
      <text>
        <r>
          <rPr>
            <sz val="9"/>
            <rFont val="宋体"/>
            <charset val="134"/>
          </rPr>
          <t>相当于正常保有量
的105.5%，产能
大幅增加，处于黄色区域</t>
        </r>
      </text>
    </comment>
    <comment ref="D87" authorId="1">
      <text>
        <r>
          <rPr>
            <sz val="9"/>
            <rFont val="宋体"/>
            <charset val="134"/>
          </rPr>
          <t xml:space="preserve">根据官方季度数值推算
</t>
        </r>
      </text>
    </comment>
    <comment ref="D88" authorId="1">
      <text>
        <r>
          <rPr>
            <sz val="9"/>
            <rFont val="宋体"/>
            <charset val="134"/>
          </rPr>
          <t>相当于正常保有量
的106.8%，产能
大幅增加，处于黄色区域</t>
        </r>
      </text>
    </comment>
    <comment ref="D89" authorId="1">
      <text>
        <r>
          <rPr>
            <sz val="9"/>
            <rFont val="宋体"/>
            <charset val="134"/>
          </rPr>
          <t>相当于正常保有量
的107%，产能
大幅增加，处于黄色区域</t>
        </r>
      </text>
    </comment>
    <comment ref="D90" authorId="1">
      <text>
        <r>
          <rPr>
            <sz val="9"/>
            <rFont val="宋体"/>
            <charset val="134"/>
          </rPr>
          <t>根据官方季度数值推算；
相当于正常保有量
的107%，产能
大幅增加，处于黄色区域</t>
        </r>
      </text>
    </comment>
    <comment ref="D91" authorId="1">
      <text>
        <r>
          <rPr>
            <sz val="9"/>
            <rFont val="宋体"/>
            <charset val="134"/>
          </rPr>
          <t>相当于正常保有量
的106.5%，产能
大幅增加，处于黄色区域</t>
        </r>
      </text>
    </comment>
    <comment ref="D92" authorId="1">
      <text>
        <r>
          <rPr>
            <sz val="9"/>
            <rFont val="宋体"/>
            <charset val="134"/>
          </rPr>
          <t>相当于正常保有量
的105.9%，产能
大幅增加，处于黄色区域</t>
        </r>
      </text>
    </comment>
    <comment ref="D93" authorId="1">
      <text>
        <r>
          <rPr>
            <sz val="9"/>
            <rFont val="宋体"/>
            <charset val="134"/>
          </rPr>
          <t>根据官方季度数推算</t>
        </r>
      </text>
    </comment>
    <comment ref="D9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根据官方季度数推算</t>
        </r>
      </text>
    </comment>
    <comment ref="D99" authorId="1">
      <text>
        <r>
          <rPr>
            <sz val="9"/>
            <rFont val="宋体"/>
            <charset val="134"/>
          </rPr>
          <t xml:space="preserve">根据官方季度数推算
</t>
        </r>
      </text>
    </comment>
    <comment ref="D10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根据官方季度数推算</t>
        </r>
      </text>
    </comment>
    <comment ref="D10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根据官方季度数推算</t>
        </r>
      </text>
    </comment>
    <comment ref="B12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统计局年末数据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I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此为起拍价</t>
        </r>
      </text>
    </comment>
    <comment ref="I6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起拍价21400</t>
        </r>
      </text>
    </comment>
    <comment ref="E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西藏库</t>
        </r>
      </text>
    </comment>
    <comment ref="E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西藏库</t>
        </r>
      </text>
    </comment>
    <comment ref="O71" authorId="0">
      <text>
        <r>
          <rPr>
            <b/>
            <sz val="9"/>
            <rFont val="宋体"/>
            <charset val="134"/>
          </rPr>
          <t xml:space="preserve">成交价格
</t>
        </r>
        <r>
          <rPr>
            <sz val="9"/>
            <rFont val="宋体"/>
            <charset val="134"/>
          </rPr>
          <t>肋排：22180-25500
中方：20810-21810
4号肉：最低14650，最高15690</t>
        </r>
      </text>
    </comment>
    <comment ref="O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2号肉大概13左右
4号肉14.5左右
中方21左右</t>
        </r>
      </text>
    </comment>
    <comment ref="O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2号肉起拍价14300，成交14300成交少
4号肉起拍价14400，成交14400-15100
中方起拍价18800，成交20960-21740</t>
        </r>
      </text>
    </comment>
    <comment ref="R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4号肉成交价
</t>
        </r>
      </text>
    </comment>
    <comment ref="N9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国产27650吨+进口105.66吨</t>
        </r>
      </text>
    </comment>
    <comment ref="N10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24年6-8月起拍价是9940元/吨；24年9-10月份的起拍价是11230元/吨</t>
        </r>
      </text>
    </comment>
    <comment ref="R10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起拍价9090</t>
        </r>
      </text>
    </comment>
  </commentList>
</comments>
</file>

<file path=xl/connections.xml><?xml version="1.0" encoding="utf-8"?>
<connections xmlns="http://schemas.openxmlformats.org/spreadsheetml/2006/main">
  <connection id="1" name="连接" type="7" background="1" savePassword="1" refreshedVersion="2" saveData="1"/>
  <connection id="2" name="连接1" type="7" background="1" savePassword="1" refreshedVersion="2" saveData="1"/>
  <connection id="3" name="连接3" type="7" background="1" savePassword="1" refreshedVersion="2" saveData="1"/>
</connections>
</file>

<file path=xl/sharedStrings.xml><?xml version="1.0" encoding="utf-8"?>
<sst xmlns="http://schemas.openxmlformats.org/spreadsheetml/2006/main" count="1206" uniqueCount="450">
  <si>
    <t>涌益咨询·官方数据整理索引</t>
  </si>
  <si>
    <t>官方-猪粮比</t>
  </si>
  <si>
    <t>官方-农业部能繁母猪同环比</t>
  </si>
  <si>
    <t>官方-统计局2020数据</t>
  </si>
  <si>
    <t>能繁母猪存栏量 统计局</t>
  </si>
  <si>
    <t>官方-生猪出栏量</t>
  </si>
  <si>
    <t>官方-生猪存栏量</t>
  </si>
  <si>
    <t>官方-商务部月度屠宰量</t>
  </si>
  <si>
    <t>官方-屠宰企业个数</t>
  </si>
  <si>
    <t>官方-2018年各省份猪肉产量</t>
  </si>
  <si>
    <t>官方-肉类生产结构历史数据</t>
  </si>
  <si>
    <t>官方-猪肉消费与价格</t>
  </si>
  <si>
    <t>36城零售价</t>
  </si>
  <si>
    <t>收放储</t>
  </si>
  <si>
    <t>官方-季度猪肉产量</t>
  </si>
  <si>
    <t>猪肉(白条猪)农业部发布</t>
  </si>
  <si>
    <t>猪粮比价为发展改革委统计调查监测数据，是全国生猪出场价格与全国玉米批发价格的比值。</t>
  </si>
  <si>
    <t>猪粮比价</t>
  </si>
  <si>
    <t>猪粮比（中国）发改委</t>
  </si>
  <si>
    <t>猪肉储备预警调节机制</t>
  </si>
  <si>
    <t>指标</t>
  </si>
  <si>
    <t>数值</t>
  </si>
  <si>
    <t>环比</t>
  </si>
  <si>
    <t>同比</t>
  </si>
  <si>
    <t>时间</t>
  </si>
  <si>
    <t>猪粮比</t>
  </si>
  <si>
    <t>生猪价格</t>
  </si>
  <si>
    <t>玉米价格</t>
  </si>
  <si>
    <t>过度下跌</t>
  </si>
  <si>
    <t>预警分级</t>
  </si>
  <si>
    <t>储备调节</t>
  </si>
  <si>
    <t>三级预警</t>
  </si>
  <si>
    <r>
      <rPr>
        <sz val="11"/>
        <color theme="1"/>
        <rFont val="宋体"/>
        <charset val="134"/>
      </rPr>
      <t>猪粮比价低于</t>
    </r>
    <r>
      <rPr>
        <sz val="11"/>
        <rFont val="宋体"/>
        <charset val="134"/>
      </rPr>
      <t>6:1</t>
    </r>
  </si>
  <si>
    <t>暂不启动临时储备收储</t>
  </si>
  <si>
    <t>二级预警</t>
  </si>
  <si>
    <t>猪粮比价连续3周处于5:1-6:1，
或能繁母猪存栏量单月同比降幅达到5%，
或能繁母猪存栏量连续3个月累计降幅在5%-10%时</t>
  </si>
  <si>
    <t>视情启动</t>
  </si>
  <si>
    <t>一级预警</t>
  </si>
  <si>
    <t>当猪粮比价低于5:1, 
或能繁母猪存栏量单月同比降幅达到10%，
或能繁母猪存栏量连续3个月累计降幅超过10%时。</t>
  </si>
  <si>
    <t>启动临时收储</t>
  </si>
  <si>
    <t>过度上涨</t>
  </si>
  <si>
    <t>当猪粮比价高于9:1时，</t>
  </si>
  <si>
    <t>暂不启动储备投放</t>
  </si>
  <si>
    <t>当猪粮比价连续2周处于10:1-12:1，
或36个大中城市精瘦肉零售价格当周平均价同比涨幅在30%-40%之间</t>
  </si>
  <si>
    <t>启动储备投放</t>
  </si>
  <si>
    <t>当猪粮比价高于12:1，
或36个大中城市精瘦肉零售价格当周平均价同比涨幅超过40%时</t>
  </si>
  <si>
    <t>加大投放力度</t>
  </si>
  <si>
    <t>单位：万头</t>
  </si>
  <si>
    <t>能繁母猪存栏量（农业部）</t>
  </si>
  <si>
    <t>各省年末能繁母猪存栏量（万头）官方</t>
  </si>
  <si>
    <t>备注：测算量为延续农业部2015年能繁母猪绝对量及环比走势，然后计算出来当下的绝对量；官方公布总量为2020年11月以后官方调整口径后统一对外口径的数据</t>
  </si>
  <si>
    <t>省份</t>
  </si>
  <si>
    <t>2016年末</t>
  </si>
  <si>
    <t>2017年末</t>
  </si>
  <si>
    <t>2018年末</t>
  </si>
  <si>
    <t>2019年末</t>
  </si>
  <si>
    <t>2020年末</t>
  </si>
  <si>
    <t>2021年末</t>
  </si>
  <si>
    <t>2022年末</t>
  </si>
  <si>
    <t>2023年末</t>
  </si>
  <si>
    <t>2024年末</t>
  </si>
  <si>
    <t>2025年末</t>
  </si>
  <si>
    <t>月份</t>
  </si>
  <si>
    <t>官方公布总量</t>
  </si>
  <si>
    <t>官方公布同比</t>
  </si>
  <si>
    <t>内蒙古</t>
  </si>
  <si>
    <t>--</t>
  </si>
  <si>
    <t>吉林省</t>
  </si>
  <si>
    <t>黑龙江省</t>
  </si>
  <si>
    <t>辽宁省</t>
  </si>
  <si>
    <t>河南省</t>
  </si>
  <si>
    <t>河北省</t>
  </si>
  <si>
    <t>山东省</t>
  </si>
  <si>
    <t>江苏省</t>
  </si>
  <si>
    <t>安徽省</t>
  </si>
  <si>
    <t>浙江省</t>
  </si>
  <si>
    <t>湖北省</t>
  </si>
  <si>
    <t>湖南省</t>
  </si>
  <si>
    <t>江西省</t>
  </si>
  <si>
    <t>福建省</t>
  </si>
  <si>
    <t>广东省</t>
  </si>
  <si>
    <t>广西省</t>
  </si>
  <si>
    <t>四川省</t>
  </si>
  <si>
    <t>贵州省</t>
  </si>
  <si>
    <t>云南省</t>
  </si>
  <si>
    <t>重庆</t>
  </si>
  <si>
    <t>***</t>
  </si>
  <si>
    <t>山西</t>
  </si>
  <si>
    <t>陕西</t>
  </si>
  <si>
    <t>青海</t>
  </si>
  <si>
    <t>新疆</t>
  </si>
  <si>
    <t>西藏</t>
  </si>
  <si>
    <t>天津</t>
  </si>
  <si>
    <t>官方口径全国</t>
  </si>
  <si>
    <t>最早农业部口径</t>
  </si>
  <si>
    <t>农业部统计局</t>
  </si>
  <si>
    <t>空白处为未查询到数据的</t>
  </si>
  <si>
    <t>暂未公布</t>
  </si>
  <si>
    <t>——</t>
  </si>
  <si>
    <t>2020年中国各省市猪肉产量及生猪出栏量、存栏量汇总（单位∶万吨，万头）</t>
  </si>
  <si>
    <t>省市</t>
  </si>
  <si>
    <t>产量</t>
  </si>
  <si>
    <t>出栏量</t>
  </si>
  <si>
    <t>存栏量</t>
  </si>
  <si>
    <t>（万吨）</t>
  </si>
  <si>
    <t>（万头）</t>
  </si>
  <si>
    <t>北京</t>
  </si>
  <si>
    <t>/</t>
  </si>
  <si>
    <t>湖北</t>
  </si>
  <si>
    <t>194.0</t>
  </si>
  <si>
    <t>湖南</t>
  </si>
  <si>
    <t>337.7</t>
  </si>
  <si>
    <t>4658.9</t>
  </si>
  <si>
    <t>3734.6</t>
  </si>
  <si>
    <t>河北</t>
  </si>
  <si>
    <t>226.9</t>
  </si>
  <si>
    <t>1748.8</t>
  </si>
  <si>
    <t>广东</t>
  </si>
  <si>
    <t>192.4</t>
  </si>
  <si>
    <t>2537.4</t>
  </si>
  <si>
    <t>1767.3</t>
  </si>
  <si>
    <t>年份</t>
  </si>
  <si>
    <t>生猪出栏量（万头）</t>
  </si>
  <si>
    <t>生猪存栏量（万头）</t>
  </si>
  <si>
    <t>能繁母猪存栏量（万头）</t>
  </si>
  <si>
    <t>62.8</t>
  </si>
  <si>
    <t>797.6</t>
  </si>
  <si>
    <t>569.4</t>
  </si>
  <si>
    <t>广西</t>
  </si>
  <si>
    <t>174.1</t>
  </si>
  <si>
    <t>2281.2</t>
  </si>
  <si>
    <t>1828.3</t>
  </si>
  <si>
    <t>61.4</t>
  </si>
  <si>
    <t>534.1</t>
  </si>
  <si>
    <t>海南</t>
  </si>
  <si>
    <t>20.9</t>
  </si>
  <si>
    <t>262.3</t>
  </si>
  <si>
    <t>248.6</t>
  </si>
  <si>
    <t>辽宁</t>
  </si>
  <si>
    <t>183.5</t>
  </si>
  <si>
    <t>2175.2</t>
  </si>
  <si>
    <t>1284.2</t>
  </si>
  <si>
    <t>1434.5</t>
  </si>
  <si>
    <t>1082.9</t>
  </si>
  <si>
    <t>吉林</t>
  </si>
  <si>
    <t>105.0</t>
  </si>
  <si>
    <t>1321.6</t>
  </si>
  <si>
    <t>899.1</t>
  </si>
  <si>
    <t>四川</t>
  </si>
  <si>
    <t>394.8</t>
  </si>
  <si>
    <t>5614.4</t>
  </si>
  <si>
    <t>3875.4</t>
  </si>
  <si>
    <t>黑龙江</t>
  </si>
  <si>
    <t>143.9</t>
  </si>
  <si>
    <t>1790.0</t>
  </si>
  <si>
    <t>1371.2</t>
  </si>
  <si>
    <t>贵州</t>
  </si>
  <si>
    <t>146.2</t>
  </si>
  <si>
    <t>1661.8</t>
  </si>
  <si>
    <t>1364.1</t>
  </si>
  <si>
    <t>上海</t>
  </si>
  <si>
    <t>97.7</t>
  </si>
  <si>
    <t>云南</t>
  </si>
  <si>
    <t>291.6</t>
  </si>
  <si>
    <t>3453.2</t>
  </si>
  <si>
    <t>3120.4</t>
  </si>
  <si>
    <t>江苏</t>
  </si>
  <si>
    <t>140.7</t>
  </si>
  <si>
    <t>1825.7</t>
  </si>
  <si>
    <t>1374.9</t>
  </si>
  <si>
    <t>30.5</t>
  </si>
  <si>
    <t>50.1</t>
  </si>
  <si>
    <t>浙江</t>
  </si>
  <si>
    <t>665.0</t>
  </si>
  <si>
    <t>628.0</t>
  </si>
  <si>
    <t>77.7</t>
  </si>
  <si>
    <t>987.8</t>
  </si>
  <si>
    <t>849.8</t>
  </si>
  <si>
    <t>安徽</t>
  </si>
  <si>
    <t>2150.5</t>
  </si>
  <si>
    <t>1419.3</t>
  </si>
  <si>
    <t>甘肃</t>
  </si>
  <si>
    <t>49.2</t>
  </si>
  <si>
    <t>664.3</t>
  </si>
  <si>
    <t>622.0</t>
  </si>
  <si>
    <t>福建</t>
  </si>
  <si>
    <t>103.8</t>
  </si>
  <si>
    <t>1299.9</t>
  </si>
  <si>
    <t>910.9</t>
  </si>
  <si>
    <t>3.7</t>
  </si>
  <si>
    <t>44.9</t>
  </si>
  <si>
    <t>72.1</t>
  </si>
  <si>
    <t>江西</t>
  </si>
  <si>
    <t>180.7</t>
  </si>
  <si>
    <t>2218.3</t>
  </si>
  <si>
    <t>1569.9</t>
  </si>
  <si>
    <t>宁夏</t>
  </si>
  <si>
    <t>山东</t>
  </si>
  <si>
    <t>271.0</t>
  </si>
  <si>
    <t>3344.8</t>
  </si>
  <si>
    <t>2933.9</t>
  </si>
  <si>
    <t>河南</t>
  </si>
  <si>
    <t>324.8</t>
  </si>
  <si>
    <t>4311.1</t>
  </si>
  <si>
    <t>3887.0</t>
  </si>
  <si>
    <t xml:space="preserve">资料来源：各地统计局 </t>
  </si>
  <si>
    <t>国家统计局能繁母猪存栏量（万头）</t>
  </si>
  <si>
    <t>能繁母猪存栏</t>
  </si>
  <si>
    <t>2017年1季度</t>
  </si>
  <si>
    <t>2017年2季度</t>
  </si>
  <si>
    <t>2017年3季度</t>
  </si>
  <si>
    <t>2017年4季度</t>
  </si>
  <si>
    <t>2018年1季度</t>
  </si>
  <si>
    <t>2018年2季度</t>
  </si>
  <si>
    <t>2018年3季度</t>
  </si>
  <si>
    <t>2018年4季度</t>
  </si>
  <si>
    <t>2019年1季度</t>
  </si>
  <si>
    <t>2019年2季度</t>
  </si>
  <si>
    <t>2019年3季度</t>
  </si>
  <si>
    <t>2019年4季度</t>
  </si>
  <si>
    <t>2020年1季度</t>
  </si>
  <si>
    <t>2020年2季度</t>
  </si>
  <si>
    <t>2020年3季度</t>
  </si>
  <si>
    <t>2020年4季度</t>
  </si>
  <si>
    <t>2021年1季度</t>
  </si>
  <si>
    <t>2021年2季度</t>
  </si>
  <si>
    <t>2021年3季度</t>
  </si>
  <si>
    <t>2021年4季度</t>
  </si>
  <si>
    <t>2022年1季度</t>
  </si>
  <si>
    <t>2022年2季度</t>
  </si>
  <si>
    <t>2022年3季度</t>
  </si>
  <si>
    <t>2022年4季度</t>
  </si>
  <si>
    <t>2023年1季度</t>
  </si>
  <si>
    <t>2023年2季度</t>
  </si>
  <si>
    <t>2023年3季度</t>
  </si>
  <si>
    <t>2023年4季度</t>
  </si>
  <si>
    <t>2024年1季度</t>
  </si>
  <si>
    <t>2024年2季度</t>
  </si>
  <si>
    <t>2024年3季度</t>
  </si>
  <si>
    <t>2024年4季度</t>
  </si>
  <si>
    <t>2025年1季度</t>
  </si>
  <si>
    <t>2025年2季度</t>
  </si>
  <si>
    <t>2025年3季度</t>
  </si>
  <si>
    <t>2025年4季度</t>
  </si>
  <si>
    <t>2026年1季度</t>
  </si>
  <si>
    <t>2026年2季度</t>
  </si>
  <si>
    <t>日期</t>
  </si>
  <si>
    <t>生猪出栏量</t>
  </si>
  <si>
    <t>2017年1-2季度</t>
  </si>
  <si>
    <t>2017年1-3季度</t>
  </si>
  <si>
    <t>2017年1-4季度</t>
  </si>
  <si>
    <t>2018年1-2季度</t>
  </si>
  <si>
    <t>2018年1-3季度</t>
  </si>
  <si>
    <t>2018年1-4季度</t>
  </si>
  <si>
    <t>2019年1-2季度</t>
  </si>
  <si>
    <t>2019年1-3季度</t>
  </si>
  <si>
    <t>2019年1-4季度</t>
  </si>
  <si>
    <t>2020年1-2季度</t>
  </si>
  <si>
    <t>2020年1-3季度</t>
  </si>
  <si>
    <t>2020年1-4季度</t>
  </si>
  <si>
    <t>2021年1-2季度</t>
  </si>
  <si>
    <t>2021年1-3季度</t>
  </si>
  <si>
    <t>2021年1-4季度</t>
  </si>
  <si>
    <t>2022年1-2季度</t>
  </si>
  <si>
    <r>
      <rPr>
        <sz val="11"/>
        <color theme="1"/>
        <rFont val="宋体"/>
        <charset val="134"/>
        <scheme val="minor"/>
      </rPr>
      <t>2022年1-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季度</t>
    </r>
  </si>
  <si>
    <t>2022年1-4季度</t>
  </si>
  <si>
    <t>2023年1-2季度</t>
  </si>
  <si>
    <t>2023年1-3季度</t>
  </si>
  <si>
    <t>2023年1-4季度</t>
  </si>
  <si>
    <t>2024年1-2季度</t>
  </si>
  <si>
    <t>2024年1-3季度</t>
  </si>
  <si>
    <t>2024年1-4季度</t>
  </si>
  <si>
    <t>2025年1-2季度</t>
  </si>
  <si>
    <t>2025年1-3季度</t>
  </si>
  <si>
    <t>2025年1-4季度</t>
  </si>
  <si>
    <t>2026年1-2季度</t>
  </si>
  <si>
    <t>生猪存栏量</t>
  </si>
  <si>
    <t>统计局</t>
  </si>
  <si>
    <t>生猪定点屠宰量（单位：万头）</t>
  </si>
  <si>
    <t>生猪定点屠宰量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</si>
  <si>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</si>
  <si>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</si>
  <si>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</si>
  <si>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</si>
  <si>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</si>
  <si>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</si>
  <si>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</si>
  <si>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</si>
  <si>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</si>
  <si>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</si>
  <si>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</si>
  <si>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</si>
  <si>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</si>
  <si>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</si>
  <si>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</si>
  <si>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</si>
  <si>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</si>
  <si>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</si>
  <si>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</si>
  <si>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</si>
  <si>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</si>
  <si>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</si>
  <si>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</si>
  <si>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</si>
  <si>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</si>
  <si>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</si>
  <si>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</si>
  <si>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</si>
  <si>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2011-2018年屠宰企业数量变化</t>
  </si>
  <si>
    <t>屠企总数</t>
  </si>
  <si>
    <t>规模以上屠宰企业数</t>
  </si>
  <si>
    <t>小型企业数</t>
  </si>
  <si>
    <t>猪肉产量（季度值）
万吨</t>
  </si>
  <si>
    <t>猪肉产量（累计值）
万吨</t>
  </si>
  <si>
    <t>累计同比
（%）</t>
  </si>
  <si>
    <t>2018年各省猪肉产量</t>
  </si>
  <si>
    <t>历年肉类生产结构</t>
  </si>
  <si>
    <t>肉类</t>
  </si>
  <si>
    <t>猪肉</t>
  </si>
  <si>
    <t>禽肉</t>
  </si>
  <si>
    <t>猪肉占比</t>
  </si>
  <si>
    <t>不同猪价涨幅情境下对下半年猪肉消费量的影响</t>
  </si>
  <si>
    <t>猪肉价格涨幅</t>
  </si>
  <si>
    <t>猪肉消费降幅</t>
  </si>
  <si>
    <t>猪肉消费减少量</t>
  </si>
  <si>
    <t>中间值</t>
  </si>
  <si>
    <t>下半年消费量</t>
  </si>
  <si>
    <t>10%-25%</t>
  </si>
  <si>
    <t>270-675万吨</t>
  </si>
  <si>
    <t>473万吨</t>
  </si>
  <si>
    <t>2327万吨</t>
  </si>
  <si>
    <t>15%-37.5%</t>
  </si>
  <si>
    <t>405-1013万吨</t>
  </si>
  <si>
    <t>709万吨</t>
  </si>
  <si>
    <t>2091万吨</t>
  </si>
  <si>
    <t>20%-50%</t>
  </si>
  <si>
    <t>540-1350万吨</t>
  </si>
  <si>
    <t>945万吨</t>
  </si>
  <si>
    <t>1855万吨</t>
  </si>
  <si>
    <t>指标名称</t>
  </si>
  <si>
    <t>36个城市平均零售价:猪肉</t>
  </si>
  <si>
    <t>频率</t>
  </si>
  <si>
    <t>日</t>
  </si>
  <si>
    <t>数据来源：Wind</t>
  </si>
  <si>
    <t>首次启动时间</t>
  </si>
  <si>
    <t>收储次数</t>
  </si>
  <si>
    <t>计划量</t>
  </si>
  <si>
    <t>成交量</t>
  </si>
  <si>
    <t>成交高价</t>
  </si>
  <si>
    <t>成交低价</t>
  </si>
  <si>
    <t>成交均价</t>
  </si>
  <si>
    <t>中央储备冻猪肉投放时间及数量</t>
  </si>
  <si>
    <t>1次合计</t>
  </si>
  <si>
    <t>年度</t>
  </si>
  <si>
    <t>序号</t>
  </si>
  <si>
    <t>投放数量（万吨）</t>
  </si>
  <si>
    <t>3次合计</t>
  </si>
  <si>
    <t>2次合计</t>
  </si>
  <si>
    <t>约10</t>
  </si>
  <si>
    <t>4次</t>
  </si>
  <si>
    <t>年度累计</t>
  </si>
  <si>
    <t>第一批</t>
  </si>
  <si>
    <t>16次</t>
  </si>
  <si>
    <t>1月3日</t>
  </si>
  <si>
    <t>1月9日</t>
  </si>
  <si>
    <t>第二批</t>
  </si>
  <si>
    <t>1月17日</t>
  </si>
  <si>
    <t>第三批</t>
  </si>
  <si>
    <t>1月21日</t>
  </si>
  <si>
    <t>第四批</t>
  </si>
  <si>
    <t>2月14日</t>
  </si>
  <si>
    <t>第五批</t>
  </si>
  <si>
    <t>2月21日</t>
  </si>
  <si>
    <t>第六批</t>
  </si>
  <si>
    <t>2月27日</t>
  </si>
  <si>
    <t>第七批</t>
  </si>
  <si>
    <t>3月5日</t>
  </si>
  <si>
    <t>第八批</t>
  </si>
  <si>
    <t>3月13日</t>
  </si>
  <si>
    <t>第九批</t>
  </si>
  <si>
    <t>3月20日</t>
  </si>
  <si>
    <t>3月27日</t>
  </si>
  <si>
    <t>第十批</t>
  </si>
  <si>
    <t>4月2日</t>
  </si>
  <si>
    <t>第十一批</t>
  </si>
  <si>
    <t>4月10日</t>
  </si>
  <si>
    <t>第十二批</t>
  </si>
  <si>
    <t>4月16日</t>
  </si>
  <si>
    <t>第十三批</t>
  </si>
  <si>
    <t>4月23日</t>
  </si>
  <si>
    <t>5次</t>
  </si>
  <si>
    <t>4月29日</t>
  </si>
  <si>
    <t>轮库</t>
  </si>
  <si>
    <t>5月15日</t>
  </si>
  <si>
    <t>5月22日</t>
  </si>
  <si>
    <t>5月27日</t>
  </si>
  <si>
    <t>6月18日</t>
  </si>
  <si>
    <t>6月23日</t>
  </si>
  <si>
    <t>7月10日</t>
  </si>
  <si>
    <t>7月15日</t>
  </si>
  <si>
    <t>8月14日</t>
  </si>
  <si>
    <t>2月28日-29日</t>
  </si>
  <si>
    <t>8月21日</t>
  </si>
  <si>
    <t>8月28日</t>
  </si>
  <si>
    <t>9月4日</t>
  </si>
  <si>
    <t>9月11日</t>
  </si>
  <si>
    <t>9月18日</t>
  </si>
  <si>
    <t>9月25日</t>
  </si>
  <si>
    <t>9月29日</t>
  </si>
  <si>
    <t>12月17日</t>
  </si>
  <si>
    <t>12月24日</t>
  </si>
  <si>
    <t>18次</t>
  </si>
  <si>
    <t>12月30日</t>
  </si>
  <si>
    <t>1月7日</t>
  </si>
  <si>
    <t>1月15日</t>
  </si>
  <si>
    <t>1月28日</t>
  </si>
  <si>
    <t>收储</t>
  </si>
  <si>
    <t>起拍价22360</t>
  </si>
  <si>
    <t>起拍价21000</t>
  </si>
  <si>
    <t>3月10日</t>
  </si>
  <si>
    <t>起拍价21000-21800</t>
  </si>
  <si>
    <t>18980-19900</t>
  </si>
  <si>
    <r>
      <rPr>
        <sz val="12"/>
        <color theme="1"/>
        <rFont val="宋体"/>
        <charset val="134"/>
        <scheme val="minor"/>
      </rPr>
      <t>2022</t>
    </r>
    <r>
      <rPr>
        <sz val="11"/>
        <rFont val="宋体"/>
        <charset val="134"/>
      </rPr>
      <t>年</t>
    </r>
  </si>
  <si>
    <t>起拍价20470/结束17.21/17.23/17.43/17.45</t>
  </si>
  <si>
    <t>16970-16950</t>
  </si>
  <si>
    <t>起拍价19950，成交低价18.05，高价18.6</t>
  </si>
  <si>
    <t>起拍价20200，成交价20200，成交数量12000吨，流标5000吨</t>
  </si>
  <si>
    <t>放储次数</t>
  </si>
  <si>
    <t>社会库4000t/价格16.5-16.7，直属库6000t/价格16.4-17.1</t>
  </si>
  <si>
    <t>国储成交价格低价：15960
中价 ：16020-16040
高价：16080</t>
  </si>
  <si>
    <t>起拍价17560</t>
  </si>
  <si>
    <t>起拍价16660</t>
  </si>
  <si>
    <t>起拍价16710，成交区间15300-15430</t>
  </si>
  <si>
    <t>起拍价17640，中标价17600左右</t>
  </si>
  <si>
    <t>流拍</t>
  </si>
  <si>
    <t>14960-14980</t>
  </si>
  <si>
    <t>14480-14980</t>
  </si>
  <si>
    <t>14660-14680</t>
  </si>
  <si>
    <t>起拍价10190</t>
  </si>
  <si>
    <t>放储11230/15230/15330/15130/13130</t>
  </si>
  <si>
    <t>9090-13690</t>
  </si>
  <si>
    <t>竞拍底价9200</t>
  </si>
  <si>
    <t>9600-9800</t>
  </si>
  <si>
    <t>起拍价7570,成交价7500-9600，部分流单</t>
  </si>
  <si>
    <t>最高价格7960，最低价格7260</t>
  </si>
  <si>
    <t>老日期成交价8020元/吨，新日期成交价8370元/吨</t>
  </si>
  <si>
    <t>起拍价7850元/吨，成交价7950-10050元/吨</t>
  </si>
  <si>
    <t>共计54标成交39标流标15标价格区间8600-9900</t>
  </si>
  <si>
    <t>最高成交价格9400-9600其他8600-9000</t>
  </si>
  <si>
    <t>价格（元/公斤）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</si>
</sst>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.00_ "/>
    <numFmt numFmtId="178" formatCode="yyyy/m/d;@"/>
    <numFmt numFmtId="179" formatCode="m&quot;月&quot;d&quot;日&quot;;@"/>
    <numFmt numFmtId="180" formatCode="0.00_);[Red]\(0.00\)"/>
    <numFmt numFmtId="181" formatCode="0.000_ "/>
    <numFmt numFmtId="182" formatCode="###,###,###,##0.0000"/>
    <numFmt numFmtId="183" formatCode="yyyy\-mm\-dd;@"/>
    <numFmt numFmtId="184" formatCode="0.0_ "/>
    <numFmt numFmtId="185" formatCode="yyyy&quot;年&quot;m&quot;月&quot;;@"/>
    <numFmt numFmtId="186" formatCode="###,###,###,###,##0.00_ "/>
    <numFmt numFmtId="187" formatCode="yyyy/mm;@"/>
    <numFmt numFmtId="188" formatCode="0_ "/>
    <numFmt numFmtId="189" formatCode="#,##0.00_ "/>
    <numFmt numFmtId="190" formatCode="0.0%"/>
  </numFmts>
  <fonts count="6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2"/>
      <name val="宋体"/>
      <charset val="134"/>
    </font>
    <font>
      <b/>
      <sz val="12"/>
      <color rgb="FFFFFFFF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2"/>
      <name val="宋体"/>
      <charset val="134"/>
    </font>
    <font>
      <sz val="12"/>
      <color rgb="FFFF0000"/>
      <name val="宋体"/>
      <charset val="134"/>
    </font>
    <font>
      <b/>
      <sz val="12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sz val="12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MingLiU"/>
      <charset val="134"/>
    </font>
    <font>
      <sz val="10"/>
      <color theme="1"/>
      <name val="楷体"/>
      <charset val="134"/>
    </font>
    <font>
      <b/>
      <sz val="11"/>
      <color theme="0"/>
      <name val="宋体"/>
      <charset val="134"/>
    </font>
    <font>
      <sz val="11"/>
      <color theme="1"/>
      <name val="宋体"/>
      <charset val="134"/>
    </font>
    <font>
      <sz val="10"/>
      <name val="楷体"/>
      <charset val="134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theme="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5"/>
      <color rgb="FF000000"/>
      <name val="楷体"/>
      <charset val="134"/>
    </font>
    <font>
      <b/>
      <sz val="13.5"/>
      <color rgb="FF333333"/>
      <name val="Arial"/>
      <charset val="134"/>
    </font>
    <font>
      <sz val="12"/>
      <color rgb="FF333333"/>
      <name val="Arial"/>
      <charset val="134"/>
    </font>
    <font>
      <b/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2"/>
      <color theme="1"/>
      <name val="宋体"/>
      <charset val="134"/>
    </font>
    <font>
      <b/>
      <sz val="30"/>
      <color rgb="FFFFFFFF"/>
      <name val="宋体"/>
      <charset val="134"/>
      <scheme val="minor"/>
    </font>
    <font>
      <sz val="13"/>
      <name val="宋体"/>
      <charset val="134"/>
      <scheme val="minor"/>
    </font>
    <font>
      <sz val="13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E24D4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CE4A5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thin">
        <color rgb="FFC00000"/>
      </left>
      <right/>
      <top/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hair">
        <color rgb="FFE16D75"/>
      </top>
      <bottom style="hair">
        <color rgb="FFE16D75"/>
      </bottom>
      <diagonal/>
    </border>
    <border>
      <left/>
      <right style="hair">
        <color rgb="FFE16D75"/>
      </right>
      <top style="hair">
        <color rgb="FFE16D75"/>
      </top>
      <bottom style="hair">
        <color rgb="FFE16D75"/>
      </bottom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 style="thin">
        <color rgb="FFC00000"/>
      </right>
      <top/>
      <bottom/>
      <diagonal/>
    </border>
    <border>
      <left/>
      <right style="hair">
        <color rgb="FFE16D75"/>
      </right>
      <top/>
      <bottom style="hair">
        <color rgb="FFE16D75"/>
      </bottom>
      <diagonal/>
    </border>
    <border>
      <left style="hair">
        <color rgb="FFE16D75"/>
      </left>
      <right style="hair">
        <color rgb="FFE16D75"/>
      </right>
      <top/>
      <bottom style="hair">
        <color rgb="FFE16D75"/>
      </bottom>
      <diagonal/>
    </border>
    <border>
      <left style="hair">
        <color rgb="FFE16D75"/>
      </left>
      <right/>
      <top/>
      <bottom style="hair">
        <color rgb="FFE16D75"/>
      </bottom>
      <diagonal/>
    </border>
    <border>
      <left style="hair">
        <color rgb="FFE16D75"/>
      </left>
      <right style="hair">
        <color rgb="FFE16D75"/>
      </right>
      <top style="hair">
        <color rgb="FFE16D75"/>
      </top>
      <bottom style="hair">
        <color rgb="FFE16D75"/>
      </bottom>
      <diagonal/>
    </border>
    <border>
      <left style="hair">
        <color rgb="FFE16D75"/>
      </left>
      <right/>
      <top style="hair">
        <color rgb="FFE16D75"/>
      </top>
      <bottom style="hair">
        <color rgb="FFE16D75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hair">
        <color rgb="FFE16D75"/>
      </left>
      <right style="hair">
        <color rgb="FFE16D75"/>
      </right>
      <top style="hair">
        <color rgb="FFE16D75"/>
      </top>
      <bottom/>
      <diagonal/>
    </border>
    <border>
      <left/>
      <right style="hair">
        <color rgb="FFE16D75"/>
      </right>
      <top style="hair">
        <color rgb="FFE16D75"/>
      </top>
      <bottom/>
      <diagonal/>
    </border>
    <border>
      <left style="hair">
        <color rgb="FFE16D75"/>
      </left>
      <right/>
      <top style="hair">
        <color rgb="FFE16D75"/>
      </top>
      <bottom/>
      <diagonal/>
    </border>
    <border>
      <left/>
      <right style="hair">
        <color rgb="FFE16D75"/>
      </right>
      <top/>
      <bottom/>
      <diagonal/>
    </border>
    <border>
      <left/>
      <right style="hair">
        <color rgb="FFE16D75"/>
      </right>
      <top/>
      <bottom style="hair">
        <color rgb="FFCE4A50"/>
      </bottom>
      <diagonal/>
    </border>
    <border>
      <left/>
      <right style="hair">
        <color rgb="FFCE4A50"/>
      </right>
      <top style="hair">
        <color rgb="FFCE4A50"/>
      </top>
      <bottom style="hair">
        <color rgb="FFCE4A50"/>
      </bottom>
      <diagonal/>
    </border>
    <border>
      <left style="hair">
        <color rgb="FFCE4A50"/>
      </left>
      <right style="hair">
        <color rgb="FFCE4A50"/>
      </right>
      <top style="hair">
        <color rgb="FFCE4A50"/>
      </top>
      <bottom style="hair">
        <color rgb="FFCE4A50"/>
      </bottom>
      <diagonal/>
    </border>
    <border>
      <left style="hair">
        <color rgb="FFCE4A50"/>
      </left>
      <right/>
      <top style="hair">
        <color rgb="FFCE4A50"/>
      </top>
      <bottom style="hair">
        <color rgb="FFCE4A50"/>
      </bottom>
      <diagonal/>
    </border>
    <border>
      <left style="thin">
        <color rgb="FFE24D4E"/>
      </left>
      <right style="thin">
        <color rgb="FFE24D4E"/>
      </right>
      <top style="thin">
        <color rgb="FFE24D4E"/>
      </top>
      <bottom style="thin">
        <color rgb="FFE24D4E"/>
      </bottom>
      <diagonal/>
    </border>
    <border>
      <left style="thin">
        <color rgb="FFE24D4E"/>
      </left>
      <right style="thin">
        <color rgb="FFE24D4E"/>
      </right>
      <top/>
      <bottom style="thin">
        <color rgb="FFE24D4E"/>
      </bottom>
      <diagonal/>
    </border>
    <border>
      <left style="thin">
        <color rgb="FFE24D4E"/>
      </left>
      <right style="thin">
        <color rgb="FFE24D4E"/>
      </right>
      <top style="thin">
        <color rgb="FFE24D4E"/>
      </top>
      <bottom style="thick">
        <color rgb="FFE24D4E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rgb="FFE24D4E"/>
      </left>
      <right/>
      <top style="thin">
        <color rgb="FFE24D4E"/>
      </top>
      <bottom style="thin">
        <color rgb="FFE24D4E"/>
      </bottom>
      <diagonal/>
    </border>
    <border>
      <left style="thin">
        <color rgb="FFE24D4E"/>
      </left>
      <right style="thin">
        <color rgb="FFFF0000"/>
      </right>
      <top style="thin">
        <color rgb="FFE24D4E"/>
      </top>
      <bottom/>
      <diagonal/>
    </border>
    <border>
      <left style="thin">
        <color rgb="FFE24D4E"/>
      </left>
      <right style="thin">
        <color rgb="FFFF0000"/>
      </right>
      <top/>
      <bottom/>
      <diagonal/>
    </border>
    <border>
      <left style="thin">
        <color rgb="FFE24D4E"/>
      </left>
      <right style="thin">
        <color rgb="FFFF0000"/>
      </right>
      <top/>
      <bottom style="thin">
        <color rgb="FFE24D4E"/>
      </bottom>
      <diagonal/>
    </border>
    <border>
      <left style="thin">
        <color rgb="FFE24D4E"/>
      </left>
      <right style="thin">
        <color rgb="FFE24D4E"/>
      </right>
      <top style="thin">
        <color rgb="FFE24D4E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ck">
        <color rgb="FFE24D4E"/>
      </bottom>
      <diagonal/>
    </border>
    <border>
      <left style="thin">
        <color rgb="FFE24D4E"/>
      </left>
      <right/>
      <top style="thin">
        <color rgb="FFE24D4E"/>
      </top>
      <bottom style="thick">
        <color rgb="FFE24D4E"/>
      </bottom>
      <diagonal/>
    </border>
    <border>
      <left/>
      <right/>
      <top style="thin">
        <color rgb="FFE24D4E"/>
      </top>
      <bottom style="thick">
        <color rgb="FFE24D4E"/>
      </bottom>
      <diagonal/>
    </border>
    <border>
      <left/>
      <right style="thin">
        <color rgb="FFE24D4E"/>
      </right>
      <top style="thin">
        <color rgb="FFE24D4E"/>
      </top>
      <bottom style="thick">
        <color rgb="FFE24D4E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E24D4E"/>
      </left>
      <right style="thin">
        <color rgb="FFE24D4E"/>
      </right>
      <top style="thin">
        <color rgb="FFFF0000"/>
      </top>
      <bottom style="thin">
        <color rgb="FFE24D4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9" borderId="48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49" applyNumberFormat="0" applyFill="0" applyAlignment="0" applyProtection="0">
      <alignment vertical="center"/>
    </xf>
    <xf numFmtId="0" fontId="47" fillId="0" borderId="49" applyNumberFormat="0" applyFill="0" applyAlignment="0" applyProtection="0">
      <alignment vertical="center"/>
    </xf>
    <xf numFmtId="0" fontId="48" fillId="0" borderId="50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0" borderId="51" applyNumberFormat="0" applyAlignment="0" applyProtection="0">
      <alignment vertical="center"/>
    </xf>
    <xf numFmtId="0" fontId="50" fillId="11" borderId="52" applyNumberFormat="0" applyAlignment="0" applyProtection="0">
      <alignment vertical="center"/>
    </xf>
    <xf numFmtId="0" fontId="51" fillId="11" borderId="51" applyNumberFormat="0" applyAlignment="0" applyProtection="0">
      <alignment vertical="center"/>
    </xf>
    <xf numFmtId="0" fontId="52" fillId="12" borderId="53" applyNumberFormat="0" applyAlignment="0" applyProtection="0">
      <alignment vertical="center"/>
    </xf>
    <xf numFmtId="0" fontId="53" fillId="0" borderId="54" applyNumberFormat="0" applyFill="0" applyAlignment="0" applyProtection="0">
      <alignment vertical="center"/>
    </xf>
    <xf numFmtId="0" fontId="54" fillId="0" borderId="55" applyNumberFormat="0" applyFill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</cellStyleXfs>
  <cellXfs count="283">
    <xf numFmtId="0" fontId="0" fillId="0" borderId="0" xfId="0"/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6" fontId="1" fillId="2" borderId="1" xfId="0" applyNumberFormat="1" applyFont="1" applyFill="1" applyBorder="1" applyAlignment="1">
      <alignment horizontal="left" vertical="center"/>
    </xf>
    <xf numFmtId="177" fontId="1" fillId="2" borderId="1" xfId="0" applyNumberFormat="1" applyFont="1" applyFill="1" applyBorder="1" applyAlignment="1">
      <alignment horizontal="left" vertical="center"/>
    </xf>
    <xf numFmtId="176" fontId="1" fillId="2" borderId="2" xfId="0" applyNumberFormat="1" applyFont="1" applyFill="1" applyBorder="1" applyAlignment="1">
      <alignment horizontal="center" vertical="center"/>
    </xf>
    <xf numFmtId="177" fontId="1" fillId="2" borderId="2" xfId="0" applyNumberFormat="1" applyFont="1" applyFill="1" applyBorder="1" applyAlignment="1">
      <alignment horizontal="center" vertical="center"/>
    </xf>
    <xf numFmtId="176" fontId="0" fillId="3" borderId="2" xfId="0" applyNumberFormat="1" applyFont="1" applyFill="1" applyBorder="1" applyAlignment="1">
      <alignment horizontal="center" vertical="center"/>
    </xf>
    <xf numFmtId="177" fontId="0" fillId="3" borderId="2" xfId="0" applyNumberFormat="1" applyFont="1" applyFill="1" applyBorder="1" applyAlignment="1">
      <alignment horizontal="center" vertical="center"/>
    </xf>
    <xf numFmtId="176" fontId="0" fillId="4" borderId="2" xfId="0" applyNumberFormat="1" applyFont="1" applyFill="1" applyBorder="1" applyAlignment="1">
      <alignment horizontal="center" vertical="center"/>
    </xf>
    <xf numFmtId="177" fontId="0" fillId="4" borderId="2" xfId="0" applyNumberFormat="1" applyFont="1" applyFill="1" applyBorder="1" applyAlignment="1">
      <alignment horizontal="center" vertical="center"/>
    </xf>
    <xf numFmtId="177" fontId="0" fillId="5" borderId="2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58" fontId="5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179" fontId="9" fillId="0" borderId="18" xfId="0" applyNumberFormat="1" applyFont="1" applyFill="1" applyBorder="1" applyAlignment="1">
      <alignment horizontal="center" vertical="center"/>
    </xf>
    <xf numFmtId="180" fontId="9" fillId="0" borderId="19" xfId="0" applyNumberFormat="1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179" fontId="9" fillId="0" borderId="13" xfId="0" applyNumberFormat="1" applyFont="1" applyFill="1" applyBorder="1" applyAlignment="1">
      <alignment horizontal="center" vertical="center"/>
    </xf>
    <xf numFmtId="180" fontId="9" fillId="0" borderId="13" xfId="0" applyNumberFormat="1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179" fontId="9" fillId="0" borderId="20" xfId="0" applyNumberFormat="1" applyFont="1" applyFill="1" applyBorder="1" applyAlignment="1">
      <alignment horizontal="center" vertical="center"/>
    </xf>
    <xf numFmtId="180" fontId="9" fillId="0" borderId="21" xfId="0" applyNumberFormat="1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180" fontId="8" fillId="6" borderId="21" xfId="0" applyNumberFormat="1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180" fontId="8" fillId="6" borderId="13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179" fontId="9" fillId="0" borderId="23" xfId="0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180" fontId="3" fillId="6" borderId="0" xfId="0" applyNumberFormat="1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180" fontId="9" fillId="0" borderId="25" xfId="0" applyNumberFormat="1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9" fillId="0" borderId="27" xfId="0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vertical="center"/>
    </xf>
    <xf numFmtId="0" fontId="12" fillId="6" borderId="29" xfId="0" applyFont="1" applyFill="1" applyBorder="1" applyAlignment="1">
      <alignment horizontal="center" vertical="center"/>
    </xf>
    <xf numFmtId="0" fontId="13" fillId="6" borderId="29" xfId="0" applyFont="1" applyFill="1" applyBorder="1" applyAlignment="1">
      <alignment horizontal="center" vertical="center"/>
    </xf>
    <xf numFmtId="2" fontId="12" fillId="6" borderId="30" xfId="0" applyNumberFormat="1" applyFont="1" applyFill="1" applyBorder="1" applyAlignment="1">
      <alignment horizontal="center" vertical="center"/>
    </xf>
    <xf numFmtId="0" fontId="12" fillId="6" borderId="2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181" fontId="12" fillId="6" borderId="30" xfId="0" applyNumberFormat="1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left" vertical="center"/>
    </xf>
    <xf numFmtId="49" fontId="14" fillId="0" borderId="0" xfId="0" applyNumberFormat="1" applyFont="1" applyFill="1" applyAlignment="1">
      <alignment vertical="top"/>
    </xf>
    <xf numFmtId="177" fontId="14" fillId="0" borderId="0" xfId="0" applyNumberFormat="1" applyFont="1" applyFill="1" applyAlignment="1">
      <alignment vertical="top"/>
    </xf>
    <xf numFmtId="0" fontId="14" fillId="0" borderId="0" xfId="0" applyFont="1" applyFill="1" applyAlignment="1">
      <alignment vertical="center"/>
    </xf>
    <xf numFmtId="182" fontId="15" fillId="2" borderId="31" xfId="0" applyNumberFormat="1" applyFont="1" applyFill="1" applyBorder="1" applyAlignment="1">
      <alignment horizontal="center" vertical="center" wrapText="1"/>
    </xf>
    <xf numFmtId="177" fontId="15" fillId="2" borderId="31" xfId="0" applyNumberFormat="1" applyFont="1" applyFill="1" applyBorder="1" applyAlignment="1">
      <alignment horizontal="center" vertical="center" wrapText="1"/>
    </xf>
    <xf numFmtId="49" fontId="15" fillId="2" borderId="31" xfId="0" applyNumberFormat="1" applyFont="1" applyFill="1" applyBorder="1" applyAlignment="1">
      <alignment horizontal="center" vertical="center"/>
    </xf>
    <xf numFmtId="177" fontId="15" fillId="2" borderId="31" xfId="0" applyNumberFormat="1" applyFont="1" applyFill="1" applyBorder="1" applyAlignment="1">
      <alignment horizontal="center" vertical="center"/>
    </xf>
    <xf numFmtId="183" fontId="16" fillId="0" borderId="31" xfId="0" applyNumberFormat="1" applyFont="1" applyFill="1" applyBorder="1" applyAlignment="1">
      <alignment horizontal="center" vertical="center"/>
    </xf>
    <xf numFmtId="177" fontId="16" fillId="0" borderId="31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Fill="1" applyAlignment="1">
      <alignment vertical="top"/>
    </xf>
    <xf numFmtId="0" fontId="18" fillId="2" borderId="0" xfId="51" applyFont="1" applyFill="1" applyBorder="1" applyAlignment="1">
      <alignment horizontal="center" vertical="center"/>
    </xf>
    <xf numFmtId="9" fontId="19" fillId="7" borderId="32" xfId="51" applyNumberFormat="1" applyFont="1" applyFill="1" applyBorder="1" applyAlignment="1">
      <alignment horizontal="center" vertical="center"/>
    </xf>
    <xf numFmtId="0" fontId="19" fillId="3" borderId="32" xfId="51" applyFont="1" applyFill="1" applyBorder="1" applyAlignment="1">
      <alignment horizontal="center" vertical="center"/>
    </xf>
    <xf numFmtId="0" fontId="19" fillId="7" borderId="32" xfId="51" applyFont="1" applyFill="1" applyBorder="1" applyAlignment="1">
      <alignment horizontal="center" vertical="center"/>
    </xf>
    <xf numFmtId="9" fontId="19" fillId="7" borderId="31" xfId="51" applyNumberFormat="1" applyFont="1" applyFill="1" applyBorder="1" applyAlignment="1">
      <alignment horizontal="center" vertical="center"/>
    </xf>
    <xf numFmtId="0" fontId="19" fillId="3" borderId="31" xfId="51" applyFont="1" applyFill="1" applyBorder="1" applyAlignment="1">
      <alignment horizontal="center" vertical="center"/>
    </xf>
    <xf numFmtId="0" fontId="19" fillId="7" borderId="31" xfId="51" applyFont="1" applyFill="1" applyBorder="1" applyAlignment="1">
      <alignment horizontal="center" vertical="center"/>
    </xf>
    <xf numFmtId="9" fontId="19" fillId="7" borderId="33" xfId="51" applyNumberFormat="1" applyFont="1" applyFill="1" applyBorder="1" applyAlignment="1">
      <alignment horizontal="center" vertical="center"/>
    </xf>
    <xf numFmtId="0" fontId="19" fillId="3" borderId="33" xfId="51" applyFont="1" applyFill="1" applyBorder="1" applyAlignment="1">
      <alignment horizontal="center" vertical="center"/>
    </xf>
    <xf numFmtId="0" fontId="19" fillId="7" borderId="33" xfId="51" applyFont="1" applyFill="1" applyBorder="1" applyAlignment="1">
      <alignment horizontal="center" vertical="center"/>
    </xf>
    <xf numFmtId="0" fontId="20" fillId="0" borderId="0" xfId="0" applyFont="1"/>
    <xf numFmtId="184" fontId="19" fillId="3" borderId="32" xfId="51" applyNumberFormat="1" applyFont="1" applyFill="1" applyBorder="1" applyAlignment="1">
      <alignment horizontal="center" vertical="center"/>
    </xf>
    <xf numFmtId="184" fontId="19" fillId="7" borderId="32" xfId="51" applyNumberFormat="1" applyFont="1" applyFill="1" applyBorder="1" applyAlignment="1">
      <alignment horizontal="center" vertical="center"/>
    </xf>
    <xf numFmtId="10" fontId="19" fillId="7" borderId="32" xfId="51" applyNumberFormat="1" applyFont="1" applyFill="1" applyBorder="1" applyAlignment="1">
      <alignment horizontal="center" vertical="center"/>
    </xf>
    <xf numFmtId="184" fontId="19" fillId="3" borderId="31" xfId="51" applyNumberFormat="1" applyFont="1" applyFill="1" applyBorder="1" applyAlignment="1">
      <alignment horizontal="center" vertical="center"/>
    </xf>
    <xf numFmtId="184" fontId="19" fillId="7" borderId="31" xfId="51" applyNumberFormat="1" applyFont="1" applyFill="1" applyBorder="1" applyAlignment="1">
      <alignment horizontal="center" vertical="center"/>
    </xf>
    <xf numFmtId="10" fontId="19" fillId="7" borderId="31" xfId="51" applyNumberFormat="1" applyFont="1" applyFill="1" applyBorder="1" applyAlignment="1">
      <alignment horizontal="center" vertical="center"/>
    </xf>
    <xf numFmtId="10" fontId="0" fillId="0" borderId="0" xfId="0" applyNumberFormat="1"/>
    <xf numFmtId="184" fontId="19" fillId="3" borderId="33" xfId="51" applyNumberFormat="1" applyFont="1" applyFill="1" applyBorder="1" applyAlignment="1">
      <alignment horizontal="center" vertical="center"/>
    </xf>
    <xf numFmtId="184" fontId="19" fillId="7" borderId="33" xfId="51" applyNumberFormat="1" applyFont="1" applyFill="1" applyBorder="1" applyAlignment="1">
      <alignment horizontal="center" vertical="center"/>
    </xf>
    <xf numFmtId="10" fontId="19" fillId="7" borderId="33" xfId="51" applyNumberFormat="1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19" fillId="7" borderId="32" xfId="0" applyFont="1" applyFill="1" applyBorder="1" applyAlignment="1">
      <alignment horizontal="center" vertical="center"/>
    </xf>
    <xf numFmtId="0" fontId="19" fillId="3" borderId="32" xfId="0" applyFont="1" applyFill="1" applyBorder="1" applyAlignment="1">
      <alignment horizontal="center" vertical="center"/>
    </xf>
    <xf numFmtId="0" fontId="19" fillId="7" borderId="31" xfId="0" applyFont="1" applyFill="1" applyBorder="1" applyAlignment="1">
      <alignment horizontal="center" vertical="center"/>
    </xf>
    <xf numFmtId="0" fontId="19" fillId="3" borderId="31" xfId="0" applyFont="1" applyFill="1" applyBorder="1" applyAlignment="1">
      <alignment horizontal="center" vertical="center"/>
    </xf>
    <xf numFmtId="0" fontId="19" fillId="7" borderId="33" xfId="0" applyFont="1" applyFill="1" applyBorder="1" applyAlignment="1">
      <alignment horizontal="center" vertical="center"/>
    </xf>
    <xf numFmtId="0" fontId="19" fillId="3" borderId="33" xfId="0" applyFont="1" applyFill="1" applyBorder="1" applyAlignment="1">
      <alignment horizontal="center" vertical="center"/>
    </xf>
    <xf numFmtId="185" fontId="16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10" fontId="0" fillId="0" borderId="0" xfId="0" applyNumberFormat="1" applyAlignment="1">
      <alignment horizontal="center"/>
    </xf>
    <xf numFmtId="185" fontId="15" fillId="2" borderId="31" xfId="0" applyNumberFormat="1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10" fontId="1" fillId="2" borderId="31" xfId="0" applyNumberFormat="1" applyFont="1" applyFill="1" applyBorder="1" applyAlignment="1">
      <alignment horizontal="center" vertical="center" wrapText="1"/>
    </xf>
    <xf numFmtId="185" fontId="16" fillId="0" borderId="31" xfId="0" applyNumberFormat="1" applyFont="1" applyFill="1" applyBorder="1" applyAlignment="1">
      <alignment horizontal="center" vertical="center"/>
    </xf>
    <xf numFmtId="0" fontId="16" fillId="0" borderId="31" xfId="0" applyFont="1" applyFill="1" applyBorder="1" applyAlignment="1">
      <alignment horizontal="center" vertical="center"/>
    </xf>
    <xf numFmtId="10" fontId="0" fillId="0" borderId="31" xfId="0" applyNumberFormat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Border="1" applyAlignment="1">
      <alignment horizontal="center" vertical="center" wrapText="1"/>
    </xf>
    <xf numFmtId="0" fontId="22" fillId="0" borderId="34" xfId="0" applyFont="1" applyFill="1" applyBorder="1" applyAlignment="1">
      <alignment horizontal="center" vertical="center"/>
    </xf>
    <xf numFmtId="185" fontId="19" fillId="7" borderId="32" xfId="0" applyNumberFormat="1" applyFont="1" applyFill="1" applyBorder="1" applyAlignment="1">
      <alignment horizontal="center" vertical="center"/>
    </xf>
    <xf numFmtId="180" fontId="19" fillId="3" borderId="32" xfId="0" applyNumberFormat="1" applyFont="1" applyFill="1" applyBorder="1" applyAlignment="1">
      <alignment horizontal="center" vertical="center"/>
    </xf>
    <xf numFmtId="186" fontId="0" fillId="0" borderId="34" xfId="0" applyNumberFormat="1" applyFont="1" applyFill="1" applyBorder="1" applyAlignment="1">
      <alignment horizontal="right" vertical="center"/>
    </xf>
    <xf numFmtId="187" fontId="19" fillId="7" borderId="32" xfId="0" applyNumberFormat="1" applyFont="1" applyFill="1" applyBorder="1" applyAlignment="1">
      <alignment horizontal="center" vertical="center"/>
    </xf>
    <xf numFmtId="186" fontId="19" fillId="3" borderId="32" xfId="0" applyNumberFormat="1" applyFont="1" applyFill="1" applyBorder="1" applyAlignment="1">
      <alignment horizontal="center" vertical="center"/>
    </xf>
    <xf numFmtId="186" fontId="19" fillId="7" borderId="32" xfId="0" applyNumberFormat="1" applyFont="1" applyFill="1" applyBorder="1" applyAlignment="1">
      <alignment horizontal="center" vertical="center"/>
    </xf>
    <xf numFmtId="185" fontId="19" fillId="7" borderId="31" xfId="0" applyNumberFormat="1" applyFont="1" applyFill="1" applyBorder="1" applyAlignment="1">
      <alignment horizontal="center" vertical="center"/>
    </xf>
    <xf numFmtId="180" fontId="19" fillId="3" borderId="31" xfId="0" applyNumberFormat="1" applyFont="1" applyFill="1" applyBorder="1" applyAlignment="1">
      <alignment horizontal="center" vertical="center"/>
    </xf>
    <xf numFmtId="187" fontId="19" fillId="7" borderId="31" xfId="0" applyNumberFormat="1" applyFont="1" applyFill="1" applyBorder="1" applyAlignment="1">
      <alignment horizontal="center" vertical="center"/>
    </xf>
    <xf numFmtId="186" fontId="19" fillId="3" borderId="31" xfId="0" applyNumberFormat="1" applyFont="1" applyFill="1" applyBorder="1" applyAlignment="1">
      <alignment horizontal="center" vertical="center"/>
    </xf>
    <xf numFmtId="186" fontId="19" fillId="7" borderId="31" xfId="0" applyNumberFormat="1" applyFont="1" applyFill="1" applyBorder="1" applyAlignment="1">
      <alignment horizontal="center" vertical="center"/>
    </xf>
    <xf numFmtId="187" fontId="19" fillId="7" borderId="33" xfId="0" applyNumberFormat="1" applyFont="1" applyFill="1" applyBorder="1" applyAlignment="1">
      <alignment horizontal="center" vertical="center"/>
    </xf>
    <xf numFmtId="186" fontId="19" fillId="3" borderId="33" xfId="0" applyNumberFormat="1" applyFont="1" applyFill="1" applyBorder="1" applyAlignment="1">
      <alignment horizontal="center" vertical="center"/>
    </xf>
    <xf numFmtId="186" fontId="19" fillId="7" borderId="33" xfId="0" applyNumberFormat="1" applyFont="1" applyFill="1" applyBorder="1" applyAlignment="1">
      <alignment horizontal="center" vertical="center"/>
    </xf>
    <xf numFmtId="186" fontId="0" fillId="0" borderId="0" xfId="0" applyNumberFormat="1" applyFont="1" applyFill="1" applyAlignment="1">
      <alignment horizontal="right" vertical="center"/>
    </xf>
    <xf numFmtId="186" fontId="23" fillId="3" borderId="31" xfId="0" applyNumberFormat="1" applyFont="1" applyFill="1" applyBorder="1" applyAlignment="1">
      <alignment horizontal="center" vertical="center"/>
    </xf>
    <xf numFmtId="186" fontId="23" fillId="3" borderId="33" xfId="0" applyNumberFormat="1" applyFont="1" applyFill="1" applyBorder="1" applyAlignment="1">
      <alignment horizontal="center" vertical="center"/>
    </xf>
    <xf numFmtId="185" fontId="23" fillId="7" borderId="33" xfId="0" applyNumberFormat="1" applyFont="1" applyFill="1" applyBorder="1" applyAlignment="1">
      <alignment horizontal="center" vertical="center"/>
    </xf>
    <xf numFmtId="180" fontId="23" fillId="3" borderId="33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80" fontId="25" fillId="0" borderId="0" xfId="0" applyNumberFormat="1" applyFont="1" applyAlignment="1">
      <alignment horizontal="center" vertical="center"/>
    </xf>
    <xf numFmtId="180" fontId="18" fillId="2" borderId="0" xfId="0" applyNumberFormat="1" applyFont="1" applyFill="1" applyBorder="1" applyAlignment="1">
      <alignment horizontal="center" vertical="center"/>
    </xf>
    <xf numFmtId="0" fontId="18" fillId="2" borderId="0" xfId="0" applyFont="1" applyFill="1" applyBorder="1"/>
    <xf numFmtId="186" fontId="19" fillId="7" borderId="32" xfId="0" applyNumberFormat="1" applyFont="1" applyFill="1" applyBorder="1" applyAlignment="1">
      <alignment horizontal="right" vertical="center"/>
    </xf>
    <xf numFmtId="186" fontId="19" fillId="7" borderId="31" xfId="0" applyNumberFormat="1" applyFont="1" applyFill="1" applyBorder="1" applyAlignment="1">
      <alignment horizontal="right" vertical="center"/>
    </xf>
    <xf numFmtId="10" fontId="19" fillId="7" borderId="31" xfId="0" applyNumberFormat="1" applyFont="1" applyFill="1" applyBorder="1" applyAlignment="1">
      <alignment horizontal="center"/>
    </xf>
    <xf numFmtId="180" fontId="19" fillId="3" borderId="33" xfId="0" applyNumberFormat="1" applyFont="1" applyFill="1" applyBorder="1" applyAlignment="1">
      <alignment horizontal="center" vertical="center"/>
    </xf>
    <xf numFmtId="10" fontId="19" fillId="7" borderId="33" xfId="0" applyNumberFormat="1" applyFont="1" applyFill="1" applyBorder="1" applyAlignment="1">
      <alignment horizontal="center"/>
    </xf>
    <xf numFmtId="0" fontId="26" fillId="7" borderId="31" xfId="0" applyFont="1" applyFill="1" applyBorder="1"/>
    <xf numFmtId="180" fontId="26" fillId="3" borderId="35" xfId="0" applyNumberFormat="1" applyFont="1" applyFill="1" applyBorder="1" applyAlignment="1">
      <alignment horizontal="center" vertical="center"/>
    </xf>
    <xf numFmtId="180" fontId="26" fillId="3" borderId="36" xfId="0" applyNumberFormat="1" applyFont="1" applyFill="1" applyBorder="1" applyAlignment="1">
      <alignment horizontal="center" vertical="center"/>
    </xf>
    <xf numFmtId="0" fontId="0" fillId="0" borderId="0" xfId="0" applyBorder="1"/>
    <xf numFmtId="180" fontId="26" fillId="3" borderId="37" xfId="0" applyNumberFormat="1" applyFont="1" applyFill="1" applyBorder="1" applyAlignment="1">
      <alignment horizontal="center" vertical="center"/>
    </xf>
    <xf numFmtId="0" fontId="26" fillId="7" borderId="31" xfId="0" applyFont="1" applyFill="1" applyBorder="1" applyAlignment="1">
      <alignment horizontal="left"/>
    </xf>
    <xf numFmtId="180" fontId="26" fillId="3" borderId="38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31" xfId="0" applyFont="1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27" fillId="0" borderId="0" xfId="0" applyFont="1" applyFill="1" applyAlignment="1">
      <alignment vertical="center"/>
    </xf>
    <xf numFmtId="0" fontId="0" fillId="0" borderId="39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left" vertical="center"/>
    </xf>
    <xf numFmtId="0" fontId="19" fillId="0" borderId="3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49" fontId="19" fillId="7" borderId="2" xfId="0" applyNumberFormat="1" applyFont="1" applyFill="1" applyBorder="1" applyAlignment="1">
      <alignment horizontal="center" vertical="center"/>
    </xf>
    <xf numFmtId="49" fontId="19" fillId="3" borderId="2" xfId="0" applyNumberFormat="1" applyFont="1" applyFill="1" applyBorder="1" applyAlignment="1">
      <alignment horizontal="center" vertical="center"/>
    </xf>
    <xf numFmtId="188" fontId="19" fillId="7" borderId="2" xfId="0" applyNumberFormat="1" applyFont="1" applyFill="1" applyBorder="1" applyAlignment="1">
      <alignment horizontal="center" vertical="center"/>
    </xf>
    <xf numFmtId="49" fontId="19" fillId="7" borderId="40" xfId="0" applyNumberFormat="1" applyFont="1" applyFill="1" applyBorder="1" applyAlignment="1">
      <alignment horizontal="left" vertical="center"/>
    </xf>
    <xf numFmtId="49" fontId="19" fillId="3" borderId="40" xfId="0" applyNumberFormat="1" applyFont="1" applyFill="1" applyBorder="1" applyAlignment="1">
      <alignment horizontal="center" vertical="center"/>
    </xf>
    <xf numFmtId="49" fontId="19" fillId="7" borderId="40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 vertical="center"/>
    </xf>
    <xf numFmtId="0" fontId="21" fillId="2" borderId="0" xfId="0" applyFont="1" applyFill="1" applyBorder="1" applyAlignment="1">
      <alignment horizontal="center" vertical="center" wrapText="1"/>
    </xf>
    <xf numFmtId="0" fontId="23" fillId="7" borderId="32" xfId="0" applyFont="1" applyFill="1" applyBorder="1" applyAlignment="1">
      <alignment horizontal="center" vertical="center"/>
    </xf>
    <xf numFmtId="0" fontId="23" fillId="7" borderId="33" xfId="0" applyFont="1" applyFill="1" applyBorder="1" applyAlignment="1">
      <alignment horizontal="center" vertical="center"/>
    </xf>
    <xf numFmtId="0" fontId="30" fillId="8" borderId="0" xfId="0" applyFont="1" applyFill="1" applyAlignment="1">
      <alignment vertical="center"/>
    </xf>
    <xf numFmtId="0" fontId="0" fillId="8" borderId="0" xfId="0" applyFont="1" applyFill="1" applyAlignment="1">
      <alignment vertical="center"/>
    </xf>
    <xf numFmtId="0" fontId="31" fillId="8" borderId="0" xfId="0" applyFont="1" applyFill="1" applyAlignment="1">
      <alignment vertical="center"/>
    </xf>
    <xf numFmtId="0" fontId="32" fillId="0" borderId="0" xfId="0" applyFont="1" applyFill="1" applyAlignment="1">
      <alignment vertical="center"/>
    </xf>
    <xf numFmtId="0" fontId="32" fillId="0" borderId="0" xfId="0" applyFont="1" applyFill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2" fillId="8" borderId="0" xfId="0" applyFont="1" applyFill="1" applyAlignment="1">
      <alignment vertical="center"/>
    </xf>
    <xf numFmtId="188" fontId="18" fillId="2" borderId="8" xfId="0" applyNumberFormat="1" applyFont="1" applyFill="1" applyBorder="1" applyAlignment="1">
      <alignment horizontal="center" vertical="center"/>
    </xf>
    <xf numFmtId="188" fontId="18" fillId="2" borderId="9" xfId="0" applyNumberFormat="1" applyFont="1" applyFill="1" applyBorder="1" applyAlignment="1">
      <alignment horizontal="center" vertical="center"/>
    </xf>
    <xf numFmtId="188" fontId="18" fillId="2" borderId="10" xfId="0" applyNumberFormat="1" applyFont="1" applyFill="1" applyBorder="1" applyAlignment="1">
      <alignment horizontal="center" vertical="center"/>
    </xf>
    <xf numFmtId="188" fontId="18" fillId="2" borderId="22" xfId="0" applyNumberFormat="1" applyFont="1" applyFill="1" applyBorder="1" applyAlignment="1">
      <alignment horizontal="center" vertical="center"/>
    </xf>
    <xf numFmtId="0" fontId="30" fillId="0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188" fontId="33" fillId="2" borderId="9" xfId="0" applyNumberFormat="1" applyFont="1" applyFill="1" applyBorder="1" applyAlignment="1">
      <alignment horizontal="left" vertical="center" wrapText="1"/>
    </xf>
    <xf numFmtId="188" fontId="33" fillId="2" borderId="10" xfId="0" applyNumberFormat="1" applyFont="1" applyFill="1" applyBorder="1" applyAlignment="1">
      <alignment horizontal="left" vertical="center" wrapText="1"/>
    </xf>
    <xf numFmtId="188" fontId="33" fillId="2" borderId="22" xfId="0" applyNumberFormat="1" applyFont="1" applyFill="1" applyBorder="1" applyAlignment="1">
      <alignment horizontal="left" vertical="center" wrapText="1"/>
    </xf>
    <xf numFmtId="0" fontId="23" fillId="0" borderId="32" xfId="0" applyFont="1" applyFill="1" applyBorder="1" applyAlignment="1">
      <alignment vertical="center"/>
    </xf>
    <xf numFmtId="0" fontId="23" fillId="0" borderId="32" xfId="0" applyFont="1" applyFill="1" applyBorder="1" applyAlignment="1">
      <alignment horizontal="center" vertical="center"/>
    </xf>
    <xf numFmtId="0" fontId="23" fillId="0" borderId="32" xfId="0" applyNumberFormat="1" applyFont="1" applyFill="1" applyBorder="1" applyAlignment="1">
      <alignment horizontal="center" vertical="center"/>
    </xf>
    <xf numFmtId="188" fontId="19" fillId="0" borderId="31" xfId="0" applyNumberFormat="1" applyFont="1" applyFill="1" applyBorder="1" applyAlignment="1">
      <alignment horizontal="center" vertical="center"/>
    </xf>
    <xf numFmtId="185" fontId="19" fillId="7" borderId="2" xfId="0" applyNumberFormat="1" applyFont="1" applyFill="1" applyBorder="1" applyAlignment="1">
      <alignment horizontal="center" vertical="center"/>
    </xf>
    <xf numFmtId="188" fontId="19" fillId="3" borderId="2" xfId="0" applyNumberFormat="1" applyFont="1" applyFill="1" applyBorder="1" applyAlignment="1">
      <alignment horizontal="center" vertical="center"/>
    </xf>
    <xf numFmtId="10" fontId="19" fillId="7" borderId="2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9" fontId="19" fillId="7" borderId="2" xfId="0" applyNumberFormat="1" applyFont="1" applyFill="1" applyBorder="1" applyAlignment="1">
      <alignment horizontal="center" vertical="center"/>
    </xf>
    <xf numFmtId="10" fontId="19" fillId="7" borderId="2" xfId="3" applyNumberFormat="1" applyFont="1" applyFill="1" applyBorder="1" applyAlignment="1">
      <alignment horizontal="center" vertical="center"/>
    </xf>
    <xf numFmtId="0" fontId="23" fillId="0" borderId="31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180" fontId="19" fillId="0" borderId="31" xfId="0" applyNumberFormat="1" applyFont="1" applyFill="1" applyBorder="1" applyAlignment="1">
      <alignment horizontal="center" vertical="center"/>
    </xf>
    <xf numFmtId="0" fontId="23" fillId="0" borderId="39" xfId="0" applyFont="1" applyFill="1" applyBorder="1" applyAlignment="1">
      <alignment horizontal="center" vertical="center"/>
    </xf>
    <xf numFmtId="0" fontId="23" fillId="0" borderId="41" xfId="0" applyFont="1" applyFill="1" applyBorder="1" applyAlignment="1">
      <alignment horizontal="center" vertical="center"/>
    </xf>
    <xf numFmtId="0" fontId="23" fillId="0" borderId="42" xfId="0" applyFont="1" applyFill="1" applyBorder="1" applyAlignment="1">
      <alignment horizontal="center" vertical="center"/>
    </xf>
    <xf numFmtId="0" fontId="23" fillId="0" borderId="43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10" fontId="19" fillId="3" borderId="2" xfId="0" applyNumberFormat="1" applyFont="1" applyFill="1" applyBorder="1" applyAlignment="1">
      <alignment horizontal="center" vertical="center"/>
    </xf>
    <xf numFmtId="0" fontId="31" fillId="0" borderId="0" xfId="0" applyFont="1" applyFill="1" applyAlignment="1">
      <alignment vertical="center"/>
    </xf>
    <xf numFmtId="10" fontId="19" fillId="3" borderId="2" xfId="3" applyNumberFormat="1" applyFont="1" applyFill="1" applyBorder="1" applyAlignment="1">
      <alignment horizontal="center" vertical="center"/>
    </xf>
    <xf numFmtId="10" fontId="26" fillId="7" borderId="2" xfId="0" applyNumberFormat="1" applyFont="1" applyFill="1" applyBorder="1" applyAlignment="1">
      <alignment horizontal="center" vertical="center"/>
    </xf>
    <xf numFmtId="10" fontId="32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85" fontId="0" fillId="7" borderId="2" xfId="0" applyNumberFormat="1" applyFont="1" applyFill="1" applyBorder="1" applyAlignment="1">
      <alignment horizontal="center" vertical="center"/>
    </xf>
    <xf numFmtId="188" fontId="0" fillId="7" borderId="2" xfId="0" applyNumberFormat="1" applyFont="1" applyFill="1" applyBorder="1" applyAlignment="1">
      <alignment horizontal="center" vertical="center"/>
    </xf>
    <xf numFmtId="10" fontId="0" fillId="7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4" fillId="0" borderId="0" xfId="0" applyFont="1" applyFill="1" applyAlignment="1">
      <alignment horizontal="left" vertical="center" wrapText="1"/>
    </xf>
    <xf numFmtId="0" fontId="34" fillId="0" borderId="0" xfId="0" applyFont="1" applyFill="1" applyAlignment="1">
      <alignment horizontal="center" vertical="center" wrapText="1"/>
    </xf>
    <xf numFmtId="0" fontId="18" fillId="2" borderId="31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 wrapText="1"/>
    </xf>
    <xf numFmtId="189" fontId="23" fillId="3" borderId="2" xfId="0" applyNumberFormat="1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176" fontId="6" fillId="8" borderId="31" xfId="0" applyNumberFormat="1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57" fontId="19" fillId="7" borderId="2" xfId="0" applyNumberFormat="1" applyFont="1" applyFill="1" applyBorder="1" applyAlignment="1">
      <alignment horizontal="center" vertical="center" wrapText="1"/>
    </xf>
    <xf numFmtId="189" fontId="19" fillId="3" borderId="2" xfId="0" applyNumberFormat="1" applyFont="1" applyFill="1" applyBorder="1" applyAlignment="1">
      <alignment horizontal="center" vertical="center" wrapText="1"/>
    </xf>
    <xf numFmtId="190" fontId="19" fillId="7" borderId="2" xfId="0" applyNumberFormat="1" applyFont="1" applyFill="1" applyBorder="1" applyAlignment="1">
      <alignment horizontal="center" vertical="center" wrapText="1"/>
    </xf>
    <xf numFmtId="190" fontId="19" fillId="3" borderId="2" xfId="0" applyNumberFormat="1" applyFont="1" applyFill="1" applyBorder="1" applyAlignment="1">
      <alignment horizontal="center" vertical="center" wrapText="1"/>
    </xf>
    <xf numFmtId="0" fontId="0" fillId="0" borderId="44" xfId="0" applyFill="1" applyBorder="1" applyAlignment="1">
      <alignment horizontal="center" vertical="center"/>
    </xf>
    <xf numFmtId="177" fontId="6" fillId="8" borderId="31" xfId="0" applyNumberFormat="1" applyFont="1" applyFill="1" applyBorder="1" applyAlignment="1">
      <alignment horizontal="center" vertical="center"/>
    </xf>
    <xf numFmtId="10" fontId="6" fillId="8" borderId="31" xfId="0" applyNumberFormat="1" applyFont="1" applyFill="1" applyBorder="1" applyAlignment="1" applyProtection="1">
      <alignment horizontal="center" vertical="center"/>
    </xf>
    <xf numFmtId="176" fontId="2" fillId="8" borderId="31" xfId="0" applyNumberFormat="1" applyFont="1" applyFill="1" applyBorder="1" applyAlignment="1">
      <alignment horizontal="center" vertical="center"/>
    </xf>
    <xf numFmtId="177" fontId="2" fillId="8" borderId="31" xfId="0" applyNumberFormat="1" applyFont="1" applyFill="1" applyBorder="1" applyAlignment="1">
      <alignment horizontal="center" vertical="center"/>
    </xf>
    <xf numFmtId="10" fontId="2" fillId="8" borderId="31" xfId="0" applyNumberFormat="1" applyFont="1" applyFill="1" applyBorder="1" applyAlignment="1" applyProtection="1">
      <alignment horizontal="center" vertical="center"/>
    </xf>
    <xf numFmtId="189" fontId="0" fillId="3" borderId="2" xfId="0" applyNumberFormat="1" applyFont="1" applyFill="1" applyBorder="1" applyAlignment="1">
      <alignment horizontal="center" vertical="center" wrapText="1"/>
    </xf>
    <xf numFmtId="190" fontId="0" fillId="7" borderId="2" xfId="0" applyNumberFormat="1" applyFont="1" applyFill="1" applyBorder="1" applyAlignment="1">
      <alignment horizontal="center" vertical="center" wrapText="1"/>
    </xf>
    <xf numFmtId="190" fontId="0" fillId="3" borderId="2" xfId="0" applyNumberFormat="1" applyFont="1" applyFill="1" applyBorder="1" applyAlignment="1">
      <alignment horizontal="center" vertical="center" wrapText="1"/>
    </xf>
    <xf numFmtId="10" fontId="0" fillId="0" borderId="45" xfId="0" applyNumberFormat="1" applyFill="1" applyBorder="1" applyAlignment="1">
      <alignment horizontal="center" vertical="center"/>
    </xf>
    <xf numFmtId="0" fontId="16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center" vertical="center"/>
    </xf>
    <xf numFmtId="57" fontId="23" fillId="7" borderId="46" xfId="0" applyNumberFormat="1" applyFont="1" applyFill="1" applyBorder="1" applyAlignment="1">
      <alignment horizontal="center" vertical="center" wrapText="1"/>
    </xf>
    <xf numFmtId="189" fontId="23" fillId="3" borderId="46" xfId="0" applyNumberFormat="1" applyFont="1" applyFill="1" applyBorder="1" applyAlignment="1">
      <alignment horizontal="center" vertical="center" wrapText="1"/>
    </xf>
    <xf numFmtId="190" fontId="23" fillId="7" borderId="46" xfId="0" applyNumberFormat="1" applyFont="1" applyFill="1" applyBorder="1" applyAlignment="1">
      <alignment horizontal="center" vertical="center" wrapText="1"/>
    </xf>
    <xf numFmtId="190" fontId="23" fillId="3" borderId="46" xfId="0" applyNumberFormat="1" applyFont="1" applyFill="1" applyBorder="1" applyAlignment="1" applyProtection="1">
      <alignment horizontal="center" vertical="center" wrapText="1"/>
    </xf>
    <xf numFmtId="190" fontId="0" fillId="0" borderId="0" xfId="0" applyNumberFormat="1" applyAlignment="1">
      <alignment horizontal="center" vertical="center"/>
    </xf>
    <xf numFmtId="176" fontId="37" fillId="8" borderId="31" xfId="0" applyNumberFormat="1" applyFont="1" applyFill="1" applyBorder="1" applyAlignment="1">
      <alignment horizontal="center" vertical="center"/>
    </xf>
    <xf numFmtId="177" fontId="37" fillId="8" borderId="31" xfId="0" applyNumberFormat="1" applyFont="1" applyFill="1" applyBorder="1" applyAlignment="1">
      <alignment horizontal="center" vertical="center"/>
    </xf>
    <xf numFmtId="10" fontId="37" fillId="8" borderId="31" xfId="0" applyNumberFormat="1" applyFont="1" applyFill="1" applyBorder="1" applyAlignment="1" applyProtection="1">
      <alignment horizontal="center" vertical="center"/>
    </xf>
    <xf numFmtId="176" fontId="2" fillId="0" borderId="31" xfId="0" applyNumberFormat="1" applyFont="1" applyFill="1" applyBorder="1" applyAlignment="1">
      <alignment horizontal="center" vertical="center"/>
    </xf>
    <xf numFmtId="177" fontId="2" fillId="0" borderId="31" xfId="0" applyNumberFormat="1" applyFont="1" applyFill="1" applyBorder="1" applyAlignment="1">
      <alignment horizontal="center" vertical="center"/>
    </xf>
    <xf numFmtId="10" fontId="2" fillId="0" borderId="31" xfId="0" applyNumberFormat="1" applyFont="1" applyFill="1" applyBorder="1" applyAlignment="1" applyProtection="1">
      <alignment horizontal="center" vertical="center"/>
    </xf>
    <xf numFmtId="10" fontId="2" fillId="8" borderId="31" xfId="0" applyNumberFormat="1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10" fontId="37" fillId="8" borderId="31" xfId="0" applyNumberFormat="1" applyFont="1" applyFill="1" applyBorder="1" applyAlignment="1">
      <alignment horizontal="center" vertical="center"/>
    </xf>
    <xf numFmtId="176" fontId="37" fillId="0" borderId="31" xfId="0" applyNumberFormat="1" applyFont="1" applyFill="1" applyBorder="1" applyAlignment="1">
      <alignment horizontal="center" vertical="center"/>
    </xf>
    <xf numFmtId="177" fontId="37" fillId="0" borderId="31" xfId="0" applyNumberFormat="1" applyFont="1" applyFill="1" applyBorder="1" applyAlignment="1">
      <alignment horizontal="center" vertical="center"/>
    </xf>
    <xf numFmtId="10" fontId="37" fillId="0" borderId="31" xfId="0" applyNumberFormat="1" applyFont="1" applyFill="1" applyBorder="1" applyAlignment="1">
      <alignment horizontal="center" vertical="center"/>
    </xf>
    <xf numFmtId="0" fontId="37" fillId="8" borderId="31" xfId="0" applyFont="1" applyFill="1" applyBorder="1" applyAlignment="1">
      <alignment horizontal="center" vertical="center"/>
    </xf>
    <xf numFmtId="0" fontId="37" fillId="0" borderId="31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10" fontId="2" fillId="0" borderId="31" xfId="0" applyNumberFormat="1" applyFont="1" applyFill="1" applyBorder="1" applyAlignment="1">
      <alignment horizontal="center" vertical="center"/>
    </xf>
    <xf numFmtId="176" fontId="2" fillId="8" borderId="32" xfId="0" applyNumberFormat="1" applyFont="1" applyFill="1" applyBorder="1" applyAlignment="1">
      <alignment horizontal="center" vertical="center"/>
    </xf>
    <xf numFmtId="0" fontId="2" fillId="8" borderId="32" xfId="0" applyFont="1" applyFill="1" applyBorder="1" applyAlignment="1">
      <alignment horizontal="center" vertical="center"/>
    </xf>
    <xf numFmtId="10" fontId="2" fillId="8" borderId="47" xfId="0" applyNumberFormat="1" applyFont="1" applyFill="1" applyBorder="1" applyAlignment="1">
      <alignment horizontal="center" vertical="center"/>
    </xf>
    <xf numFmtId="0" fontId="2" fillId="8" borderId="31" xfId="0" applyNumberFormat="1" applyFont="1" applyFill="1" applyBorder="1" applyAlignment="1" applyProtection="1">
      <alignment horizontal="center" vertical="center"/>
    </xf>
    <xf numFmtId="0" fontId="0" fillId="8" borderId="0" xfId="0" applyFill="1"/>
    <xf numFmtId="0" fontId="38" fillId="2" borderId="0" xfId="0" applyFont="1" applyFill="1" applyBorder="1" applyAlignment="1">
      <alignment horizontal="center" vertical="center"/>
    </xf>
    <xf numFmtId="0" fontId="39" fillId="8" borderId="0" xfId="6" applyFont="1" applyFill="1" applyAlignment="1">
      <alignment vertical="center"/>
    </xf>
    <xf numFmtId="0" fontId="40" fillId="8" borderId="0" xfId="0" applyFont="1" applyFill="1"/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95" xfId="49"/>
    <cellStyle name="常规 2 3" xfId="50"/>
    <cellStyle name="常规 2" xfId="51"/>
    <cellStyle name="常规 3" xfId="52"/>
    <cellStyle name="常规 4" xfId="53"/>
  </cellStyles>
  <dxfs count="8"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0"/>
        <i val="0"/>
        <u val="none"/>
        <sz val="11"/>
        <color rgb="FF000000"/>
      </font>
      <fill>
        <patternFill patternType="solid">
          <bgColor rgb="FFF8F8F8"/>
        </patternFill>
      </fill>
    </dxf>
    <dxf>
      <font>
        <b val="0"/>
        <i val="0"/>
        <u val="none"/>
        <sz val="11"/>
        <color rgb="FFFFFFFF"/>
      </font>
      <fill>
        <patternFill patternType="solid">
          <bgColor rgb="FFE24D4E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border>
        <left style="thin">
          <color rgb="FFE24D4E"/>
        </left>
        <right style="thin">
          <color rgb="FFE24D4E"/>
        </right>
        <top style="thin">
          <color rgb="FFE24D4E"/>
        </top>
        <bottom style="thick">
          <color rgb="FFE24D4E"/>
        </bottom>
        <vertical style="thin">
          <color rgb="FFE24D4E"/>
        </vertical>
        <horizontal style="thin">
          <color rgb="FFE24D4E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EAEAEA"/>
        </patternFill>
      </fill>
    </dxf>
    <dxf>
      <font>
        <b val="0"/>
        <i val="0"/>
        <u val="none"/>
        <sz val="11"/>
        <color rgb="FFE24D4E"/>
      </font>
      <fill>
        <patternFill patternType="solid">
          <bgColor rgb="FFFFFFFF"/>
        </patternFill>
      </fill>
      <border>
        <left/>
        <right/>
        <top style="thick">
          <color rgb="FFE24D4E"/>
        </top>
        <bottom style="thick">
          <color rgb="FFE24D4E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thick">
          <color rgb="FFE24D4E"/>
        </bottom>
        <vertical style="medium">
          <color rgb="FFC0C0C0"/>
        </vertical>
        <horizontal/>
      </border>
    </dxf>
  </dxfs>
  <tableStyles count="2" defaultTableStyle="TableStyleMedium2" defaultPivotStyle="PivotStyleLight16">
    <tableStyle name="红色标题行灰白间隔列表格样式" count="4" xr9:uid="{67B08788-8538-4421-A0BB-619BA85A5198}">
      <tableStyleElement type="wholeTable" dxfId="3"/>
      <tableStyleElement type="headerRow" dxfId="2"/>
      <tableStyleElement type="firstColumnStripe" dxfId="1"/>
      <tableStyleElement type="secondColumnStripe" dxfId="0"/>
    </tableStyle>
    <tableStyle name="红色线条灰白相间表格样式" count="4" xr9:uid="{E2B19ED0-65E2-4317-B103-26966CEF6519}">
      <tableStyleElement type="wholeTable" dxfId="7"/>
      <tableStyleElement type="headerRow" dxfId="6"/>
      <tableStyleElement type="firstRowStripe" dxfId="5"/>
      <tableStyleElement type="secondRowStripe" dxfId="4"/>
    </tableStyle>
  </tableStyles>
  <colors>
    <mruColors>
      <color rgb="0000B050"/>
      <color rgb="00FFFF00"/>
      <color rgb="00FF0000"/>
      <color rgb="00E24D4E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customXml" Target="../customXml/item1.xml"/><Relationship Id="rId17" Type="http://schemas.openxmlformats.org/officeDocument/2006/relationships/connections" Target="connections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defRPr>
            </a:pPr>
            <a:r>
              <a:rPr lang="en-US" altLang="zh-CN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2017-2026</a:t>
            </a:r>
            <a:r>
              <a:rPr lang="zh-CN" altLang="en-US" b="1">
                <a:solidFill>
                  <a:sysClr val="windowText" lastClr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年规模以上生猪定点屠宰量变化</a:t>
            </a:r>
            <a:endParaRPr lang="zh-CN" altLang="en-US" b="1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75342877164881"/>
          <c:y val="0.1875"/>
          <c:w val="0.910441485634198"/>
          <c:h val="0.735"/>
        </c:manualLayout>
      </c:layout>
      <c:lineChart>
        <c:grouping val="standard"/>
        <c:varyColors val="0"/>
        <c:ser>
          <c:idx val="0"/>
          <c:order val="0"/>
          <c:tx>
            <c:strRef>
              <c:f>'官方-商务部月度屠宰量'!$K$2</c:f>
              <c:strCache>
                <c:ptCount val="1"/>
                <c:pt idx="0">
                  <c:v>2017年</c:v>
                </c:pt>
              </c:strCache>
            </c:strRef>
          </c:tx>
          <c:spPr>
            <a:ln w="28575" cap="rnd" cmpd="sng" algn="ctr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'官方-商务部月度屠宰量'!$D$3:$D$14</c:f>
              <c:strCache>
                <c:ptCount val="12"/>
                <c:pt idx="0" c:formatCode="yyyy/mm;@">
                  <c:v>1月</c:v>
                </c:pt>
                <c:pt idx="1" c:formatCode="yyyy/mm;@">
                  <c:v>2月</c:v>
                </c:pt>
                <c:pt idx="2" c:formatCode="yyyy/mm;@">
                  <c:v>3月</c:v>
                </c:pt>
                <c:pt idx="3" c:formatCode="yyyy/mm;@">
                  <c:v>4月</c:v>
                </c:pt>
                <c:pt idx="4" c:formatCode="yyyy/mm;@">
                  <c:v>5月</c:v>
                </c:pt>
                <c:pt idx="5" c:formatCode="yyyy/mm;@">
                  <c:v>6月</c:v>
                </c:pt>
                <c:pt idx="6" c:formatCode="yyyy/mm;@">
                  <c:v>7月</c:v>
                </c:pt>
                <c:pt idx="7" c:formatCode="yyyy/mm;@">
                  <c:v>8月</c:v>
                </c:pt>
                <c:pt idx="8" c:formatCode="yyyy/mm;@">
                  <c:v>9月</c:v>
                </c:pt>
                <c:pt idx="9" c:formatCode="yyyy/mm;@">
                  <c:v>10月</c:v>
                </c:pt>
                <c:pt idx="10" c:formatCode="yyyy/mm;@">
                  <c:v>11月</c:v>
                </c:pt>
                <c:pt idx="11" c:formatCode="yyyy/mm;@">
                  <c:v>12月</c:v>
                </c:pt>
              </c:strCache>
            </c:strRef>
          </c:cat>
          <c:val>
            <c:numRef>
              <c:f>'官方-商务部月度屠宰量'!$K$3:$K$14</c:f>
              <c:numCache>
                <c:formatCode>###,###,###,###,##0.00_ </c:formatCode>
                <c:ptCount val="12"/>
                <c:pt idx="0">
                  <c:v>2075.44</c:v>
                </c:pt>
                <c:pt idx="1">
                  <c:v>1274.45</c:v>
                </c:pt>
                <c:pt idx="2">
                  <c:v>1719.18</c:v>
                </c:pt>
                <c:pt idx="3">
                  <c:v>1736.76</c:v>
                </c:pt>
                <c:pt idx="4">
                  <c:v>1851.21</c:v>
                </c:pt>
                <c:pt idx="5">
                  <c:v>1774.96</c:v>
                </c:pt>
                <c:pt idx="6">
                  <c:v>1807.015</c:v>
                </c:pt>
                <c:pt idx="7">
                  <c:v>1826.35</c:v>
                </c:pt>
                <c:pt idx="8">
                  <c:v>1871.13</c:v>
                </c:pt>
                <c:pt idx="9">
                  <c:v>1916.38</c:v>
                </c:pt>
                <c:pt idx="10">
                  <c:v>2006.43</c:v>
                </c:pt>
                <c:pt idx="11">
                  <c:v>2324.54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'官方-商务部月度屠宰量'!$L$2</c:f>
              <c:strCache>
                <c:ptCount val="1"/>
                <c:pt idx="0">
                  <c:v>2018年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'官方-商务部月度屠宰量'!$D$3:$D$14</c:f>
              <c:strCache>
                <c:ptCount val="12"/>
                <c:pt idx="0" c:formatCode="yyyy/mm;@">
                  <c:v>1月</c:v>
                </c:pt>
                <c:pt idx="1" c:formatCode="yyyy/mm;@">
                  <c:v>2月</c:v>
                </c:pt>
                <c:pt idx="2" c:formatCode="yyyy/mm;@">
                  <c:v>3月</c:v>
                </c:pt>
                <c:pt idx="3" c:formatCode="yyyy/mm;@">
                  <c:v>4月</c:v>
                </c:pt>
                <c:pt idx="4" c:formatCode="yyyy/mm;@">
                  <c:v>5月</c:v>
                </c:pt>
                <c:pt idx="5" c:formatCode="yyyy/mm;@">
                  <c:v>6月</c:v>
                </c:pt>
                <c:pt idx="6" c:formatCode="yyyy/mm;@">
                  <c:v>7月</c:v>
                </c:pt>
                <c:pt idx="7" c:formatCode="yyyy/mm;@">
                  <c:v>8月</c:v>
                </c:pt>
                <c:pt idx="8" c:formatCode="yyyy/mm;@">
                  <c:v>9月</c:v>
                </c:pt>
                <c:pt idx="9" c:formatCode="yyyy/mm;@">
                  <c:v>10月</c:v>
                </c:pt>
                <c:pt idx="10" c:formatCode="yyyy/mm;@">
                  <c:v>11月</c:v>
                </c:pt>
                <c:pt idx="11" c:formatCode="yyyy/mm;@">
                  <c:v>12月</c:v>
                </c:pt>
              </c:strCache>
            </c:strRef>
          </c:cat>
          <c:val>
            <c:numRef>
              <c:f>'官方-商务部月度屠宰量'!$L$3:$L$14</c:f>
              <c:numCache>
                <c:formatCode>###,###,###,###,##0.00_ </c:formatCode>
                <c:ptCount val="12"/>
                <c:pt idx="0">
                  <c:v>2289.21</c:v>
                </c:pt>
                <c:pt idx="1">
                  <c:v>1748.39</c:v>
                </c:pt>
                <c:pt idx="2">
                  <c:v>1917</c:v>
                </c:pt>
                <c:pt idx="3">
                  <c:v>2116.09</c:v>
                </c:pt>
                <c:pt idx="4">
                  <c:v>2136.203</c:v>
                </c:pt>
                <c:pt idx="5">
                  <c:v>1957.83</c:v>
                </c:pt>
                <c:pt idx="6">
                  <c:v>1951.34</c:v>
                </c:pt>
                <c:pt idx="7">
                  <c:v>1966.861</c:v>
                </c:pt>
                <c:pt idx="8">
                  <c:v>1923</c:v>
                </c:pt>
                <c:pt idx="9">
                  <c:v>1950.95</c:v>
                </c:pt>
                <c:pt idx="10">
                  <c:v>2006.51</c:v>
                </c:pt>
                <c:pt idx="11">
                  <c:v>2288.35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'官方-商务部月度屠宰量'!$M$2</c:f>
              <c:strCache>
                <c:ptCount val="1"/>
                <c:pt idx="0">
                  <c:v>2019年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'官方-商务部月度屠宰量'!$D$3:$D$14</c:f>
              <c:strCache>
                <c:ptCount val="12"/>
                <c:pt idx="0" c:formatCode="yyyy/mm;@">
                  <c:v>1月</c:v>
                </c:pt>
                <c:pt idx="1" c:formatCode="yyyy/mm;@">
                  <c:v>2月</c:v>
                </c:pt>
                <c:pt idx="2" c:formatCode="yyyy/mm;@">
                  <c:v>3月</c:v>
                </c:pt>
                <c:pt idx="3" c:formatCode="yyyy/mm;@">
                  <c:v>4月</c:v>
                </c:pt>
                <c:pt idx="4" c:formatCode="yyyy/mm;@">
                  <c:v>5月</c:v>
                </c:pt>
                <c:pt idx="5" c:formatCode="yyyy/mm;@">
                  <c:v>6月</c:v>
                </c:pt>
                <c:pt idx="6" c:formatCode="yyyy/mm;@">
                  <c:v>7月</c:v>
                </c:pt>
                <c:pt idx="7" c:formatCode="yyyy/mm;@">
                  <c:v>8月</c:v>
                </c:pt>
                <c:pt idx="8" c:formatCode="yyyy/mm;@">
                  <c:v>9月</c:v>
                </c:pt>
                <c:pt idx="9" c:formatCode="yyyy/mm;@">
                  <c:v>10月</c:v>
                </c:pt>
                <c:pt idx="10" c:formatCode="yyyy/mm;@">
                  <c:v>11月</c:v>
                </c:pt>
                <c:pt idx="11" c:formatCode="yyyy/mm;@">
                  <c:v>12月</c:v>
                </c:pt>
              </c:strCache>
            </c:strRef>
          </c:cat>
          <c:val>
            <c:numRef>
              <c:f>'官方-商务部月度屠宰量'!$M$3:$M$14</c:f>
              <c:numCache>
                <c:formatCode>###,###,###,###,##0.00_ </c:formatCode>
                <c:ptCount val="12"/>
                <c:pt idx="0">
                  <c:v>2434.01</c:v>
                </c:pt>
                <c:pt idx="1">
                  <c:v>1292.88</c:v>
                </c:pt>
                <c:pt idx="2">
                  <c:v>1855.72</c:v>
                </c:pt>
                <c:pt idx="3">
                  <c:v>1840.63</c:v>
                </c:pt>
                <c:pt idx="4">
                  <c:v>1915.35</c:v>
                </c:pt>
                <c:pt idx="5">
                  <c:v>1758.24</c:v>
                </c:pt>
                <c:pt idx="6">
                  <c:v>1730.34</c:v>
                </c:pt>
                <c:pt idx="7">
                  <c:v>1463.36</c:v>
                </c:pt>
                <c:pt idx="8">
                  <c:v>1233.72</c:v>
                </c:pt>
                <c:pt idx="9">
                  <c:v>1053.1</c:v>
                </c:pt>
                <c:pt idx="10">
                  <c:v>1085.64</c:v>
                </c:pt>
                <c:pt idx="11">
                  <c:v>1452.77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'官方-商务部月度屠宰量'!$N$2</c:f>
              <c:strCache>
                <c:ptCount val="1"/>
                <c:pt idx="0">
                  <c:v>2020年</c:v>
                </c:pt>
              </c:strCache>
            </c:strRef>
          </c:tx>
          <c:spPr>
            <a:ln w="28575" cap="rnd" cmpd="sng" algn="ctr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'官方-商务部月度屠宰量'!$D$3:$D$14</c:f>
              <c:strCache>
                <c:ptCount val="12"/>
                <c:pt idx="0" c:formatCode="yyyy/mm;@">
                  <c:v>1月</c:v>
                </c:pt>
                <c:pt idx="1" c:formatCode="yyyy/mm;@">
                  <c:v>2月</c:v>
                </c:pt>
                <c:pt idx="2" c:formatCode="yyyy/mm;@">
                  <c:v>3月</c:v>
                </c:pt>
                <c:pt idx="3" c:formatCode="yyyy/mm;@">
                  <c:v>4月</c:v>
                </c:pt>
                <c:pt idx="4" c:formatCode="yyyy/mm;@">
                  <c:v>5月</c:v>
                </c:pt>
                <c:pt idx="5" c:formatCode="yyyy/mm;@">
                  <c:v>6月</c:v>
                </c:pt>
                <c:pt idx="6" c:formatCode="yyyy/mm;@">
                  <c:v>7月</c:v>
                </c:pt>
                <c:pt idx="7" c:formatCode="yyyy/mm;@">
                  <c:v>8月</c:v>
                </c:pt>
                <c:pt idx="8" c:formatCode="yyyy/mm;@">
                  <c:v>9月</c:v>
                </c:pt>
                <c:pt idx="9" c:formatCode="yyyy/mm;@">
                  <c:v>10月</c:v>
                </c:pt>
                <c:pt idx="10" c:formatCode="yyyy/mm;@">
                  <c:v>11月</c:v>
                </c:pt>
                <c:pt idx="11" c:formatCode="yyyy/mm;@">
                  <c:v>12月</c:v>
                </c:pt>
              </c:strCache>
            </c:strRef>
          </c:cat>
          <c:val>
            <c:numRef>
              <c:f>'官方-商务部月度屠宰量'!$N$3:$N$14</c:f>
              <c:numCache>
                <c:formatCode>###,###,###,###,##0.00_ </c:formatCode>
                <c:ptCount val="12"/>
                <c:pt idx="0">
                  <c:v>1509.34</c:v>
                </c:pt>
                <c:pt idx="1">
                  <c:v>832.09</c:v>
                </c:pt>
                <c:pt idx="2">
                  <c:v>1171.3</c:v>
                </c:pt>
                <c:pt idx="3">
                  <c:v>1270.24</c:v>
                </c:pt>
                <c:pt idx="4">
                  <c:v>1385.21</c:v>
                </c:pt>
                <c:pt idx="5">
                  <c:v>1309.4</c:v>
                </c:pt>
                <c:pt idx="6">
                  <c:v>1171.21</c:v>
                </c:pt>
                <c:pt idx="7">
                  <c:v>1178.92</c:v>
                </c:pt>
                <c:pt idx="8">
                  <c:v>1285.2</c:v>
                </c:pt>
                <c:pt idx="9">
                  <c:v>1433.27</c:v>
                </c:pt>
                <c:pt idx="10">
                  <c:v>1626.24</c:v>
                </c:pt>
                <c:pt idx="11">
                  <c:v>2060.35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'官方-商务部月度屠宰量'!$O$2</c:f>
              <c:strCache>
                <c:ptCount val="1"/>
                <c:pt idx="0">
                  <c:v>2021年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'官方-商务部月度屠宰量'!$D$3:$D$14</c:f>
              <c:strCache>
                <c:ptCount val="12"/>
                <c:pt idx="0" c:formatCode="yyyy/mm;@">
                  <c:v>1月</c:v>
                </c:pt>
                <c:pt idx="1" c:formatCode="yyyy/mm;@">
                  <c:v>2月</c:v>
                </c:pt>
                <c:pt idx="2" c:formatCode="yyyy/mm;@">
                  <c:v>3月</c:v>
                </c:pt>
                <c:pt idx="3" c:formatCode="yyyy/mm;@">
                  <c:v>4月</c:v>
                </c:pt>
                <c:pt idx="4" c:formatCode="yyyy/mm;@">
                  <c:v>5月</c:v>
                </c:pt>
                <c:pt idx="5" c:formatCode="yyyy/mm;@">
                  <c:v>6月</c:v>
                </c:pt>
                <c:pt idx="6" c:formatCode="yyyy/mm;@">
                  <c:v>7月</c:v>
                </c:pt>
                <c:pt idx="7" c:formatCode="yyyy/mm;@">
                  <c:v>8月</c:v>
                </c:pt>
                <c:pt idx="8" c:formatCode="yyyy/mm;@">
                  <c:v>9月</c:v>
                </c:pt>
                <c:pt idx="9" c:formatCode="yyyy/mm;@">
                  <c:v>10月</c:v>
                </c:pt>
                <c:pt idx="10" c:formatCode="yyyy/mm;@">
                  <c:v>11月</c:v>
                </c:pt>
                <c:pt idx="11" c:formatCode="yyyy/mm;@">
                  <c:v>12月</c:v>
                </c:pt>
              </c:strCache>
            </c:strRef>
          </c:cat>
          <c:val>
            <c:numRef>
              <c:f>'官方-商务部月度屠宰量'!$O$3:$O$14</c:f>
              <c:numCache>
                <c:formatCode>###,###,###,###,##0.00_ </c:formatCode>
                <c:ptCount val="12"/>
                <c:pt idx="0">
                  <c:v>1951.71</c:v>
                </c:pt>
                <c:pt idx="1">
                  <c:v>1424</c:v>
                </c:pt>
                <c:pt idx="2">
                  <c:v>1508.7</c:v>
                </c:pt>
                <c:pt idx="3">
                  <c:v>1804.53</c:v>
                </c:pt>
                <c:pt idx="4">
                  <c:v>1995.65</c:v>
                </c:pt>
                <c:pt idx="5">
                  <c:v>2200</c:v>
                </c:pt>
                <c:pt idx="6">
                  <c:v>2195</c:v>
                </c:pt>
                <c:pt idx="7">
                  <c:v>2329</c:v>
                </c:pt>
                <c:pt idx="8">
                  <c:v>2509</c:v>
                </c:pt>
                <c:pt idx="9">
                  <c:v>3023</c:v>
                </c:pt>
                <c:pt idx="10">
                  <c:v>2649</c:v>
                </c:pt>
                <c:pt idx="11">
                  <c:v>2896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'官方-商务部月度屠宰量'!$P$2</c:f>
              <c:strCache>
                <c:ptCount val="1"/>
                <c:pt idx="0">
                  <c:v>2022年</c:v>
                </c:pt>
              </c:strCache>
            </c:strRef>
          </c:tx>
          <c:spPr>
            <a:ln w="28575" cap="rnd" cmpd="sng" algn="ctr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'官方-商务部月度屠宰量'!$D$3:$D$14</c:f>
              <c:strCache>
                <c:ptCount val="12"/>
                <c:pt idx="0" c:formatCode="yyyy/mm;@">
                  <c:v>1月</c:v>
                </c:pt>
                <c:pt idx="1" c:formatCode="yyyy/mm;@">
                  <c:v>2月</c:v>
                </c:pt>
                <c:pt idx="2" c:formatCode="yyyy/mm;@">
                  <c:v>3月</c:v>
                </c:pt>
                <c:pt idx="3" c:formatCode="yyyy/mm;@">
                  <c:v>4月</c:v>
                </c:pt>
                <c:pt idx="4" c:formatCode="yyyy/mm;@">
                  <c:v>5月</c:v>
                </c:pt>
                <c:pt idx="5" c:formatCode="yyyy/mm;@">
                  <c:v>6月</c:v>
                </c:pt>
                <c:pt idx="6" c:formatCode="yyyy/mm;@">
                  <c:v>7月</c:v>
                </c:pt>
                <c:pt idx="7" c:formatCode="yyyy/mm;@">
                  <c:v>8月</c:v>
                </c:pt>
                <c:pt idx="8" c:formatCode="yyyy/mm;@">
                  <c:v>9月</c:v>
                </c:pt>
                <c:pt idx="9" c:formatCode="yyyy/mm;@">
                  <c:v>10月</c:v>
                </c:pt>
                <c:pt idx="10" c:formatCode="yyyy/mm;@">
                  <c:v>11月</c:v>
                </c:pt>
                <c:pt idx="11" c:formatCode="yyyy/mm;@">
                  <c:v>12月</c:v>
                </c:pt>
              </c:strCache>
            </c:strRef>
          </c:cat>
          <c:val>
            <c:numRef>
              <c:f>'官方-商务部月度屠宰量'!$P$3:$P$14</c:f>
              <c:numCache>
                <c:formatCode>###,###,###,###,##0.00_ </c:formatCode>
                <c:ptCount val="12"/>
                <c:pt idx="0">
                  <c:v>2847</c:v>
                </c:pt>
                <c:pt idx="1">
                  <c:v>1568</c:v>
                </c:pt>
                <c:pt idx="2">
                  <c:v>2590</c:v>
                </c:pt>
                <c:pt idx="3">
                  <c:v>2738</c:v>
                </c:pt>
                <c:pt idx="4">
                  <c:v>2530</c:v>
                </c:pt>
                <c:pt idx="5">
                  <c:v>2413</c:v>
                </c:pt>
                <c:pt idx="6">
                  <c:v>2119</c:v>
                </c:pt>
                <c:pt idx="7">
                  <c:v>2167</c:v>
                </c:pt>
                <c:pt idx="8">
                  <c:v>2109</c:v>
                </c:pt>
                <c:pt idx="9">
                  <c:v>2097</c:v>
                </c:pt>
                <c:pt idx="10">
                  <c:v>2269</c:v>
                </c:pt>
                <c:pt idx="11">
                  <c:v>3090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'官方-商务部月度屠宰量'!$Q$2</c:f>
              <c:strCache>
                <c:ptCount val="1"/>
                <c:pt idx="0">
                  <c:v>2023年</c:v>
                </c:pt>
              </c:strCache>
            </c:strRef>
          </c:tx>
          <c:spPr>
            <a:ln w="28575" cap="rnd" cmpd="sng" algn="ctr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'官方-商务部月度屠宰量'!$D$3:$D$14</c:f>
              <c:strCache>
                <c:ptCount val="12"/>
                <c:pt idx="0" c:formatCode="yyyy/mm;@">
                  <c:v>1月</c:v>
                </c:pt>
                <c:pt idx="1" c:formatCode="yyyy/mm;@">
                  <c:v>2月</c:v>
                </c:pt>
                <c:pt idx="2" c:formatCode="yyyy/mm;@">
                  <c:v>3月</c:v>
                </c:pt>
                <c:pt idx="3" c:formatCode="yyyy/mm;@">
                  <c:v>4月</c:v>
                </c:pt>
                <c:pt idx="4" c:formatCode="yyyy/mm;@">
                  <c:v>5月</c:v>
                </c:pt>
                <c:pt idx="5" c:formatCode="yyyy/mm;@">
                  <c:v>6月</c:v>
                </c:pt>
                <c:pt idx="6" c:formatCode="yyyy/mm;@">
                  <c:v>7月</c:v>
                </c:pt>
                <c:pt idx="7" c:formatCode="yyyy/mm;@">
                  <c:v>8月</c:v>
                </c:pt>
                <c:pt idx="8" c:formatCode="yyyy/mm;@">
                  <c:v>9月</c:v>
                </c:pt>
                <c:pt idx="9" c:formatCode="yyyy/mm;@">
                  <c:v>10月</c:v>
                </c:pt>
                <c:pt idx="10" c:formatCode="yyyy/mm;@">
                  <c:v>11月</c:v>
                </c:pt>
                <c:pt idx="11" c:formatCode="yyyy/mm;@">
                  <c:v>12月</c:v>
                </c:pt>
              </c:strCache>
            </c:strRef>
          </c:cat>
          <c:val>
            <c:numRef>
              <c:f>'官方-商务部月度屠宰量'!$Q$3:$Q$14</c:f>
              <c:numCache>
                <c:formatCode>###,###,###,###,##0.00_ </c:formatCode>
                <c:ptCount val="12"/>
                <c:pt idx="0">
                  <c:v>2897</c:v>
                </c:pt>
                <c:pt idx="1">
                  <c:v>2260</c:v>
                </c:pt>
                <c:pt idx="2">
                  <c:v>2669</c:v>
                </c:pt>
                <c:pt idx="3">
                  <c:v>2863</c:v>
                </c:pt>
                <c:pt idx="4">
                  <c:v>2807</c:v>
                </c:pt>
                <c:pt idx="5">
                  <c:v>2647</c:v>
                </c:pt>
                <c:pt idx="6">
                  <c:v>2684</c:v>
                </c:pt>
                <c:pt idx="7">
                  <c:v>2645</c:v>
                </c:pt>
                <c:pt idx="8">
                  <c:v>2775</c:v>
                </c:pt>
                <c:pt idx="9">
                  <c:v>2867</c:v>
                </c:pt>
                <c:pt idx="10">
                  <c:v>3280</c:v>
                </c:pt>
                <c:pt idx="11">
                  <c:v>3978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'官方-商务部月度屠宰量'!$R$2</c:f>
              <c:strCache>
                <c:ptCount val="1"/>
                <c:pt idx="0">
                  <c:v>2024年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'官方-商务部月度屠宰量'!$D$3:$D$14</c:f>
              <c:strCache>
                <c:ptCount val="12"/>
                <c:pt idx="0" c:formatCode="yyyy/mm;@">
                  <c:v>1月</c:v>
                </c:pt>
                <c:pt idx="1" c:formatCode="yyyy/mm;@">
                  <c:v>2月</c:v>
                </c:pt>
                <c:pt idx="2" c:formatCode="yyyy/mm;@">
                  <c:v>3月</c:v>
                </c:pt>
                <c:pt idx="3" c:formatCode="yyyy/mm;@">
                  <c:v>4月</c:v>
                </c:pt>
                <c:pt idx="4" c:formatCode="yyyy/mm;@">
                  <c:v>5月</c:v>
                </c:pt>
                <c:pt idx="5" c:formatCode="yyyy/mm;@">
                  <c:v>6月</c:v>
                </c:pt>
                <c:pt idx="6" c:formatCode="yyyy/mm;@">
                  <c:v>7月</c:v>
                </c:pt>
                <c:pt idx="7" c:formatCode="yyyy/mm;@">
                  <c:v>8月</c:v>
                </c:pt>
                <c:pt idx="8" c:formatCode="yyyy/mm;@">
                  <c:v>9月</c:v>
                </c:pt>
                <c:pt idx="9" c:formatCode="yyyy/mm;@">
                  <c:v>10月</c:v>
                </c:pt>
                <c:pt idx="10" c:formatCode="yyyy/mm;@">
                  <c:v>11月</c:v>
                </c:pt>
                <c:pt idx="11" c:formatCode="yyyy/mm;@">
                  <c:v>12月</c:v>
                </c:pt>
              </c:strCache>
            </c:strRef>
          </c:cat>
          <c:val>
            <c:numRef>
              <c:f>'官方-商务部月度屠宰量'!$R$3:$R$14</c:f>
              <c:numCache>
                <c:formatCode>###,###,###,###,##0.00_ </c:formatCode>
                <c:ptCount val="12"/>
                <c:pt idx="0">
                  <c:v>3725</c:v>
                </c:pt>
                <c:pt idx="1">
                  <c:v>2104</c:v>
                </c:pt>
                <c:pt idx="2">
                  <c:v>2545</c:v>
                </c:pt>
                <c:pt idx="3">
                  <c:v>2563</c:v>
                </c:pt>
                <c:pt idx="4">
                  <c:v>2666</c:v>
                </c:pt>
                <c:pt idx="5">
                  <c:v>2431</c:v>
                </c:pt>
                <c:pt idx="6">
                  <c:v>2428</c:v>
                </c:pt>
                <c:pt idx="7">
                  <c:v>2442</c:v>
                </c:pt>
                <c:pt idx="8">
                  <c:v>2640</c:v>
                </c:pt>
                <c:pt idx="9">
                  <c:v>2876</c:v>
                </c:pt>
                <c:pt idx="10">
                  <c:v>3190</c:v>
                </c:pt>
                <c:pt idx="11">
                  <c:v>4162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'官方-商务部月度屠宰量'!$S$2</c:f>
              <c:strCache>
                <c:ptCount val="1"/>
                <c:pt idx="0">
                  <c:v>2025年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'官方-商务部月度屠宰量'!$D$3:$D$14</c:f>
              <c:strCache>
                <c:ptCount val="12"/>
                <c:pt idx="0" c:formatCode="yyyy/mm;@">
                  <c:v>1月</c:v>
                </c:pt>
                <c:pt idx="1" c:formatCode="yyyy/mm;@">
                  <c:v>2月</c:v>
                </c:pt>
                <c:pt idx="2" c:formatCode="yyyy/mm;@">
                  <c:v>3月</c:v>
                </c:pt>
                <c:pt idx="3" c:formatCode="yyyy/mm;@">
                  <c:v>4月</c:v>
                </c:pt>
                <c:pt idx="4" c:formatCode="yyyy/mm;@">
                  <c:v>5月</c:v>
                </c:pt>
                <c:pt idx="5" c:formatCode="yyyy/mm;@">
                  <c:v>6月</c:v>
                </c:pt>
                <c:pt idx="6" c:formatCode="yyyy/mm;@">
                  <c:v>7月</c:v>
                </c:pt>
                <c:pt idx="7" c:formatCode="yyyy/mm;@">
                  <c:v>8月</c:v>
                </c:pt>
                <c:pt idx="8" c:formatCode="yyyy/mm;@">
                  <c:v>9月</c:v>
                </c:pt>
                <c:pt idx="9" c:formatCode="yyyy/mm;@">
                  <c:v>10月</c:v>
                </c:pt>
                <c:pt idx="10" c:formatCode="yyyy/mm;@">
                  <c:v>11月</c:v>
                </c:pt>
                <c:pt idx="11" c:formatCode="yyyy/mm;@">
                  <c:v>12月</c:v>
                </c:pt>
              </c:strCache>
            </c:strRef>
          </c:cat>
          <c:val>
            <c:numRef>
              <c:f>'官方-商务部月度屠宰量'!$S$3:$S$14</c:f>
              <c:numCache>
                <c:formatCode>###,###,###,###,##0.00_ </c:formatCode>
                <c:ptCount val="12"/>
                <c:pt idx="0">
                  <c:v>3816</c:v>
                </c:pt>
                <c:pt idx="1">
                  <c:v>2177</c:v>
                </c:pt>
                <c:pt idx="2">
                  <c:v>3063</c:v>
                </c:pt>
                <c:pt idx="3">
                  <c:v>3077</c:v>
                </c:pt>
                <c:pt idx="4">
                  <c:v>3216</c:v>
                </c:pt>
                <c:pt idx="5">
                  <c:v>3006</c:v>
                </c:pt>
                <c:pt idx="6">
                  <c:v>3166</c:v>
                </c:pt>
                <c:pt idx="7">
                  <c:v>3350</c:v>
                </c:pt>
                <c:pt idx="8">
                  <c:v>3584</c:v>
                </c:pt>
                <c:pt idx="9">
                  <c:v>3834</c:v>
                </c:pt>
                <c:pt idx="10">
                  <c:v>3957</c:v>
                </c:pt>
                <c:pt idx="11">
                  <c:v>4891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'官方-商务部月度屠宰量'!$T$2</c:f>
              <c:strCache>
                <c:ptCount val="1"/>
                <c:pt idx="0">
                  <c:v>2026年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  <a:sp3d contourW="28575"/>
          </c:spPr>
          <c:marker>
            <c:symbol val="none"/>
          </c:marker>
          <c:dLbls>
            <c:delete val="1"/>
          </c:dLbls>
          <c:cat>
            <c:strRef>
              <c:f>'官方-商务部月度屠宰量'!$D$3:$D$14</c:f>
              <c:strCache>
                <c:ptCount val="12"/>
                <c:pt idx="0" c:formatCode="yyyy/mm;@">
                  <c:v>1月</c:v>
                </c:pt>
                <c:pt idx="1" c:formatCode="yyyy/mm;@">
                  <c:v>2月</c:v>
                </c:pt>
                <c:pt idx="2" c:formatCode="yyyy/mm;@">
                  <c:v>3月</c:v>
                </c:pt>
                <c:pt idx="3" c:formatCode="yyyy/mm;@">
                  <c:v>4月</c:v>
                </c:pt>
                <c:pt idx="4" c:formatCode="yyyy/mm;@">
                  <c:v>5月</c:v>
                </c:pt>
                <c:pt idx="5" c:formatCode="yyyy/mm;@">
                  <c:v>6月</c:v>
                </c:pt>
                <c:pt idx="6" c:formatCode="yyyy/mm;@">
                  <c:v>7月</c:v>
                </c:pt>
                <c:pt idx="7" c:formatCode="yyyy/mm;@">
                  <c:v>8月</c:v>
                </c:pt>
                <c:pt idx="8" c:formatCode="yyyy/mm;@">
                  <c:v>9月</c:v>
                </c:pt>
                <c:pt idx="9" c:formatCode="yyyy/mm;@">
                  <c:v>10月</c:v>
                </c:pt>
                <c:pt idx="10" c:formatCode="yyyy/mm;@">
                  <c:v>11月</c:v>
                </c:pt>
                <c:pt idx="11" c:formatCode="yyyy/mm;@">
                  <c:v>12月</c:v>
                </c:pt>
              </c:strCache>
            </c:strRef>
          </c:cat>
          <c:val>
            <c:numRef>
              <c:f>'官方-商务部月度屠宰量'!$T$3:$T$14</c:f>
              <c:numCache>
                <c:formatCode>###,###,###,###,##0.00_ </c:formatCode>
                <c:ptCount val="12"/>
                <c:pt idx="0">
                  <c:v>4404</c:v>
                </c:pt>
                <c:pt idx="1">
                  <c:v>3177</c:v>
                </c:pt>
                <c:pt idx="2">
                  <c:v>3514</c:v>
                </c:pt>
                <c:pt idx="3">
                  <c:v>3898</c:v>
                </c:pt>
                <c:pt idx="4">
                  <c:v>3912</c:v>
                </c:pt>
                <c:pt idx="5">
                  <c:v>3820</c:v>
                </c:pt>
                <c:pt idx="6">
                  <c:v>3610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29596416"/>
        <c:axId val="129622784"/>
      </c:lineChart>
      <c:catAx>
        <c:axId val="129596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622784"/>
        <c:crosses val="autoZero"/>
        <c:auto val="1"/>
        <c:lblAlgn val="ctr"/>
        <c:lblOffset val="100"/>
        <c:noMultiLvlLbl val="0"/>
      </c:catAx>
      <c:valAx>
        <c:axId val="129622784"/>
        <c:scaling>
          <c:orientation val="minMax"/>
          <c:max val="5000"/>
          <c:min val="500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59641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2656667351551"/>
          <c:y val="0.0772690763052209"/>
          <c:w val="0.564207930963633"/>
          <c:h val="0.09831325301204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672dfe-3237-444e-bff7-0bdecbcbe5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2011-2018</a:t>
            </a:r>
            <a:r>
              <a:rPr lang="zh-CN" altLang="en-US" b="1"/>
              <a:t>年屠宰企业数量变化</a:t>
            </a:r>
            <a:endParaRPr lang="zh-C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'官方-屠宰企业个数'!$B$2</c:f>
              <c:strCache>
                <c:ptCount val="1"/>
                <c:pt idx="0">
                  <c:v>屠企总数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'官方-屠宰企业个数'!$A$3:$A$10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'官方-屠宰企业个数'!$B$3:$B$10</c:f>
              <c:numCache>
                <c:formatCode>General</c:formatCode>
                <c:ptCount val="8"/>
                <c:pt idx="0">
                  <c:v>19938</c:v>
                </c:pt>
                <c:pt idx="1">
                  <c:v>14720</c:v>
                </c:pt>
                <c:pt idx="2">
                  <c:v>14720</c:v>
                </c:pt>
                <c:pt idx="3">
                  <c:v>13986</c:v>
                </c:pt>
                <c:pt idx="4">
                  <c:v>12175</c:v>
                </c:pt>
                <c:pt idx="5">
                  <c:v>11219</c:v>
                </c:pt>
                <c:pt idx="6">
                  <c:v>10413</c:v>
                </c:pt>
                <c:pt idx="7">
                  <c:v>9476</c:v>
                </c:pt>
              </c:numCache>
            </c:numRef>
          </c:val>
        </c:ser>
        <c:ser>
          <c:idx val="1"/>
          <c:order val="1"/>
          <c:tx>
            <c:strRef>
              <c:f>'官方-屠宰企业个数'!$C$2</c:f>
              <c:strCache>
                <c:ptCount val="1"/>
                <c:pt idx="0">
                  <c:v>规模以上屠宰企业数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'官方-屠宰企业个数'!$A$3:$A$10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'官方-屠宰企业个数'!$C$3:$C$10</c:f>
              <c:numCache>
                <c:formatCode>General</c:formatCode>
                <c:ptCount val="8"/>
                <c:pt idx="0">
                  <c:v>5919</c:v>
                </c:pt>
                <c:pt idx="1">
                  <c:v>4585</c:v>
                </c:pt>
                <c:pt idx="2">
                  <c:v>4585</c:v>
                </c:pt>
                <c:pt idx="3">
                  <c:v>4493</c:v>
                </c:pt>
                <c:pt idx="4">
                  <c:v>2937</c:v>
                </c:pt>
                <c:pt idx="5">
                  <c:v>2907</c:v>
                </c:pt>
                <c:pt idx="6">
                  <c:v>3291</c:v>
                </c:pt>
                <c:pt idx="7">
                  <c:v>2630</c:v>
                </c:pt>
              </c:numCache>
            </c:numRef>
          </c:val>
        </c:ser>
        <c:ser>
          <c:idx val="2"/>
          <c:order val="2"/>
          <c:tx>
            <c:strRef>
              <c:f>'官方-屠宰企业个数'!$D$2</c:f>
              <c:strCache>
                <c:ptCount val="1"/>
                <c:pt idx="0">
                  <c:v>小型企业数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'官方-屠宰企业个数'!$A$3:$A$10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'官方-屠宰企业个数'!$D$3:$D$10</c:f>
              <c:numCache>
                <c:formatCode>General</c:formatCode>
                <c:ptCount val="8"/>
                <c:pt idx="0">
                  <c:v>14019</c:v>
                </c:pt>
                <c:pt idx="1">
                  <c:v>10135</c:v>
                </c:pt>
                <c:pt idx="2">
                  <c:v>10135</c:v>
                </c:pt>
                <c:pt idx="3">
                  <c:v>9493</c:v>
                </c:pt>
                <c:pt idx="4">
                  <c:v>9238</c:v>
                </c:pt>
                <c:pt idx="5">
                  <c:v>8312</c:v>
                </c:pt>
                <c:pt idx="6">
                  <c:v>7122</c:v>
                </c:pt>
                <c:pt idx="7">
                  <c:v>6846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830720"/>
        <c:axId val="130832256"/>
      </c:barChart>
      <c:catAx>
        <c:axId val="1308307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832256"/>
        <c:crosses val="autoZero"/>
        <c:auto val="1"/>
        <c:lblAlgn val="ctr"/>
        <c:lblOffset val="100"/>
        <c:noMultiLvlLbl val="0"/>
      </c:catAx>
      <c:valAx>
        <c:axId val="13083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83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1663727219283"/>
          <c:y val="0.18165364882958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b6cd6d-5e28-4584-95b8-4c1e81b6ce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4</xdr:col>
      <xdr:colOff>0</xdr:colOff>
      <xdr:row>0</xdr:row>
      <xdr:rowOff>860425</xdr:rowOff>
    </xdr:to>
    <xdr:pic>
      <xdr:nvPicPr>
        <xdr:cNvPr id="2" name="图片 1" descr="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47650" y="200025"/>
          <a:ext cx="2495550" cy="660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876300</xdr:colOff>
      <xdr:row>15</xdr:row>
      <xdr:rowOff>1905</xdr:rowOff>
    </xdr:from>
    <xdr:to>
      <xdr:col>18</xdr:col>
      <xdr:colOff>455930</xdr:colOff>
      <xdr:row>30</xdr:row>
      <xdr:rowOff>247650</xdr:rowOff>
    </xdr:to>
    <xdr:graphicFrame>
      <xdr:nvGraphicFramePr>
        <xdr:cNvPr id="3" name="图表 2"/>
        <xdr:cNvGraphicFramePr/>
      </xdr:nvGraphicFramePr>
      <xdr:xfrm>
        <a:off x="10598150" y="4082415"/>
        <a:ext cx="6184900" cy="4074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0.00931</cdr:x>
      <cdr:y>0.10871</cdr:y>
    </cdr:from>
    <cdr:to>
      <cdr:x>0.13015</cdr:x>
      <cdr:y>0.20593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59034" y="430737"/>
          <a:ext cx="766567" cy="38522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lstStyle/>
        <a:p>
          <a:r>
            <a:rPr lang="zh-CN" altLang="en-US" sz="1000" b="1">
              <a:solidFill>
                <a:sysClr val="windowText" lastClr="000000"/>
              </a:solidFill>
            </a:rPr>
            <a:t>万头</a:t>
          </a:r>
          <a:endParaRPr lang="zh-CN" altLang="en-US" sz="1000" b="1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0.397456553991575</cdr:x>
      <cdr:y>0.423823614457831</cdr:y>
    </cdr:from>
    <cdr:to>
      <cdr:x>0.601346553991575</cdr:x>
      <cdr:y>0.610163614457831</cdr:y>
    </cdr:to>
    <cdr:pic xmlns:a="http://schemas.openxmlformats.org/drawingml/2006/main">
      <cdr:nvPicPr>
        <cdr:cNvPr id="3" name="图片 2"/>
        <cdr:cNvPicPr/>
      </cdr:nvPicPr>
      <cdr:blipFill>
        <a:blip xmlns:r="http://schemas.openxmlformats.org/officeDocument/2006/relationships" r:embed="rId1"/>
        <a:stretch>
          <a:fillRect/>
        </a:stretch>
      </cdr:blipFill>
      <cdr:spPr>
        <a:xfrm>
          <a:off x="2456462" y="1675322"/>
          <a:ext cx="1260133" cy="736579"/>
        </a:xfrm>
        <a:prstGeom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305435</xdr:colOff>
      <xdr:row>1</xdr:row>
      <xdr:rowOff>339725</xdr:rowOff>
    </xdr:from>
    <xdr:to>
      <xdr:col>9</xdr:col>
      <xdr:colOff>705485</xdr:colOff>
      <xdr:row>14</xdr:row>
      <xdr:rowOff>161290</xdr:rowOff>
    </xdr:to>
    <xdr:graphicFrame>
      <xdr:nvGraphicFramePr>
        <xdr:cNvPr id="3" name="图表 2"/>
        <xdr:cNvGraphicFramePr/>
      </xdr:nvGraphicFramePr>
      <xdr:xfrm>
        <a:off x="5375275" y="720725"/>
        <a:ext cx="5403850" cy="3265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2" disableRefresh="1" connectionId="3" autoFormatId="16" applyNumberFormats="0" applyBorderFormats="0" applyFontFormats="1" applyPatternFormats="1" applyAlignmentFormats="0" applyWidthHeightFormats="0">
  <queryTableRefresh preserveSortFilterLayout="0" nextId="2">
    <queryTableFields count="1">
      <queryTableField id="1" dataBound="0"/>
    </queryTableFields>
  </queryTableRefresh>
</queryTable>
</file>

<file path=xl/queryTables/queryTable2.xml><?xml version="1.0" encoding="utf-8"?>
<queryTable xmlns="http://schemas.openxmlformats.org/spreadsheetml/2006/main" name="ExternalData_2" disableRefresh="1" connectionId="2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dataBound="0"/>
      <queryTableField id="2" dataBound="0"/>
    </queryTable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tabSelected="1" workbookViewId="0">
      <selection activeCell="J7" sqref="J7"/>
    </sheetView>
  </sheetViews>
  <sheetFormatPr defaultColWidth="9" defaultRowHeight="30" customHeight="1"/>
  <cols>
    <col min="1" max="5" width="9" style="279"/>
    <col min="6" max="6" width="28.8833333333333" style="279" customWidth="1"/>
    <col min="7" max="16384" width="9" style="279"/>
  </cols>
  <sheetData>
    <row r="1" ht="69.95" customHeight="1" spans="1:21">
      <c r="A1" s="280" t="s">
        <v>0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</row>
    <row r="3" customHeight="1" spans="6:8">
      <c r="F3" s="281" t="s">
        <v>1</v>
      </c>
      <c r="G3" s="282"/>
      <c r="H3" s="282"/>
    </row>
    <row r="4" customHeight="1" spans="6:8">
      <c r="F4" s="281" t="s">
        <v>2</v>
      </c>
      <c r="G4" s="282"/>
      <c r="H4" s="282"/>
    </row>
    <row r="5" customHeight="1" spans="6:8">
      <c r="F5" s="281" t="s">
        <v>3</v>
      </c>
      <c r="G5" s="282"/>
      <c r="H5" s="282"/>
    </row>
    <row r="6" customHeight="1" spans="6:8">
      <c r="F6" s="281" t="s">
        <v>4</v>
      </c>
      <c r="G6" s="282"/>
      <c r="H6" s="282"/>
    </row>
    <row r="7" customHeight="1" spans="6:8">
      <c r="F7" s="281" t="s">
        <v>5</v>
      </c>
      <c r="G7" s="282"/>
      <c r="H7" s="282"/>
    </row>
    <row r="8" customHeight="1" spans="6:8">
      <c r="F8" s="281" t="s">
        <v>6</v>
      </c>
      <c r="G8" s="282"/>
      <c r="H8" s="282"/>
    </row>
    <row r="9" customHeight="1" spans="6:8">
      <c r="F9" s="281" t="s">
        <v>7</v>
      </c>
      <c r="G9" s="282"/>
      <c r="H9" s="282"/>
    </row>
    <row r="10" customHeight="1" spans="6:8">
      <c r="F10" s="281" t="s">
        <v>8</v>
      </c>
      <c r="G10" s="282"/>
      <c r="H10" s="282"/>
    </row>
    <row r="11" customHeight="1" spans="6:8">
      <c r="F11" s="281" t="s">
        <v>9</v>
      </c>
      <c r="G11" s="282"/>
      <c r="H11" s="282"/>
    </row>
    <row r="12" customHeight="1" spans="6:8">
      <c r="F12" s="281" t="s">
        <v>10</v>
      </c>
      <c r="G12" s="282"/>
      <c r="H12" s="282"/>
    </row>
    <row r="13" customHeight="1" spans="6:6">
      <c r="F13" s="281" t="s">
        <v>11</v>
      </c>
    </row>
    <row r="14" customHeight="1" spans="6:6">
      <c r="F14" s="281" t="s">
        <v>12</v>
      </c>
    </row>
    <row r="15" customHeight="1" spans="6:6">
      <c r="F15" s="281" t="s">
        <v>13</v>
      </c>
    </row>
    <row r="16" customHeight="1" spans="6:6">
      <c r="F16" s="281" t="s">
        <v>14</v>
      </c>
    </row>
    <row r="17" customHeight="1" spans="6:6">
      <c r="F17" s="281" t="s">
        <v>15</v>
      </c>
    </row>
  </sheetData>
  <mergeCells count="1">
    <mergeCell ref="A1:U1"/>
  </mergeCells>
  <hyperlinks>
    <hyperlink ref="F3" location="'官方-猪粮比'!A1" display="官方-猪粮比"/>
    <hyperlink ref="F4" location="'官方-农业部能繁母猪同环比'!A1" display="官方-农业部能繁母猪同环比"/>
    <hyperlink ref="F5" location="'官方-统计局2020数据'!A1" display="官方-统计局2020数据"/>
    <hyperlink ref="F9" location="'官方-商务部月度屠宰量'!A1" display="官方-商务部月度屠宰量"/>
    <hyperlink ref="F10" location="'官方-屠宰企业个数'!A1" display="官方-屠宰企业个数"/>
    <hyperlink ref="F11" location="'官方-2018年各省份猪肉产量'!A1" display="官方-2018年各省份猪肉产量"/>
    <hyperlink ref="F12" location="'官方-肉类生产结构历史数据'!A1" display="官方-肉类生产结构历史数据"/>
    <hyperlink ref="F13" location="'官方-猪肉消费与价格'!A1" display="官方-猪肉消费与价格"/>
    <hyperlink ref="F6" location="'能繁母猪存栏量 统计局'!A1" display="能繁母猪存栏量 统计局"/>
    <hyperlink ref="F8" location="'官方-生猪存栏量'!A1" display="官方-生猪存栏量"/>
    <hyperlink ref="F7" location="'官方-生猪出栏量'!A1" display="官方-生猪出栏量"/>
    <hyperlink ref="F14" location="'36城零售价'!A1" display="36城零售价"/>
    <hyperlink ref="F15" location="收放储!A1" display="收放储"/>
    <hyperlink ref="F16" location="'官方-季度猪肉产量'!A1" display="官方-季度猪肉产量"/>
    <hyperlink ref="F17" location="'官方-猪肉（白条猪）价格'!A1" display="猪肉(白条猪)农业部发布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0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L27" sqref="L27"/>
    </sheetView>
  </sheetViews>
  <sheetFormatPr defaultColWidth="13.1333333333333" defaultRowHeight="20.1" customHeight="1"/>
  <cols>
    <col min="1" max="4" width="13.1333333333333" style="228" customWidth="1"/>
    <col min="5" max="5" width="8.5" style="228" customWidth="1"/>
    <col min="6" max="6" width="17.2583333333333" style="228" customWidth="1"/>
    <col min="7" max="10" width="13.1333333333333" style="228" customWidth="1"/>
    <col min="11" max="11" width="8.13333333333333" style="228" customWidth="1"/>
    <col min="12" max="13" width="13.1333333333333" style="228" customWidth="1"/>
    <col min="14" max="14" width="50.5" style="228" customWidth="1"/>
    <col min="15" max="15" width="21.5" style="228" customWidth="1"/>
    <col min="16" max="16" width="13.1333333333333" style="228" customWidth="1"/>
    <col min="17" max="16384" width="13.1333333333333" style="228"/>
  </cols>
  <sheetData>
    <row r="1" customHeight="1" spans="1:15">
      <c r="A1" s="229" t="s">
        <v>16</v>
      </c>
      <c r="B1" s="229"/>
      <c r="C1" s="229"/>
      <c r="D1" s="229"/>
      <c r="E1" s="229"/>
      <c r="F1" s="230"/>
      <c r="G1" s="229"/>
      <c r="H1" s="229"/>
      <c r="I1" s="229"/>
      <c r="J1" s="229"/>
      <c r="K1" s="229"/>
      <c r="L1" s="189"/>
      <c r="M1" s="189"/>
      <c r="N1" s="189"/>
      <c r="O1" s="189"/>
    </row>
    <row r="2" ht="30" customHeight="1" spans="1:15">
      <c r="A2" s="171" t="s">
        <v>17</v>
      </c>
      <c r="B2" s="171"/>
      <c r="C2" s="171"/>
      <c r="D2" s="171"/>
      <c r="E2" s="189"/>
      <c r="F2" s="231" t="s">
        <v>18</v>
      </c>
      <c r="G2" s="231"/>
      <c r="H2" s="231"/>
      <c r="I2" s="196"/>
      <c r="J2" s="196"/>
      <c r="K2" s="189"/>
      <c r="L2" s="105" t="s">
        <v>19</v>
      </c>
      <c r="M2" s="105"/>
      <c r="N2" s="105"/>
      <c r="O2" s="105"/>
    </row>
    <row r="3" customHeight="1" spans="1:15">
      <c r="A3" s="232" t="s">
        <v>20</v>
      </c>
      <c r="B3" s="233" t="s">
        <v>21</v>
      </c>
      <c r="C3" s="232" t="s">
        <v>22</v>
      </c>
      <c r="D3" s="234" t="s">
        <v>23</v>
      </c>
      <c r="E3" s="189"/>
      <c r="F3" s="235" t="s">
        <v>24</v>
      </c>
      <c r="G3" s="236" t="s">
        <v>25</v>
      </c>
      <c r="H3" s="236" t="s">
        <v>22</v>
      </c>
      <c r="I3" s="236" t="s">
        <v>26</v>
      </c>
      <c r="J3" s="236" t="s">
        <v>27</v>
      </c>
      <c r="K3" s="189"/>
      <c r="L3" s="106" t="s">
        <v>28</v>
      </c>
      <c r="M3" s="107" t="s">
        <v>29</v>
      </c>
      <c r="N3" s="107"/>
      <c r="O3" s="107" t="s">
        <v>30</v>
      </c>
    </row>
    <row r="4" customHeight="1" spans="1:15">
      <c r="A4" s="237">
        <v>44256</v>
      </c>
      <c r="B4" s="238">
        <v>9.73</v>
      </c>
      <c r="C4" s="239">
        <v>-0.0898</v>
      </c>
      <c r="D4" s="240">
        <v>-0.4615</v>
      </c>
      <c r="E4" s="241"/>
      <c r="F4" s="235">
        <v>46281</v>
      </c>
      <c r="G4" s="242">
        <v>4.57</v>
      </c>
      <c r="H4" s="243">
        <v>0.0066</v>
      </c>
      <c r="I4" s="242">
        <v>11.14</v>
      </c>
      <c r="J4" s="242">
        <v>2.44</v>
      </c>
      <c r="K4" s="250"/>
      <c r="L4" s="106"/>
      <c r="M4" s="109" t="s">
        <v>31</v>
      </c>
      <c r="N4" s="251" t="s">
        <v>32</v>
      </c>
      <c r="O4" s="109" t="s">
        <v>33</v>
      </c>
    </row>
    <row r="5" customHeight="1" spans="1:15">
      <c r="A5" s="237">
        <v>44287</v>
      </c>
      <c r="B5" s="238">
        <v>8.66</v>
      </c>
      <c r="C5" s="239">
        <v>-0.11</v>
      </c>
      <c r="D5" s="240">
        <v>-0.471</v>
      </c>
      <c r="E5" s="189"/>
      <c r="F5" s="244">
        <v>46274</v>
      </c>
      <c r="G5" s="245">
        <v>4.54</v>
      </c>
      <c r="H5" s="246">
        <v>-0.0066</v>
      </c>
      <c r="I5" s="245">
        <v>11.18</v>
      </c>
      <c r="J5" s="245">
        <v>2.46</v>
      </c>
      <c r="K5" s="189"/>
      <c r="L5" s="106"/>
      <c r="M5" s="109" t="s">
        <v>34</v>
      </c>
      <c r="N5" s="252" t="s">
        <v>35</v>
      </c>
      <c r="O5" s="109" t="s">
        <v>36</v>
      </c>
    </row>
    <row r="6" customHeight="1" spans="1:15">
      <c r="A6" s="237">
        <v>44317</v>
      </c>
      <c r="B6" s="238">
        <v>7.37</v>
      </c>
      <c r="C6" s="239">
        <v>-0.149</v>
      </c>
      <c r="D6" s="240">
        <v>-0.475</v>
      </c>
      <c r="E6" s="189"/>
      <c r="F6" s="244">
        <v>46267</v>
      </c>
      <c r="G6" s="245">
        <v>4.57</v>
      </c>
      <c r="H6" s="246">
        <v>-0.0022</v>
      </c>
      <c r="I6" s="245">
        <v>11.24</v>
      </c>
      <c r="J6" s="245">
        <v>2.46</v>
      </c>
      <c r="K6" s="189"/>
      <c r="L6" s="106"/>
      <c r="M6" s="109"/>
      <c r="N6" s="252"/>
      <c r="O6" s="109"/>
    </row>
    <row r="7" customHeight="1" spans="1:15">
      <c r="A7" s="237">
        <v>44348</v>
      </c>
      <c r="B7" s="238">
        <v>5.69</v>
      </c>
      <c r="C7" s="239">
        <v>-0.228</v>
      </c>
      <c r="D7" s="240">
        <v>-0.619</v>
      </c>
      <c r="E7" s="189"/>
      <c r="F7" s="244">
        <v>46260</v>
      </c>
      <c r="G7" s="245">
        <v>4.58</v>
      </c>
      <c r="H7" s="246">
        <v>0.0066</v>
      </c>
      <c r="I7" s="245">
        <v>11.26</v>
      </c>
      <c r="J7" s="245">
        <v>2.46</v>
      </c>
      <c r="K7" s="189"/>
      <c r="L7" s="106"/>
      <c r="M7" s="109"/>
      <c r="N7" s="252"/>
      <c r="O7" s="109"/>
    </row>
    <row r="8" customHeight="1" spans="1:15">
      <c r="A8" s="237">
        <v>44378</v>
      </c>
      <c r="B8" s="238">
        <v>5.82</v>
      </c>
      <c r="C8" s="239">
        <v>0.023</v>
      </c>
      <c r="D8" s="240">
        <v>-0.645</v>
      </c>
      <c r="E8" s="189"/>
      <c r="F8" s="244">
        <v>46253</v>
      </c>
      <c r="G8" s="245">
        <v>4.55</v>
      </c>
      <c r="H8" s="246">
        <v>0.0271</v>
      </c>
      <c r="I8" s="245">
        <v>11.2</v>
      </c>
      <c r="J8" s="245">
        <v>2.46</v>
      </c>
      <c r="K8" s="189"/>
      <c r="L8" s="106"/>
      <c r="M8" s="109" t="s">
        <v>37</v>
      </c>
      <c r="N8" s="252" t="s">
        <v>38</v>
      </c>
      <c r="O8" s="109" t="s">
        <v>39</v>
      </c>
    </row>
    <row r="9" ht="21" customHeight="1" spans="1:15">
      <c r="A9" s="237">
        <v>44409</v>
      </c>
      <c r="B9" s="238">
        <v>5.66</v>
      </c>
      <c r="C9" s="239">
        <v>-0.027</v>
      </c>
      <c r="D9" s="240">
        <v>-0.642</v>
      </c>
      <c r="E9" s="189"/>
      <c r="F9" s="244">
        <v>46246</v>
      </c>
      <c r="G9" s="245">
        <v>4.43</v>
      </c>
      <c r="H9" s="246">
        <v>0.0207</v>
      </c>
      <c r="I9" s="245">
        <v>10.9</v>
      </c>
      <c r="J9" s="245">
        <v>2.46</v>
      </c>
      <c r="K9" s="189"/>
      <c r="L9" s="106"/>
      <c r="M9" s="109"/>
      <c r="N9" s="252"/>
      <c r="O9" s="109"/>
    </row>
    <row r="10" customHeight="1" spans="1:15">
      <c r="A10" s="237">
        <v>44440</v>
      </c>
      <c r="B10" s="238">
        <v>5.05</v>
      </c>
      <c r="C10" s="239">
        <v>-0.108</v>
      </c>
      <c r="D10" s="240">
        <v>-0.666</v>
      </c>
      <c r="E10" s="189"/>
      <c r="F10" s="244">
        <v>46239</v>
      </c>
      <c r="G10" s="245">
        <v>4.34</v>
      </c>
      <c r="H10" s="246">
        <v>-0.0046</v>
      </c>
      <c r="I10" s="245">
        <v>10.68</v>
      </c>
      <c r="J10" s="245">
        <v>2.46</v>
      </c>
      <c r="K10" s="189"/>
      <c r="L10" s="108" t="s">
        <v>40</v>
      </c>
      <c r="M10" s="109" t="s">
        <v>31</v>
      </c>
      <c r="N10" s="253" t="s">
        <v>41</v>
      </c>
      <c r="O10" s="109" t="s">
        <v>42</v>
      </c>
    </row>
    <row r="11" customHeight="1" spans="1:15">
      <c r="A11" s="237">
        <v>44470</v>
      </c>
      <c r="B11" s="238">
        <v>5.34</v>
      </c>
      <c r="C11" s="239">
        <v>0.057</v>
      </c>
      <c r="D11" s="240">
        <v>-0.57</v>
      </c>
      <c r="E11" s="189"/>
      <c r="F11" s="244">
        <v>46232</v>
      </c>
      <c r="G11" s="245">
        <v>4.36</v>
      </c>
      <c r="H11" s="246">
        <v>-0.0246</v>
      </c>
      <c r="I11" s="245">
        <v>10.81</v>
      </c>
      <c r="J11" s="245">
        <v>2.48</v>
      </c>
      <c r="K11" s="189"/>
      <c r="L11" s="108"/>
      <c r="M11" s="109" t="s">
        <v>34</v>
      </c>
      <c r="N11" s="252" t="s">
        <v>43</v>
      </c>
      <c r="O11" s="109" t="s">
        <v>44</v>
      </c>
    </row>
    <row r="12" customHeight="1" spans="1:15">
      <c r="A12" s="237">
        <v>44501</v>
      </c>
      <c r="B12" s="238">
        <v>6.51</v>
      </c>
      <c r="C12" s="239">
        <v>0.219</v>
      </c>
      <c r="D12" s="240">
        <v>-0.447</v>
      </c>
      <c r="E12" s="189"/>
      <c r="F12" s="244">
        <v>46225</v>
      </c>
      <c r="G12" s="245">
        <v>4.47</v>
      </c>
      <c r="H12" s="246">
        <v>-0.0111</v>
      </c>
      <c r="I12" s="245">
        <v>11.08</v>
      </c>
      <c r="J12" s="245">
        <v>2.48</v>
      </c>
      <c r="K12" s="189"/>
      <c r="L12" s="108"/>
      <c r="M12" s="109"/>
      <c r="N12" s="252"/>
      <c r="O12" s="109"/>
    </row>
    <row r="13" customHeight="1" spans="1:15">
      <c r="A13" s="237">
        <v>44531</v>
      </c>
      <c r="B13" s="238">
        <v>6.49</v>
      </c>
      <c r="C13" s="239">
        <v>-0.003</v>
      </c>
      <c r="D13" s="240">
        <v>-0.491</v>
      </c>
      <c r="E13" s="189"/>
      <c r="F13" s="244">
        <v>46218</v>
      </c>
      <c r="G13" s="245">
        <v>4.52</v>
      </c>
      <c r="H13" s="246">
        <v>0.018</v>
      </c>
      <c r="I13" s="245">
        <v>11.2</v>
      </c>
      <c r="J13" s="245">
        <v>2.48</v>
      </c>
      <c r="K13" s="189"/>
      <c r="L13" s="108"/>
      <c r="M13" s="109"/>
      <c r="N13" s="252"/>
      <c r="O13" s="109"/>
    </row>
    <row r="14" ht="23" customHeight="1" spans="1:15">
      <c r="A14" s="237">
        <v>44562</v>
      </c>
      <c r="B14" s="238">
        <v>5.77</v>
      </c>
      <c r="C14" s="239">
        <v>-0.111</v>
      </c>
      <c r="D14" s="240">
        <v>-0.546</v>
      </c>
      <c r="E14" s="189"/>
      <c r="F14" s="244">
        <v>46211</v>
      </c>
      <c r="G14" s="245">
        <v>4.44</v>
      </c>
      <c r="H14" s="246">
        <v>0.0882</v>
      </c>
      <c r="I14" s="245">
        <v>11</v>
      </c>
      <c r="J14" s="245">
        <v>2.48</v>
      </c>
      <c r="K14" s="189"/>
      <c r="L14" s="108"/>
      <c r="M14" s="109" t="s">
        <v>37</v>
      </c>
      <c r="N14" s="252" t="s">
        <v>45</v>
      </c>
      <c r="O14" s="109" t="s">
        <v>46</v>
      </c>
    </row>
    <row r="15" customHeight="1" spans="1:15">
      <c r="A15" s="237">
        <v>44593</v>
      </c>
      <c r="B15" s="238">
        <v>5.13</v>
      </c>
      <c r="C15" s="239">
        <v>-0.111</v>
      </c>
      <c r="D15" s="240">
        <v>-0.52</v>
      </c>
      <c r="E15" s="189"/>
      <c r="F15" s="244">
        <v>46204</v>
      </c>
      <c r="G15" s="245">
        <v>4.08</v>
      </c>
      <c r="H15" s="246">
        <v>0.0515</v>
      </c>
      <c r="I15" s="245">
        <v>10.12</v>
      </c>
      <c r="J15" s="245">
        <v>2.48</v>
      </c>
      <c r="K15" s="189"/>
      <c r="L15" s="108"/>
      <c r="M15" s="109"/>
      <c r="N15" s="252"/>
      <c r="O15" s="109"/>
    </row>
    <row r="16" customHeight="1" spans="1:15">
      <c r="A16" s="237">
        <v>44621</v>
      </c>
      <c r="B16" s="238">
        <v>4.67</v>
      </c>
      <c r="C16" s="239">
        <v>-0.09</v>
      </c>
      <c r="D16" s="240">
        <v>-0.52</v>
      </c>
      <c r="E16" s="189"/>
      <c r="F16" s="244">
        <v>46197</v>
      </c>
      <c r="G16" s="245">
        <v>3.88</v>
      </c>
      <c r="H16" s="246">
        <v>-0.0202</v>
      </c>
      <c r="I16" s="245">
        <v>9.7</v>
      </c>
      <c r="J16" s="245">
        <v>2.5</v>
      </c>
      <c r="K16" s="189"/>
      <c r="L16" s="189"/>
      <c r="M16" s="189"/>
      <c r="N16" s="189"/>
      <c r="O16" s="189"/>
    </row>
    <row r="17" customHeight="1" spans="1:15">
      <c r="A17" s="237">
        <v>44652</v>
      </c>
      <c r="B17" s="238">
        <v>4.85</v>
      </c>
      <c r="C17" s="239">
        <v>0.039</v>
      </c>
      <c r="D17" s="240">
        <v>-0.44</v>
      </c>
      <c r="E17" s="189"/>
      <c r="F17" s="244">
        <v>46190</v>
      </c>
      <c r="G17" s="245">
        <v>3.96</v>
      </c>
      <c r="H17" s="246">
        <v>-0.0125</v>
      </c>
      <c r="I17" s="245">
        <v>9.67</v>
      </c>
      <c r="J17" s="245">
        <v>2.44</v>
      </c>
      <c r="K17" s="189"/>
      <c r="L17" s="189"/>
      <c r="M17" s="189"/>
      <c r="N17" s="189"/>
      <c r="O17" s="189"/>
    </row>
    <row r="18" customHeight="1" spans="1:15">
      <c r="A18" s="237">
        <v>44682</v>
      </c>
      <c r="B18" s="238">
        <v>5.42</v>
      </c>
      <c r="C18" s="239">
        <v>0.118</v>
      </c>
      <c r="D18" s="240">
        <v>-0.265</v>
      </c>
      <c r="E18" s="189"/>
      <c r="F18" s="244">
        <v>46183</v>
      </c>
      <c r="G18" s="245">
        <v>4.01</v>
      </c>
      <c r="H18" s="246">
        <v>0.0025</v>
      </c>
      <c r="I18" s="245">
        <v>9.71</v>
      </c>
      <c r="J18" s="245">
        <v>2.42</v>
      </c>
      <c r="K18" s="189"/>
      <c r="L18" s="189"/>
      <c r="M18" s="189"/>
      <c r="N18" s="189"/>
      <c r="O18" s="189"/>
    </row>
    <row r="19" customHeight="1" spans="1:15">
      <c r="A19" s="237">
        <v>44713</v>
      </c>
      <c r="B19" s="238">
        <v>5.82</v>
      </c>
      <c r="C19" s="239">
        <v>0.074</v>
      </c>
      <c r="D19" s="240">
        <v>0.023</v>
      </c>
      <c r="E19" s="189"/>
      <c r="F19" s="244">
        <v>46176</v>
      </c>
      <c r="G19" s="245">
        <v>4</v>
      </c>
      <c r="H19" s="246">
        <v>-0.0268</v>
      </c>
      <c r="I19" s="245">
        <v>9.76</v>
      </c>
      <c r="J19" s="245">
        <v>2.44</v>
      </c>
      <c r="K19" s="189"/>
      <c r="L19" s="189"/>
      <c r="M19" s="189"/>
      <c r="N19" s="189"/>
      <c r="O19" s="189"/>
    </row>
    <row r="20" customHeight="1" spans="1:15">
      <c r="A20" s="237">
        <v>44743</v>
      </c>
      <c r="B20" s="238">
        <v>7.71</v>
      </c>
      <c r="C20" s="239">
        <v>0.325</v>
      </c>
      <c r="D20" s="240">
        <v>0.325</v>
      </c>
      <c r="F20" s="244">
        <v>46169</v>
      </c>
      <c r="G20" s="245">
        <v>4.11</v>
      </c>
      <c r="H20" s="246">
        <v>0.0024</v>
      </c>
      <c r="I20" s="245">
        <v>9.79</v>
      </c>
      <c r="J20" s="245">
        <v>2.38</v>
      </c>
      <c r="L20" s="189"/>
      <c r="M20" s="189"/>
      <c r="N20" s="189"/>
      <c r="O20" s="189"/>
    </row>
    <row r="21" customHeight="1" spans="1:15">
      <c r="A21" s="237">
        <v>44774</v>
      </c>
      <c r="B21" s="238">
        <v>7.77</v>
      </c>
      <c r="C21" s="239">
        <v>0.008</v>
      </c>
      <c r="D21" s="240">
        <v>0.373</v>
      </c>
      <c r="F21" s="244">
        <v>46162</v>
      </c>
      <c r="G21" s="245">
        <v>4.1</v>
      </c>
      <c r="H21" s="246">
        <v>-0.0024</v>
      </c>
      <c r="I21" s="245">
        <v>9.75</v>
      </c>
      <c r="J21" s="245">
        <v>2.38</v>
      </c>
      <c r="L21" s="189"/>
      <c r="M21" s="189"/>
      <c r="N21" s="189"/>
      <c r="O21" s="189"/>
    </row>
    <row r="22" customHeight="1" spans="1:15">
      <c r="A22" s="237">
        <v>44805</v>
      </c>
      <c r="B22" s="238">
        <v>8.43</v>
      </c>
      <c r="C22" s="239">
        <v>0.085</v>
      </c>
      <c r="D22" s="240">
        <v>0.669</v>
      </c>
      <c r="F22" s="244">
        <v>46155</v>
      </c>
      <c r="G22" s="245">
        <v>4.11</v>
      </c>
      <c r="H22" s="246">
        <v>-0.0096</v>
      </c>
      <c r="I22" s="245">
        <v>9.78</v>
      </c>
      <c r="J22" s="245">
        <v>2.38</v>
      </c>
      <c r="L22" s="189"/>
      <c r="M22" s="189"/>
      <c r="N22" s="189"/>
      <c r="O22" s="189"/>
    </row>
    <row r="23" customHeight="1" spans="1:10">
      <c r="A23" s="237">
        <v>44835</v>
      </c>
      <c r="B23" s="238">
        <v>9.47</v>
      </c>
      <c r="C23" s="239">
        <v>0.123</v>
      </c>
      <c r="D23" s="240">
        <v>0.773</v>
      </c>
      <c r="F23" s="244">
        <v>46148</v>
      </c>
      <c r="G23" s="245">
        <v>4.15</v>
      </c>
      <c r="H23" s="246">
        <v>0.0048</v>
      </c>
      <c r="I23" s="245">
        <v>9.88</v>
      </c>
      <c r="J23" s="245">
        <v>2.38</v>
      </c>
    </row>
    <row r="24" customHeight="1" spans="1:10">
      <c r="A24" s="237">
        <v>44866</v>
      </c>
      <c r="B24" s="238">
        <v>8.71</v>
      </c>
      <c r="C24" s="239">
        <v>-0.08</v>
      </c>
      <c r="D24" s="240">
        <v>0.338</v>
      </c>
      <c r="F24" s="244">
        <v>46141</v>
      </c>
      <c r="G24" s="245">
        <v>4.13</v>
      </c>
      <c r="H24" s="246">
        <v>0.0248</v>
      </c>
      <c r="I24" s="245">
        <v>9.83</v>
      </c>
      <c r="J24" s="245">
        <v>2.38</v>
      </c>
    </row>
    <row r="25" customHeight="1" spans="1:10">
      <c r="A25" s="237">
        <v>44896</v>
      </c>
      <c r="B25" s="238">
        <v>7.02</v>
      </c>
      <c r="C25" s="239">
        <v>-0.194</v>
      </c>
      <c r="D25" s="240">
        <v>0.082</v>
      </c>
      <c r="F25" s="244">
        <v>46134</v>
      </c>
      <c r="G25" s="245">
        <v>4.03</v>
      </c>
      <c r="H25" s="246">
        <v>0.0468</v>
      </c>
      <c r="I25" s="245">
        <v>9.58</v>
      </c>
      <c r="J25" s="245">
        <v>2.38</v>
      </c>
    </row>
    <row r="26" customHeight="1" spans="1:10">
      <c r="A26" s="237">
        <v>44927</v>
      </c>
      <c r="B26" s="238">
        <v>5.68</v>
      </c>
      <c r="C26" s="239">
        <v>-0.191</v>
      </c>
      <c r="D26" s="240">
        <v>-0.016</v>
      </c>
      <c r="F26" s="244">
        <v>46127</v>
      </c>
      <c r="G26" s="245">
        <v>3.85</v>
      </c>
      <c r="H26" s="246">
        <v>-0.0302</v>
      </c>
      <c r="I26" s="245">
        <v>9.16</v>
      </c>
      <c r="J26" s="245">
        <v>2.38</v>
      </c>
    </row>
    <row r="27" customHeight="1" spans="1:10">
      <c r="A27" s="237">
        <v>44958</v>
      </c>
      <c r="B27" s="238">
        <v>5.07</v>
      </c>
      <c r="C27" s="239">
        <v>-0.107</v>
      </c>
      <c r="D27" s="240">
        <v>-0.012</v>
      </c>
      <c r="F27" s="244">
        <v>46120</v>
      </c>
      <c r="G27" s="245">
        <v>3.97</v>
      </c>
      <c r="H27" s="246">
        <v>-0.0457</v>
      </c>
      <c r="I27" s="245">
        <v>9.46</v>
      </c>
      <c r="J27" s="245">
        <v>2.38</v>
      </c>
    </row>
    <row r="28" customHeight="1" spans="1:10">
      <c r="A28" s="237">
        <v>44986</v>
      </c>
      <c r="B28" s="238">
        <v>5.33</v>
      </c>
      <c r="C28" s="239">
        <v>0.051</v>
      </c>
      <c r="D28" s="240">
        <v>0.141</v>
      </c>
      <c r="F28" s="244">
        <v>46113</v>
      </c>
      <c r="G28" s="245">
        <v>4.16</v>
      </c>
      <c r="H28" s="246">
        <v>-0.0165</v>
      </c>
      <c r="I28" s="245">
        <v>9.89</v>
      </c>
      <c r="J28" s="245">
        <v>2.38</v>
      </c>
    </row>
    <row r="29" customHeight="1" spans="1:10">
      <c r="A29" s="237">
        <v>45017</v>
      </c>
      <c r="B29" s="238">
        <v>5.13</v>
      </c>
      <c r="C29" s="239">
        <v>-0.038</v>
      </c>
      <c r="D29" s="240">
        <v>0.058</v>
      </c>
      <c r="F29" s="244">
        <v>46106</v>
      </c>
      <c r="G29" s="245">
        <v>4.23</v>
      </c>
      <c r="H29" s="246">
        <v>-0.0386</v>
      </c>
      <c r="I29" s="245">
        <v>10.14</v>
      </c>
      <c r="J29" s="245">
        <v>2.4</v>
      </c>
    </row>
    <row r="30" customHeight="1" spans="1:10">
      <c r="A30" s="237">
        <v>45047</v>
      </c>
      <c r="B30" s="238">
        <v>5.17</v>
      </c>
      <c r="C30" s="239">
        <v>0.008</v>
      </c>
      <c r="D30" s="240">
        <v>-0.046</v>
      </c>
      <c r="F30" s="244">
        <v>46099</v>
      </c>
      <c r="G30" s="245">
        <v>4.4</v>
      </c>
      <c r="H30" s="246">
        <v>-0.0287</v>
      </c>
      <c r="I30" s="245">
        <v>10.47</v>
      </c>
      <c r="J30" s="245">
        <v>2.38</v>
      </c>
    </row>
    <row r="31" customHeight="1" spans="1:10">
      <c r="A31" s="237">
        <v>45078</v>
      </c>
      <c r="B31" s="238">
        <v>5.08</v>
      </c>
      <c r="C31" s="239">
        <v>-0.017</v>
      </c>
      <c r="D31" s="240">
        <v>-0.127</v>
      </c>
      <c r="F31" s="244">
        <v>46092</v>
      </c>
      <c r="G31" s="245">
        <v>4.53</v>
      </c>
      <c r="H31" s="246">
        <v>-0.0423</v>
      </c>
      <c r="I31" s="245">
        <v>10.68</v>
      </c>
      <c r="J31" s="245">
        <v>2.36</v>
      </c>
    </row>
    <row r="32" customHeight="1" spans="1:10">
      <c r="A32" s="237">
        <v>45108</v>
      </c>
      <c r="B32" s="247">
        <v>4.96</v>
      </c>
      <c r="C32" s="248">
        <v>-0.024</v>
      </c>
      <c r="D32" s="249">
        <v>-0.357</v>
      </c>
      <c r="F32" s="244">
        <v>46085</v>
      </c>
      <c r="G32" s="245">
        <v>4.73</v>
      </c>
      <c r="H32" s="246">
        <v>-0.0521</v>
      </c>
      <c r="I32" s="245">
        <v>11.07</v>
      </c>
      <c r="J32" s="245">
        <v>2.34</v>
      </c>
    </row>
    <row r="33" customHeight="1" spans="1:10">
      <c r="A33" s="237">
        <v>45139</v>
      </c>
      <c r="B33" s="238">
        <v>5.87</v>
      </c>
      <c r="C33" s="239">
        <v>0.183</v>
      </c>
      <c r="D33" s="240">
        <v>-0.245</v>
      </c>
      <c r="F33" s="244">
        <v>46078</v>
      </c>
      <c r="G33" s="245">
        <v>4.99</v>
      </c>
      <c r="H33" s="246">
        <v>-0.0927</v>
      </c>
      <c r="I33" s="245">
        <v>11.68</v>
      </c>
      <c r="J33" s="245">
        <v>2.34</v>
      </c>
    </row>
    <row r="34" customHeight="1" spans="1:10">
      <c r="A34" s="237">
        <v>45170</v>
      </c>
      <c r="B34" s="238">
        <v>5.74</v>
      </c>
      <c r="C34" s="239">
        <v>-0.022</v>
      </c>
      <c r="D34" s="240">
        <v>-0.319</v>
      </c>
      <c r="F34" s="244">
        <v>46064</v>
      </c>
      <c r="G34" s="245">
        <v>5.5</v>
      </c>
      <c r="H34" s="246">
        <v>-0.0317</v>
      </c>
      <c r="I34" s="245">
        <v>12.75</v>
      </c>
      <c r="J34" s="245">
        <v>2.32</v>
      </c>
    </row>
    <row r="35" customHeight="1" spans="1:10">
      <c r="A35" s="237">
        <v>45200</v>
      </c>
      <c r="B35" s="238">
        <v>5.64</v>
      </c>
      <c r="C35" s="239">
        <v>-0.017</v>
      </c>
      <c r="D35" s="240">
        <v>-0.404</v>
      </c>
      <c r="F35" s="244">
        <v>46057</v>
      </c>
      <c r="G35" s="245">
        <v>5.68</v>
      </c>
      <c r="H35" s="246">
        <v>-0.0139</v>
      </c>
      <c r="I35" s="245">
        <v>13.18</v>
      </c>
      <c r="J35" s="245">
        <v>2.32</v>
      </c>
    </row>
    <row r="36" customHeight="1" spans="1:10">
      <c r="A36" s="237">
        <v>45231</v>
      </c>
      <c r="B36" s="238">
        <v>5.52</v>
      </c>
      <c r="C36" s="239">
        <v>-0.021</v>
      </c>
      <c r="D36" s="240">
        <v>-0.366</v>
      </c>
      <c r="F36" s="244">
        <v>46050</v>
      </c>
      <c r="G36" s="245">
        <v>5.76</v>
      </c>
      <c r="H36" s="246">
        <v>-0.0103</v>
      </c>
      <c r="I36" s="245">
        <v>13.37</v>
      </c>
      <c r="J36" s="245">
        <v>2.32</v>
      </c>
    </row>
    <row r="37" customHeight="1" spans="1:10">
      <c r="A37" s="237">
        <v>45261</v>
      </c>
      <c r="B37" s="238">
        <v>5.58</v>
      </c>
      <c r="C37" s="239">
        <v>0.011</v>
      </c>
      <c r="D37" s="240">
        <v>-0.205</v>
      </c>
      <c r="F37" s="244">
        <v>46043</v>
      </c>
      <c r="G37" s="245">
        <v>5.82</v>
      </c>
      <c r="H37" s="246">
        <v>0.0337</v>
      </c>
      <c r="I37" s="245">
        <v>13.39</v>
      </c>
      <c r="J37" s="245">
        <v>2.3</v>
      </c>
    </row>
    <row r="38" customHeight="1" spans="1:10">
      <c r="A38" s="237">
        <v>45292</v>
      </c>
      <c r="B38" s="238">
        <v>5.82</v>
      </c>
      <c r="C38" s="239">
        <v>0.043</v>
      </c>
      <c r="D38" s="240">
        <v>0.025</v>
      </c>
      <c r="F38" s="244">
        <v>46036</v>
      </c>
      <c r="G38" s="245">
        <v>5.63</v>
      </c>
      <c r="H38" s="246">
        <v>0.0218</v>
      </c>
      <c r="I38" s="245">
        <v>12.95</v>
      </c>
      <c r="J38" s="245">
        <v>2.3</v>
      </c>
    </row>
    <row r="39" customHeight="1" spans="1:10">
      <c r="A39" s="237">
        <v>45323</v>
      </c>
      <c r="B39" s="238">
        <v>6.1</v>
      </c>
      <c r="C39" s="239">
        <v>0.048</v>
      </c>
      <c r="D39" s="240">
        <v>0.203</v>
      </c>
      <c r="F39" s="244">
        <v>46029</v>
      </c>
      <c r="G39" s="245">
        <v>5.51</v>
      </c>
      <c r="H39" s="246">
        <v>0.0204</v>
      </c>
      <c r="I39" s="245">
        <v>12.67</v>
      </c>
      <c r="J39" s="245">
        <v>2.3</v>
      </c>
    </row>
    <row r="40" customHeight="1" spans="1:10">
      <c r="A40" s="237">
        <v>45352</v>
      </c>
      <c r="B40" s="238">
        <v>6.04</v>
      </c>
      <c r="C40" s="239">
        <v>-0.01</v>
      </c>
      <c r="D40" s="240">
        <v>0.133</v>
      </c>
      <c r="F40" s="244">
        <v>46022</v>
      </c>
      <c r="G40" s="245">
        <v>5.4</v>
      </c>
      <c r="H40" s="246">
        <v>0.0305</v>
      </c>
      <c r="I40" s="245">
        <v>12.41</v>
      </c>
      <c r="J40" s="245">
        <v>2.3</v>
      </c>
    </row>
    <row r="41" customHeight="1" spans="1:10">
      <c r="A41" s="237">
        <v>45383</v>
      </c>
      <c r="B41" s="238">
        <v>6.32</v>
      </c>
      <c r="C41" s="239">
        <v>0.046</v>
      </c>
      <c r="D41" s="240">
        <v>0.232</v>
      </c>
      <c r="F41" s="244">
        <v>46015</v>
      </c>
      <c r="G41" s="245">
        <v>5.24</v>
      </c>
      <c r="H41" s="246">
        <v>0.0019</v>
      </c>
      <c r="I41" s="245">
        <v>11.94</v>
      </c>
      <c r="J41" s="245">
        <v>2.28</v>
      </c>
    </row>
    <row r="42" customHeight="1" spans="1:10">
      <c r="A42" s="237">
        <v>45413</v>
      </c>
      <c r="B42" s="238">
        <v>6.55</v>
      </c>
      <c r="C42" s="239">
        <v>0.036</v>
      </c>
      <c r="D42" s="240">
        <v>0.267</v>
      </c>
      <c r="F42" s="244">
        <v>46008</v>
      </c>
      <c r="G42" s="245">
        <v>5.23</v>
      </c>
      <c r="H42" s="246">
        <v>0.0097</v>
      </c>
      <c r="I42" s="245">
        <v>11.92</v>
      </c>
      <c r="J42" s="245">
        <v>2.28</v>
      </c>
    </row>
    <row r="43" customHeight="1" spans="1:10">
      <c r="A43" s="237">
        <v>45444</v>
      </c>
      <c r="B43" s="238">
        <v>7.47</v>
      </c>
      <c r="C43" s="239">
        <v>0.14</v>
      </c>
      <c r="D43" s="240">
        <v>0.47</v>
      </c>
      <c r="F43" s="244">
        <v>46001</v>
      </c>
      <c r="G43" s="245">
        <v>5.18</v>
      </c>
      <c r="H43" s="246">
        <v>-0.0058</v>
      </c>
      <c r="I43" s="245">
        <v>11.81</v>
      </c>
      <c r="J43" s="245">
        <v>2.28</v>
      </c>
    </row>
    <row r="44" customHeight="1" spans="1:10">
      <c r="A44" s="237">
        <v>45474</v>
      </c>
      <c r="B44" s="238">
        <v>7.57</v>
      </c>
      <c r="C44" s="239">
        <v>0.013</v>
      </c>
      <c r="D44" s="240">
        <v>0.526</v>
      </c>
      <c r="F44" s="244">
        <v>45994</v>
      </c>
      <c r="G44" s="245">
        <v>5.21</v>
      </c>
      <c r="H44" s="246">
        <v>-0.017</v>
      </c>
      <c r="I44" s="245">
        <v>11.88</v>
      </c>
      <c r="J44" s="245">
        <v>2.28</v>
      </c>
    </row>
    <row r="45" customHeight="1" spans="1:10">
      <c r="A45" s="237">
        <v>45505</v>
      </c>
      <c r="B45" s="238">
        <v>8.44</v>
      </c>
      <c r="C45" s="239">
        <v>0.115</v>
      </c>
      <c r="D45" s="240">
        <v>0.438</v>
      </c>
      <c r="F45" s="244">
        <v>45987</v>
      </c>
      <c r="G45" s="245">
        <v>5.3</v>
      </c>
      <c r="H45" s="246">
        <v>-0.013</v>
      </c>
      <c r="I45" s="245">
        <v>12.09</v>
      </c>
      <c r="J45" s="245">
        <v>5.3</v>
      </c>
    </row>
    <row r="46" customHeight="1" spans="1:10">
      <c r="A46" s="237">
        <v>45536</v>
      </c>
      <c r="B46" s="238">
        <v>8.22</v>
      </c>
      <c r="C46" s="239">
        <v>-0.026</v>
      </c>
      <c r="D46" s="240">
        <v>0.432</v>
      </c>
      <c r="F46" s="244">
        <v>45980</v>
      </c>
      <c r="G46" s="245">
        <v>5.37</v>
      </c>
      <c r="H46" s="246">
        <v>-0.0236</v>
      </c>
      <c r="I46" s="245">
        <v>12.24</v>
      </c>
      <c r="J46" s="245">
        <v>2.28</v>
      </c>
    </row>
    <row r="47" customHeight="1" spans="1:10">
      <c r="A47" s="237">
        <v>45566</v>
      </c>
      <c r="B47" s="238">
        <v>7.92</v>
      </c>
      <c r="C47" s="239">
        <v>-0.036</v>
      </c>
      <c r="D47" s="240">
        <v>0.404</v>
      </c>
      <c r="F47" s="244">
        <v>45973</v>
      </c>
      <c r="G47" s="245">
        <v>5.5</v>
      </c>
      <c r="H47" s="246">
        <v>-0.0179</v>
      </c>
      <c r="I47" s="245">
        <v>12.44</v>
      </c>
      <c r="J47" s="245">
        <v>2.26</v>
      </c>
    </row>
    <row r="48" customHeight="1" spans="1:10">
      <c r="A48" s="237">
        <v>45597</v>
      </c>
      <c r="B48" s="238">
        <v>7.63</v>
      </c>
      <c r="C48" s="239">
        <v>-0.037</v>
      </c>
      <c r="D48" s="240">
        <v>0.382</v>
      </c>
      <c r="F48" s="244">
        <v>45966</v>
      </c>
      <c r="G48" s="245">
        <v>5.6</v>
      </c>
      <c r="H48" s="246">
        <v>0.0108</v>
      </c>
      <c r="I48" s="245">
        <v>12.54</v>
      </c>
      <c r="J48" s="245">
        <v>2.24</v>
      </c>
    </row>
    <row r="49" customHeight="1" spans="1:10">
      <c r="A49" s="237">
        <v>45627</v>
      </c>
      <c r="B49" s="238">
        <v>7.73</v>
      </c>
      <c r="C49" s="239">
        <v>0.013</v>
      </c>
      <c r="D49" s="240">
        <v>0.385</v>
      </c>
      <c r="F49" s="244">
        <v>45959</v>
      </c>
      <c r="G49" s="245">
        <v>5.54</v>
      </c>
      <c r="H49" s="246">
        <v>0.0552</v>
      </c>
      <c r="I49" s="245">
        <v>12.53</v>
      </c>
      <c r="J49" s="245">
        <v>2.26</v>
      </c>
    </row>
    <row r="50" customHeight="1" spans="1:10">
      <c r="A50" s="237">
        <v>45658</v>
      </c>
      <c r="B50" s="238">
        <v>7.81</v>
      </c>
      <c r="C50" s="239">
        <v>0.01</v>
      </c>
      <c r="D50" s="240">
        <v>0.342</v>
      </c>
      <c r="F50" s="244">
        <v>45952</v>
      </c>
      <c r="G50" s="245">
        <v>5.25</v>
      </c>
      <c r="H50" s="246">
        <v>0.0057</v>
      </c>
      <c r="I50" s="245">
        <v>11.98</v>
      </c>
      <c r="J50" s="245">
        <v>2.28</v>
      </c>
    </row>
    <row r="51" customHeight="1" spans="1:10">
      <c r="A51" s="237">
        <v>45689</v>
      </c>
      <c r="B51" s="238">
        <v>7.32</v>
      </c>
      <c r="C51" s="239">
        <v>-0.063</v>
      </c>
      <c r="D51" s="240">
        <v>0.2</v>
      </c>
      <c r="F51" s="244">
        <v>45945</v>
      </c>
      <c r="G51" s="245">
        <v>5.22</v>
      </c>
      <c r="H51" s="246">
        <v>-0.044</v>
      </c>
      <c r="I51" s="245">
        <v>11.9</v>
      </c>
      <c r="J51" s="245">
        <v>2.28</v>
      </c>
    </row>
    <row r="52" customHeight="1" spans="1:10">
      <c r="A52" s="237">
        <v>45717</v>
      </c>
      <c r="B52" s="238">
        <v>6.83</v>
      </c>
      <c r="C52" s="239">
        <v>-0.067</v>
      </c>
      <c r="D52" s="240">
        <v>0.131</v>
      </c>
      <c r="F52" s="244">
        <v>45938</v>
      </c>
      <c r="G52" s="245">
        <v>5.46</v>
      </c>
      <c r="H52" s="246">
        <v>-0.0387</v>
      </c>
      <c r="I52" s="245">
        <v>12.67</v>
      </c>
      <c r="J52" s="245">
        <v>2.32</v>
      </c>
    </row>
    <row r="53" customHeight="1" spans="1:10">
      <c r="A53" s="237">
        <v>45748</v>
      </c>
      <c r="B53" s="238">
        <v>6.69</v>
      </c>
      <c r="C53" s="239">
        <v>-0.02</v>
      </c>
      <c r="D53" s="240">
        <v>0.059</v>
      </c>
      <c r="F53" s="244">
        <v>45924</v>
      </c>
      <c r="G53" s="245">
        <v>5.68</v>
      </c>
      <c r="H53" s="246">
        <v>-0.0224</v>
      </c>
      <c r="I53" s="245">
        <v>13.29</v>
      </c>
      <c r="J53" s="245">
        <v>2.34</v>
      </c>
    </row>
    <row r="54" customHeight="1" spans="1:10">
      <c r="A54" s="237">
        <v>45778</v>
      </c>
      <c r="B54" s="238">
        <v>6.38</v>
      </c>
      <c r="C54" s="239">
        <v>-0.046</v>
      </c>
      <c r="D54" s="240">
        <v>-0.026</v>
      </c>
      <c r="F54" s="244">
        <v>45917</v>
      </c>
      <c r="G54" s="245">
        <v>5.81</v>
      </c>
      <c r="H54" s="246">
        <v>-0.0153</v>
      </c>
      <c r="I54" s="245">
        <v>13.71</v>
      </c>
      <c r="J54" s="245">
        <v>2.36</v>
      </c>
    </row>
    <row r="55" customHeight="1" spans="1:10">
      <c r="A55" s="237">
        <v>45809</v>
      </c>
      <c r="B55" s="238">
        <v>6.16</v>
      </c>
      <c r="C55" s="239">
        <v>-0.034</v>
      </c>
      <c r="D55" s="240">
        <v>-0.175</v>
      </c>
      <c r="F55" s="244">
        <v>45910</v>
      </c>
      <c r="G55" s="245">
        <v>5.9</v>
      </c>
      <c r="H55" s="246">
        <v>-0.0084</v>
      </c>
      <c r="I55" s="245">
        <v>13.93</v>
      </c>
      <c r="J55" s="245">
        <v>2.36</v>
      </c>
    </row>
    <row r="56" customHeight="1" spans="1:10">
      <c r="A56" s="237">
        <v>45839</v>
      </c>
      <c r="B56" s="238">
        <v>6.18</v>
      </c>
      <c r="C56" s="239">
        <v>0.003</v>
      </c>
      <c r="D56" s="240">
        <v>-0.184</v>
      </c>
      <c r="F56" s="244">
        <v>45903</v>
      </c>
      <c r="G56" s="245">
        <v>5.95</v>
      </c>
      <c r="H56" s="246">
        <v>0.0068</v>
      </c>
      <c r="I56" s="245">
        <v>14.17</v>
      </c>
      <c r="J56" s="245">
        <v>2.38</v>
      </c>
    </row>
    <row r="57" customHeight="1" spans="1:10">
      <c r="A57" s="237">
        <v>45870</v>
      </c>
      <c r="B57" s="238">
        <v>5.94</v>
      </c>
      <c r="C57" s="239">
        <v>-0.039</v>
      </c>
      <c r="D57" s="240">
        <v>-0.296</v>
      </c>
      <c r="F57" s="244">
        <v>45896</v>
      </c>
      <c r="G57" s="245">
        <v>5.91</v>
      </c>
      <c r="H57" s="246">
        <v>0.0034</v>
      </c>
      <c r="I57" s="245">
        <v>14.07</v>
      </c>
      <c r="J57" s="245">
        <v>2.38</v>
      </c>
    </row>
    <row r="58" customHeight="1" spans="1:10">
      <c r="A58" s="237">
        <v>45901</v>
      </c>
      <c r="B58" s="238">
        <v>5.84</v>
      </c>
      <c r="C58" s="239">
        <v>-0.017</v>
      </c>
      <c r="D58" s="240">
        <v>-0.29</v>
      </c>
      <c r="F58" s="244">
        <v>45889</v>
      </c>
      <c r="G58" s="245">
        <v>5.89</v>
      </c>
      <c r="H58" s="246">
        <v>-0.0084</v>
      </c>
      <c r="I58" s="245">
        <v>14.14</v>
      </c>
      <c r="J58" s="245">
        <v>2.4</v>
      </c>
    </row>
    <row r="59" customHeight="1" spans="1:10">
      <c r="A59" s="237">
        <v>45931</v>
      </c>
      <c r="B59" s="238">
        <v>5.37</v>
      </c>
      <c r="C59" s="239">
        <v>-0.08</v>
      </c>
      <c r="D59" s="240">
        <v>-0.322</v>
      </c>
      <c r="F59" s="244">
        <v>45882</v>
      </c>
      <c r="G59" s="245">
        <v>5.94</v>
      </c>
      <c r="H59" s="246">
        <v>-0.0133</v>
      </c>
      <c r="I59" s="245">
        <v>14.25</v>
      </c>
      <c r="J59" s="245">
        <v>2.4</v>
      </c>
    </row>
    <row r="60" customHeight="1" spans="1:10">
      <c r="A60" s="237">
        <v>45962</v>
      </c>
      <c r="B60" s="238">
        <v>5.44</v>
      </c>
      <c r="C60" s="239">
        <v>0.013</v>
      </c>
      <c r="D60" s="240">
        <v>-0.287</v>
      </c>
      <c r="F60" s="244">
        <v>45875</v>
      </c>
      <c r="G60" s="245">
        <v>6.02</v>
      </c>
      <c r="H60" s="246">
        <v>-0.005</v>
      </c>
      <c r="I60" s="245">
        <v>14.44</v>
      </c>
      <c r="J60" s="245">
        <v>2.4</v>
      </c>
    </row>
    <row r="61" customHeight="1" spans="1:10">
      <c r="A61" s="237">
        <v>45992</v>
      </c>
      <c r="B61" s="238">
        <v>5.25</v>
      </c>
      <c r="C61" s="239">
        <v>-0.035</v>
      </c>
      <c r="D61" s="240">
        <v>-0.321</v>
      </c>
      <c r="F61" s="244">
        <v>45868</v>
      </c>
      <c r="G61" s="245">
        <v>6.05</v>
      </c>
      <c r="H61" s="246">
        <v>-0.0179</v>
      </c>
      <c r="I61" s="245">
        <v>14.53</v>
      </c>
      <c r="J61" s="245">
        <v>2.4</v>
      </c>
    </row>
    <row r="62" customHeight="1" spans="1:10">
      <c r="A62" s="237">
        <v>46023</v>
      </c>
      <c r="B62" s="238">
        <v>5.68</v>
      </c>
      <c r="C62" s="239">
        <v>0.082</v>
      </c>
      <c r="D62" s="240">
        <v>-0.273</v>
      </c>
      <c r="F62" s="244">
        <v>45861</v>
      </c>
      <c r="G62" s="245">
        <v>6.16</v>
      </c>
      <c r="H62" s="246">
        <v>-0.0112</v>
      </c>
      <c r="I62" s="245">
        <v>14.78</v>
      </c>
      <c r="J62" s="245">
        <v>2.4</v>
      </c>
    </row>
    <row r="63" customHeight="1" spans="1:10">
      <c r="A63" s="237">
        <v>46054</v>
      </c>
      <c r="B63" s="238">
        <v>5.39</v>
      </c>
      <c r="C63" s="239">
        <v>-0.051</v>
      </c>
      <c r="D63" s="240">
        <v>-0.264</v>
      </c>
      <c r="F63" s="244">
        <v>45854</v>
      </c>
      <c r="G63" s="245">
        <v>6.23</v>
      </c>
      <c r="H63" s="246">
        <v>-0.0064</v>
      </c>
      <c r="I63" s="245">
        <v>14.96</v>
      </c>
      <c r="J63" s="245">
        <v>2.4</v>
      </c>
    </row>
    <row r="64" customHeight="1" spans="1:10">
      <c r="A64" s="237">
        <v>46082</v>
      </c>
      <c r="B64" s="238">
        <v>4.47</v>
      </c>
      <c r="C64" s="239">
        <v>-0.171</v>
      </c>
      <c r="D64" s="240">
        <v>-0.346</v>
      </c>
      <c r="F64" s="244">
        <v>45847</v>
      </c>
      <c r="G64" s="245">
        <v>6.27</v>
      </c>
      <c r="H64" s="246">
        <v>0.0097</v>
      </c>
      <c r="I64" s="245">
        <v>15.04</v>
      </c>
      <c r="J64" s="245">
        <v>2.4</v>
      </c>
    </row>
    <row r="65" customHeight="1" spans="1:10">
      <c r="A65" s="237">
        <v>46113</v>
      </c>
      <c r="B65" s="238">
        <v>4.03</v>
      </c>
      <c r="C65" s="239">
        <v>-0.098</v>
      </c>
      <c r="D65" s="240">
        <v>-0.398</v>
      </c>
      <c r="F65" s="244">
        <v>45840</v>
      </c>
      <c r="G65" s="245">
        <v>6.21</v>
      </c>
      <c r="H65" s="246">
        <v>0.0131</v>
      </c>
      <c r="I65" s="245">
        <v>14.9</v>
      </c>
      <c r="J65" s="245">
        <v>2.4</v>
      </c>
    </row>
    <row r="66" customHeight="1" spans="1:10">
      <c r="A66" s="237">
        <v>46143</v>
      </c>
      <c r="B66" s="238">
        <v>4.12</v>
      </c>
      <c r="C66" s="239">
        <v>0.022</v>
      </c>
      <c r="D66" s="240">
        <v>-0.354</v>
      </c>
      <c r="F66" s="244">
        <v>45833</v>
      </c>
      <c r="G66" s="245">
        <v>6.13</v>
      </c>
      <c r="H66" s="246">
        <v>0.0049</v>
      </c>
      <c r="I66" s="245">
        <v>14.59</v>
      </c>
      <c r="J66" s="245">
        <v>2.38</v>
      </c>
    </row>
    <row r="67" customHeight="1" spans="1:10">
      <c r="A67" s="237">
        <v>46174</v>
      </c>
      <c r="B67" s="238">
        <v>3.96</v>
      </c>
      <c r="C67" s="239">
        <v>-0.039</v>
      </c>
      <c r="D67" s="240">
        <v>-0.357</v>
      </c>
      <c r="F67" s="244">
        <v>45826</v>
      </c>
      <c r="G67" s="245">
        <v>6.1</v>
      </c>
      <c r="H67" s="246">
        <v>-0.0033</v>
      </c>
      <c r="I67" s="245">
        <v>14.51</v>
      </c>
      <c r="J67" s="245">
        <v>2.38</v>
      </c>
    </row>
    <row r="68" customHeight="1" spans="1:10">
      <c r="A68" s="254">
        <v>46204</v>
      </c>
      <c r="B68" s="255">
        <v>4.37</v>
      </c>
      <c r="C68" s="256">
        <v>0.104</v>
      </c>
      <c r="D68" s="257">
        <v>-0.293</v>
      </c>
      <c r="F68" s="244">
        <v>45819</v>
      </c>
      <c r="G68" s="245">
        <v>6.12</v>
      </c>
      <c r="H68" s="246">
        <v>-0.027</v>
      </c>
      <c r="I68" s="245">
        <v>14.45</v>
      </c>
      <c r="J68" s="245">
        <v>2.36</v>
      </c>
    </row>
    <row r="69" customHeight="1" spans="3:10">
      <c r="C69" s="258"/>
      <c r="D69" s="258"/>
      <c r="F69" s="244">
        <v>45812</v>
      </c>
      <c r="G69" s="245">
        <v>6.29</v>
      </c>
      <c r="H69" s="246">
        <v>-0.0032</v>
      </c>
      <c r="I69" s="245">
        <v>14.71</v>
      </c>
      <c r="J69" s="245">
        <v>2.34</v>
      </c>
    </row>
    <row r="70" customHeight="1" spans="3:10">
      <c r="C70" s="258"/>
      <c r="D70" s="258"/>
      <c r="F70" s="244">
        <v>45805</v>
      </c>
      <c r="G70" s="245">
        <v>6.31</v>
      </c>
      <c r="H70" s="246">
        <v>0.0032</v>
      </c>
      <c r="I70" s="245">
        <v>14.77</v>
      </c>
      <c r="J70" s="245">
        <v>2.34</v>
      </c>
    </row>
    <row r="71" customHeight="1" spans="6:10">
      <c r="F71" s="244">
        <v>45798</v>
      </c>
      <c r="G71" s="245">
        <v>6.29</v>
      </c>
      <c r="H71" s="246">
        <v>-0.0202</v>
      </c>
      <c r="I71" s="245">
        <v>14.84</v>
      </c>
      <c r="J71" s="245">
        <v>2.36</v>
      </c>
    </row>
    <row r="72" customHeight="1" spans="6:10">
      <c r="F72" s="244">
        <v>45791</v>
      </c>
      <c r="G72" s="245">
        <v>6.42</v>
      </c>
      <c r="H72" s="246">
        <v>-0.0093</v>
      </c>
      <c r="I72" s="245">
        <v>15.02</v>
      </c>
      <c r="J72" s="245">
        <v>2.34</v>
      </c>
    </row>
    <row r="73" customHeight="1" spans="6:10">
      <c r="F73" s="244">
        <v>45784</v>
      </c>
      <c r="G73" s="245">
        <v>6.48</v>
      </c>
      <c r="H73" s="246">
        <v>-0.0182</v>
      </c>
      <c r="I73" s="245">
        <v>15.03</v>
      </c>
      <c r="J73" s="245">
        <v>2.32</v>
      </c>
    </row>
    <row r="74" customHeight="1" spans="6:10">
      <c r="F74" s="244">
        <v>45777</v>
      </c>
      <c r="G74" s="245">
        <v>6.6</v>
      </c>
      <c r="H74" s="246">
        <v>-0.012</v>
      </c>
      <c r="I74" s="245">
        <v>15.04</v>
      </c>
      <c r="J74" s="245">
        <v>2.28</v>
      </c>
    </row>
    <row r="75" customHeight="1" spans="6:10">
      <c r="F75" s="244">
        <v>45770</v>
      </c>
      <c r="G75" s="245">
        <v>6.68</v>
      </c>
      <c r="H75" s="246">
        <v>-0.006</v>
      </c>
      <c r="I75" s="245">
        <v>15.09</v>
      </c>
      <c r="J75" s="245">
        <v>2.26</v>
      </c>
    </row>
    <row r="76" customHeight="1" spans="6:10">
      <c r="F76" s="244">
        <v>45763</v>
      </c>
      <c r="G76" s="245">
        <v>6.72</v>
      </c>
      <c r="H76" s="246">
        <v>0.0136</v>
      </c>
      <c r="I76" s="245">
        <v>15.05</v>
      </c>
      <c r="J76" s="245">
        <v>2.24</v>
      </c>
    </row>
    <row r="77" customHeight="1" spans="6:10">
      <c r="F77" s="244">
        <v>45756</v>
      </c>
      <c r="G77" s="245">
        <v>6.71</v>
      </c>
      <c r="H77" s="246">
        <v>-0.0045</v>
      </c>
      <c r="I77" s="245">
        <v>15.04</v>
      </c>
      <c r="J77" s="245">
        <v>2.24</v>
      </c>
    </row>
    <row r="78" customHeight="1" spans="6:10">
      <c r="F78" s="244">
        <v>45749</v>
      </c>
      <c r="G78" s="245">
        <v>6.74</v>
      </c>
      <c r="H78" s="246">
        <v>-0.0015</v>
      </c>
      <c r="I78" s="245">
        <v>15.09</v>
      </c>
      <c r="J78" s="245">
        <v>2.24</v>
      </c>
    </row>
    <row r="79" customHeight="1" spans="6:10">
      <c r="F79" s="244">
        <v>45735</v>
      </c>
      <c r="G79" s="245">
        <v>6.78</v>
      </c>
      <c r="H79" s="246">
        <v>-0.0117</v>
      </c>
      <c r="I79" s="245">
        <v>15.19</v>
      </c>
      <c r="J79" s="245">
        <v>2.24</v>
      </c>
    </row>
    <row r="80" customHeight="1" spans="6:10">
      <c r="F80" s="244">
        <v>45721</v>
      </c>
      <c r="G80" s="245">
        <v>6.94</v>
      </c>
      <c r="H80" s="246">
        <v>-0.0198</v>
      </c>
      <c r="I80" s="245">
        <v>15.26</v>
      </c>
      <c r="J80" s="245">
        <v>2.2</v>
      </c>
    </row>
    <row r="81" customHeight="1" spans="6:10">
      <c r="F81" s="244">
        <v>45714</v>
      </c>
      <c r="G81" s="245">
        <v>7.08</v>
      </c>
      <c r="H81" s="246">
        <v>-0.0194</v>
      </c>
      <c r="I81" s="245">
        <v>15.44</v>
      </c>
      <c r="J81" s="245">
        <v>2.18</v>
      </c>
    </row>
    <row r="82" customHeight="1" spans="6:10">
      <c r="F82" s="244">
        <v>45700</v>
      </c>
      <c r="G82" s="245">
        <v>7.3</v>
      </c>
      <c r="H82" s="246">
        <v>-0.0495</v>
      </c>
      <c r="I82" s="245">
        <v>15.63</v>
      </c>
      <c r="J82" s="245">
        <v>2.14</v>
      </c>
    </row>
    <row r="83" customHeight="1" spans="6:10">
      <c r="F83" s="244">
        <v>45693</v>
      </c>
      <c r="G83" s="245">
        <v>7.68</v>
      </c>
      <c r="H83" s="246">
        <v>0.0026</v>
      </c>
      <c r="I83" s="245">
        <v>16.43</v>
      </c>
      <c r="J83" s="245">
        <v>2.14</v>
      </c>
    </row>
    <row r="84" customHeight="1" spans="6:10">
      <c r="F84" s="244">
        <v>45672</v>
      </c>
      <c r="G84" s="245">
        <v>7.84</v>
      </c>
      <c r="H84" s="246">
        <v>-0.0138</v>
      </c>
      <c r="I84" s="245">
        <v>16.46</v>
      </c>
      <c r="J84" s="245">
        <v>2.1</v>
      </c>
    </row>
    <row r="85" customHeight="1" spans="6:10">
      <c r="F85" s="244">
        <v>45665</v>
      </c>
      <c r="G85" s="245">
        <v>7.95</v>
      </c>
      <c r="H85" s="246">
        <v>0.0192</v>
      </c>
      <c r="I85" s="245">
        <v>16.54</v>
      </c>
      <c r="J85" s="245">
        <v>2.08</v>
      </c>
    </row>
    <row r="86" customHeight="1" spans="6:10">
      <c r="F86" s="244">
        <v>45651</v>
      </c>
      <c r="G86" s="245">
        <v>7.74</v>
      </c>
      <c r="H86" s="246">
        <v>0</v>
      </c>
      <c r="I86" s="245">
        <v>16.26</v>
      </c>
      <c r="J86" s="245">
        <v>2.1</v>
      </c>
    </row>
    <row r="87" customHeight="1" spans="6:10">
      <c r="F87" s="244">
        <v>45637</v>
      </c>
      <c r="G87" s="245">
        <v>7.68</v>
      </c>
      <c r="H87" s="246">
        <v>-0.0078</v>
      </c>
      <c r="I87" s="245">
        <v>16.44</v>
      </c>
      <c r="J87" s="245">
        <v>2.14</v>
      </c>
    </row>
    <row r="88" customHeight="1" spans="6:10">
      <c r="F88" s="244">
        <v>45630</v>
      </c>
      <c r="G88" s="245">
        <v>7.74</v>
      </c>
      <c r="H88" s="246">
        <v>0.0052</v>
      </c>
      <c r="I88" s="245">
        <v>16.72</v>
      </c>
      <c r="J88" s="245">
        <v>2.16</v>
      </c>
    </row>
    <row r="89" customHeight="1" spans="6:10">
      <c r="F89" s="244">
        <v>45623</v>
      </c>
      <c r="G89" s="245">
        <v>7.7</v>
      </c>
      <c r="H89" s="246">
        <v>0.0363</v>
      </c>
      <c r="I89" s="245">
        <v>16.94</v>
      </c>
      <c r="J89" s="245">
        <v>2.2</v>
      </c>
    </row>
    <row r="90" customHeight="1" spans="6:10">
      <c r="F90" s="244">
        <v>45616</v>
      </c>
      <c r="G90" s="245">
        <v>7.43</v>
      </c>
      <c r="H90" s="246">
        <v>-0.0224</v>
      </c>
      <c r="I90" s="245">
        <v>16.79</v>
      </c>
      <c r="J90" s="245">
        <v>2.26</v>
      </c>
    </row>
    <row r="91" customHeight="1" spans="6:10">
      <c r="F91" s="244">
        <v>45609</v>
      </c>
      <c r="G91" s="245">
        <v>7.6</v>
      </c>
      <c r="H91" s="246">
        <v>-0.0244</v>
      </c>
      <c r="I91" s="245">
        <v>17.32</v>
      </c>
      <c r="J91" s="245">
        <v>2.28</v>
      </c>
    </row>
    <row r="92" customHeight="1" spans="6:10">
      <c r="F92" s="244">
        <v>45602</v>
      </c>
      <c r="G92" s="245">
        <v>7.79</v>
      </c>
      <c r="H92" s="246">
        <v>-0.0013</v>
      </c>
      <c r="I92" s="245">
        <v>17.75</v>
      </c>
      <c r="J92" s="245">
        <v>2.28</v>
      </c>
    </row>
    <row r="93" customHeight="1" spans="6:10">
      <c r="F93" s="244">
        <v>45595</v>
      </c>
      <c r="G93" s="245">
        <v>7.8</v>
      </c>
      <c r="H93" s="246">
        <v>-0.0176</v>
      </c>
      <c r="I93" s="245">
        <v>17.94</v>
      </c>
      <c r="J93" s="245">
        <v>2.3</v>
      </c>
    </row>
    <row r="94" customHeight="1" spans="6:10">
      <c r="F94" s="244">
        <v>45588</v>
      </c>
      <c r="G94" s="245">
        <v>7.94</v>
      </c>
      <c r="H94" s="246">
        <v>-0.0124</v>
      </c>
      <c r="I94" s="245">
        <v>18.1</v>
      </c>
      <c r="J94" s="245">
        <v>2.28</v>
      </c>
    </row>
    <row r="95" customHeight="1" spans="6:10">
      <c r="F95" s="244">
        <v>45581</v>
      </c>
      <c r="G95" s="245">
        <v>8.04</v>
      </c>
      <c r="H95" s="246">
        <v>0.0177</v>
      </c>
      <c r="I95" s="245">
        <v>18.34</v>
      </c>
      <c r="J95" s="245">
        <v>2.28</v>
      </c>
    </row>
    <row r="96" customHeight="1" spans="6:10">
      <c r="F96" s="244">
        <v>45574</v>
      </c>
      <c r="G96" s="245">
        <v>7.9</v>
      </c>
      <c r="H96" s="246">
        <v>-0.0186</v>
      </c>
      <c r="I96" s="245">
        <v>18.17</v>
      </c>
      <c r="J96" s="245">
        <v>2.3</v>
      </c>
    </row>
    <row r="97" customHeight="1" spans="6:10">
      <c r="F97" s="244">
        <v>45560</v>
      </c>
      <c r="G97" s="245">
        <v>8.05</v>
      </c>
      <c r="H97" s="246">
        <v>-0.0159</v>
      </c>
      <c r="I97" s="245">
        <v>18.83</v>
      </c>
      <c r="J97" s="245">
        <v>2.34</v>
      </c>
    </row>
    <row r="98" customHeight="1" spans="6:10">
      <c r="F98" s="244">
        <v>45553</v>
      </c>
      <c r="G98" s="245">
        <v>8.18</v>
      </c>
      <c r="H98" s="246">
        <v>-0.0133</v>
      </c>
      <c r="I98" s="245">
        <v>19.63</v>
      </c>
      <c r="J98" s="245">
        <v>2.4</v>
      </c>
    </row>
    <row r="99" customHeight="1" spans="6:10">
      <c r="F99" s="244">
        <v>45546</v>
      </c>
      <c r="G99" s="245">
        <v>8.29</v>
      </c>
      <c r="H99" s="246">
        <v>-0.0072</v>
      </c>
      <c r="I99" s="245">
        <v>20.05</v>
      </c>
      <c r="J99" s="245">
        <v>2.42</v>
      </c>
    </row>
    <row r="100" customHeight="1" spans="6:10">
      <c r="F100" s="244">
        <v>45539</v>
      </c>
      <c r="G100" s="245">
        <v>8.35</v>
      </c>
      <c r="H100" s="246">
        <v>-0.0036</v>
      </c>
      <c r="I100" s="245">
        <v>20.21</v>
      </c>
      <c r="J100" s="245">
        <v>2.42</v>
      </c>
    </row>
    <row r="101" customHeight="1" spans="6:10">
      <c r="F101" s="244">
        <v>45532</v>
      </c>
      <c r="G101" s="245">
        <v>8.38</v>
      </c>
      <c r="H101" s="246">
        <v>-0.0199</v>
      </c>
      <c r="I101" s="245">
        <v>20.27</v>
      </c>
      <c r="J101" s="245">
        <v>2.42</v>
      </c>
    </row>
    <row r="102" customHeight="1" spans="6:10">
      <c r="F102" s="244">
        <v>45525</v>
      </c>
      <c r="G102" s="245">
        <v>8.55</v>
      </c>
      <c r="H102" s="246">
        <v>-0.0012</v>
      </c>
      <c r="I102" s="245">
        <v>20.85</v>
      </c>
      <c r="J102" s="245">
        <v>2.44</v>
      </c>
    </row>
    <row r="103" customHeight="1" spans="6:10">
      <c r="F103" s="244">
        <v>45518</v>
      </c>
      <c r="G103" s="245">
        <v>8.56</v>
      </c>
      <c r="H103" s="246">
        <v>0.0363</v>
      </c>
      <c r="I103" s="245">
        <v>21.06</v>
      </c>
      <c r="J103" s="245">
        <v>2.46</v>
      </c>
    </row>
    <row r="104" customHeight="1" spans="6:10">
      <c r="F104" s="244">
        <v>45511</v>
      </c>
      <c r="G104" s="245">
        <v>8.26</v>
      </c>
      <c r="H104" s="246">
        <v>0.0496</v>
      </c>
      <c r="I104" s="245">
        <v>20.32</v>
      </c>
      <c r="J104" s="245">
        <v>2.46</v>
      </c>
    </row>
    <row r="105" customHeight="1" spans="6:10">
      <c r="F105" s="259">
        <v>45504</v>
      </c>
      <c r="G105" s="260">
        <v>7.87</v>
      </c>
      <c r="H105" s="261">
        <v>0.0181</v>
      </c>
      <c r="I105" s="260">
        <v>19.52</v>
      </c>
      <c r="J105" s="260">
        <v>2.48</v>
      </c>
    </row>
    <row r="106" customHeight="1" spans="6:10">
      <c r="F106" s="244">
        <v>45497</v>
      </c>
      <c r="G106" s="245">
        <v>7.73</v>
      </c>
      <c r="H106" s="246">
        <v>0.0158</v>
      </c>
      <c r="I106" s="245">
        <v>19.32</v>
      </c>
      <c r="J106" s="245">
        <v>2.5</v>
      </c>
    </row>
    <row r="107" customHeight="1" spans="6:10">
      <c r="F107" s="244">
        <v>45490</v>
      </c>
      <c r="G107" s="245">
        <v>7.61</v>
      </c>
      <c r="H107" s="246">
        <v>0.0298</v>
      </c>
      <c r="I107" s="245">
        <v>19.03</v>
      </c>
      <c r="J107" s="245">
        <v>2.5</v>
      </c>
    </row>
    <row r="108" customHeight="1" spans="6:10">
      <c r="F108" s="244">
        <v>45483</v>
      </c>
      <c r="G108" s="245">
        <v>7.39</v>
      </c>
      <c r="H108" s="246">
        <v>0.0179</v>
      </c>
      <c r="I108" s="245">
        <v>18.62</v>
      </c>
      <c r="J108" s="245">
        <v>2.52</v>
      </c>
    </row>
    <row r="109" customHeight="1" spans="6:10">
      <c r="F109" s="244">
        <v>45476</v>
      </c>
      <c r="G109" s="245">
        <v>7.26</v>
      </c>
      <c r="H109" s="246">
        <v>0</v>
      </c>
      <c r="I109" s="245">
        <v>18.15</v>
      </c>
      <c r="J109" s="245">
        <v>2.5</v>
      </c>
    </row>
    <row r="110" customHeight="1" spans="6:10">
      <c r="F110" s="244">
        <v>45469</v>
      </c>
      <c r="G110" s="245">
        <v>7.26</v>
      </c>
      <c r="H110" s="246">
        <v>-0.0384</v>
      </c>
      <c r="I110" s="245">
        <v>18</v>
      </c>
      <c r="J110" s="245">
        <v>2.48</v>
      </c>
    </row>
    <row r="111" customHeight="1" spans="6:10">
      <c r="F111" s="244">
        <v>45462</v>
      </c>
      <c r="G111" s="245">
        <v>7.55</v>
      </c>
      <c r="H111" s="246">
        <v>-0.0053</v>
      </c>
      <c r="I111" s="245">
        <v>18.72</v>
      </c>
      <c r="J111" s="245">
        <v>2.48</v>
      </c>
    </row>
    <row r="112" customHeight="1" spans="6:10">
      <c r="F112" s="244">
        <v>45455</v>
      </c>
      <c r="G112" s="245">
        <v>7.59</v>
      </c>
      <c r="H112" s="246">
        <v>0.0174</v>
      </c>
      <c r="I112" s="245">
        <v>18.68</v>
      </c>
      <c r="J112" s="245">
        <v>2.46</v>
      </c>
    </row>
    <row r="113" customHeight="1" spans="6:10">
      <c r="F113" s="244">
        <v>45448</v>
      </c>
      <c r="G113" s="245">
        <v>7.46</v>
      </c>
      <c r="H113" s="246">
        <v>0.0672</v>
      </c>
      <c r="I113" s="245">
        <v>18.05</v>
      </c>
      <c r="J113" s="245">
        <v>2.42</v>
      </c>
    </row>
    <row r="114" customHeight="1" spans="6:10">
      <c r="F114" s="244">
        <v>45441</v>
      </c>
      <c r="G114" s="245">
        <v>6.99</v>
      </c>
      <c r="H114" s="246">
        <v>0.0754</v>
      </c>
      <c r="I114" s="245">
        <v>16.92</v>
      </c>
      <c r="J114" s="245">
        <v>2.42</v>
      </c>
    </row>
    <row r="115" customHeight="1" spans="6:10">
      <c r="F115" s="244">
        <v>45434</v>
      </c>
      <c r="G115" s="245">
        <v>6.5</v>
      </c>
      <c r="H115" s="246">
        <v>0.022</v>
      </c>
      <c r="I115" s="245">
        <v>15.72</v>
      </c>
      <c r="J115" s="245">
        <v>2.42</v>
      </c>
    </row>
    <row r="116" customHeight="1" spans="6:10">
      <c r="F116" s="244">
        <v>45427</v>
      </c>
      <c r="G116" s="245">
        <v>6.36</v>
      </c>
      <c r="H116" s="246">
        <v>0.0047</v>
      </c>
      <c r="I116" s="245">
        <v>15.27</v>
      </c>
      <c r="J116" s="245">
        <v>2.4</v>
      </c>
    </row>
    <row r="117" customHeight="1" spans="6:10">
      <c r="F117" s="244">
        <v>45420</v>
      </c>
      <c r="G117" s="245">
        <v>6.33</v>
      </c>
      <c r="H117" s="246">
        <v>-0.0078</v>
      </c>
      <c r="I117" s="245">
        <v>15.2</v>
      </c>
      <c r="J117" s="245">
        <v>2.4</v>
      </c>
    </row>
    <row r="118" customHeight="1" spans="6:10">
      <c r="F118" s="244">
        <v>45406</v>
      </c>
      <c r="G118" s="245">
        <v>6.38</v>
      </c>
      <c r="H118" s="246">
        <v>0.0047</v>
      </c>
      <c r="I118" s="245">
        <v>15.31</v>
      </c>
      <c r="J118" s="245">
        <v>2.4</v>
      </c>
    </row>
    <row r="119" customHeight="1" spans="6:10">
      <c r="F119" s="244">
        <v>45399</v>
      </c>
      <c r="G119" s="245">
        <v>6.35</v>
      </c>
      <c r="H119" s="246">
        <v>0.0095</v>
      </c>
      <c r="I119" s="245">
        <v>15.36</v>
      </c>
      <c r="J119" s="245">
        <v>2.42</v>
      </c>
    </row>
    <row r="120" customHeight="1" spans="6:10">
      <c r="F120" s="244">
        <v>45392</v>
      </c>
      <c r="G120" s="245">
        <v>6.29</v>
      </c>
      <c r="H120" s="246">
        <v>0.0064</v>
      </c>
      <c r="I120" s="245">
        <v>15.47</v>
      </c>
      <c r="J120" s="245">
        <v>2.46</v>
      </c>
    </row>
    <row r="121" customHeight="1" spans="6:10">
      <c r="F121" s="244">
        <v>45385</v>
      </c>
      <c r="G121" s="245">
        <v>6.25</v>
      </c>
      <c r="H121" s="246">
        <v>0.0081</v>
      </c>
      <c r="I121" s="245">
        <v>15.37</v>
      </c>
      <c r="J121" s="245">
        <v>2.46</v>
      </c>
    </row>
    <row r="122" customHeight="1" spans="6:10">
      <c r="F122" s="244">
        <v>45378</v>
      </c>
      <c r="G122" s="245">
        <v>6.2</v>
      </c>
      <c r="H122" s="246">
        <v>0.0214</v>
      </c>
      <c r="I122" s="245">
        <v>15.25</v>
      </c>
      <c r="J122" s="245">
        <v>2.46</v>
      </c>
    </row>
    <row r="123" customHeight="1" spans="6:10">
      <c r="F123" s="244">
        <v>45371</v>
      </c>
      <c r="G123" s="245">
        <v>6.07</v>
      </c>
      <c r="H123" s="246">
        <v>0.0151</v>
      </c>
      <c r="I123" s="245">
        <v>14.93</v>
      </c>
      <c r="J123" s="245">
        <v>2.46</v>
      </c>
    </row>
    <row r="124" customHeight="1" spans="6:10">
      <c r="F124" s="244">
        <v>45364</v>
      </c>
      <c r="G124" s="245">
        <v>5.98</v>
      </c>
      <c r="H124" s="246">
        <v>0.0136</v>
      </c>
      <c r="I124" s="245">
        <v>14.71</v>
      </c>
      <c r="J124" s="245">
        <v>2.46</v>
      </c>
    </row>
    <row r="125" customHeight="1" spans="6:10">
      <c r="F125" s="244">
        <v>45357</v>
      </c>
      <c r="G125" s="245">
        <v>5.9</v>
      </c>
      <c r="H125" s="246">
        <v>0.0034</v>
      </c>
      <c r="I125" s="245">
        <v>14.52</v>
      </c>
      <c r="J125" s="245">
        <v>2.46</v>
      </c>
    </row>
    <row r="126" customHeight="1" spans="6:10">
      <c r="F126" s="262">
        <v>45350</v>
      </c>
      <c r="G126" s="263">
        <v>5.88</v>
      </c>
      <c r="H126" s="264">
        <v>-0.0345</v>
      </c>
      <c r="I126" s="263">
        <v>14.47</v>
      </c>
      <c r="J126" s="263">
        <v>2.46</v>
      </c>
    </row>
    <row r="127" customHeight="1" spans="6:10">
      <c r="F127" s="244">
        <v>45343</v>
      </c>
      <c r="G127" s="245">
        <v>6.09</v>
      </c>
      <c r="H127" s="246">
        <v>-0.0394</v>
      </c>
      <c r="I127" s="245">
        <v>14.86</v>
      </c>
      <c r="J127" s="245">
        <v>2.44</v>
      </c>
    </row>
    <row r="128" customHeight="1" spans="6:10">
      <c r="F128" s="244">
        <v>45329</v>
      </c>
      <c r="G128" s="245">
        <v>6.34</v>
      </c>
      <c r="H128" s="246">
        <v>0.0016</v>
      </c>
      <c r="I128" s="245">
        <v>15.59</v>
      </c>
      <c r="J128" s="245">
        <v>2.46</v>
      </c>
    </row>
    <row r="129" customHeight="1" spans="6:10">
      <c r="F129" s="262">
        <v>45322</v>
      </c>
      <c r="G129" s="263">
        <v>6.33</v>
      </c>
      <c r="H129" s="264">
        <v>0.0729</v>
      </c>
      <c r="I129" s="263">
        <v>15.56</v>
      </c>
      <c r="J129" s="263">
        <v>2.46</v>
      </c>
    </row>
    <row r="130" customHeight="1" spans="6:10">
      <c r="F130" s="262">
        <v>45315</v>
      </c>
      <c r="G130" s="263">
        <v>5.9</v>
      </c>
      <c r="H130" s="264">
        <v>0.0498</v>
      </c>
      <c r="I130" s="263">
        <v>14.62</v>
      </c>
      <c r="J130" s="263">
        <v>2.48</v>
      </c>
    </row>
    <row r="131" customHeight="1" spans="6:10">
      <c r="F131" s="244">
        <v>45308</v>
      </c>
      <c r="G131" s="245">
        <v>5.62</v>
      </c>
      <c r="H131" s="246">
        <v>0.0018</v>
      </c>
      <c r="I131" s="245">
        <v>14.16</v>
      </c>
      <c r="J131" s="245">
        <v>2.52</v>
      </c>
    </row>
    <row r="132" customHeight="1" spans="6:10">
      <c r="F132" s="244">
        <v>45301</v>
      </c>
      <c r="G132" s="245">
        <v>5.61</v>
      </c>
      <c r="H132" s="246">
        <v>-0.0053</v>
      </c>
      <c r="I132" s="245">
        <v>14.26</v>
      </c>
      <c r="J132" s="245">
        <v>2.54</v>
      </c>
    </row>
    <row r="133" customHeight="1" spans="6:10">
      <c r="F133" s="262">
        <v>45294</v>
      </c>
      <c r="G133" s="263">
        <v>5.64</v>
      </c>
      <c r="H133" s="264">
        <v>-0.0035</v>
      </c>
      <c r="I133" s="263">
        <v>14.56</v>
      </c>
      <c r="J133" s="263">
        <v>2.58</v>
      </c>
    </row>
    <row r="134" customHeight="1" spans="6:10">
      <c r="F134" s="244">
        <v>45287</v>
      </c>
      <c r="G134" s="245">
        <v>5.66</v>
      </c>
      <c r="H134" s="246">
        <v>-0.0035</v>
      </c>
      <c r="I134" s="245">
        <v>14.71</v>
      </c>
      <c r="J134" s="245">
        <v>2.6</v>
      </c>
    </row>
    <row r="135" customHeight="1" spans="6:10">
      <c r="F135" s="244">
        <v>45280</v>
      </c>
      <c r="G135" s="245">
        <v>5.68</v>
      </c>
      <c r="H135" s="246">
        <v>0.0403</v>
      </c>
      <c r="I135" s="245">
        <v>14.87</v>
      </c>
      <c r="J135" s="245">
        <v>2.62</v>
      </c>
    </row>
    <row r="136" customHeight="1" spans="6:10">
      <c r="F136" s="244">
        <v>45273</v>
      </c>
      <c r="G136" s="245">
        <v>5.46</v>
      </c>
      <c r="H136" s="246">
        <v>-0.0073</v>
      </c>
      <c r="I136" s="245">
        <v>14.53</v>
      </c>
      <c r="J136" s="245">
        <v>2.66</v>
      </c>
    </row>
    <row r="137" customHeight="1" spans="6:10">
      <c r="F137" s="262">
        <v>45266</v>
      </c>
      <c r="G137" s="263">
        <v>5.5</v>
      </c>
      <c r="H137" s="264">
        <v>0.0018</v>
      </c>
      <c r="I137" s="263">
        <v>14.63</v>
      </c>
      <c r="J137" s="263">
        <v>2.66</v>
      </c>
    </row>
    <row r="138" customHeight="1" spans="6:10">
      <c r="F138" s="244">
        <v>45259</v>
      </c>
      <c r="G138" s="245">
        <v>5.49</v>
      </c>
      <c r="H138" s="246">
        <v>-0.0126</v>
      </c>
      <c r="I138" s="245">
        <v>14.83</v>
      </c>
      <c r="J138" s="245">
        <v>2.7</v>
      </c>
    </row>
    <row r="139" customHeight="1" spans="6:10">
      <c r="F139" s="244">
        <v>45252</v>
      </c>
      <c r="G139" s="245">
        <v>5.56</v>
      </c>
      <c r="H139" s="246">
        <v>0.0146</v>
      </c>
      <c r="I139" s="245">
        <v>15.12</v>
      </c>
      <c r="J139" s="245">
        <v>2.72</v>
      </c>
    </row>
    <row r="140" customHeight="1" spans="6:10">
      <c r="F140" s="244">
        <v>45245</v>
      </c>
      <c r="G140" s="245">
        <v>5.48</v>
      </c>
      <c r="H140" s="246">
        <v>-0.0126</v>
      </c>
      <c r="I140" s="245">
        <v>14.9</v>
      </c>
      <c r="J140" s="245">
        <v>2.72</v>
      </c>
    </row>
    <row r="141" customHeight="1" spans="6:10">
      <c r="F141" s="244">
        <v>45238</v>
      </c>
      <c r="G141" s="245">
        <v>5.55</v>
      </c>
      <c r="H141" s="246">
        <v>0.0073</v>
      </c>
      <c r="I141" s="245">
        <v>15.1</v>
      </c>
      <c r="J141" s="245">
        <v>2.72</v>
      </c>
    </row>
    <row r="142" customHeight="1" spans="6:10">
      <c r="F142" s="244">
        <v>45231</v>
      </c>
      <c r="G142" s="245">
        <v>5.51</v>
      </c>
      <c r="H142" s="246">
        <v>-0.023</v>
      </c>
      <c r="I142" s="245">
        <v>14.99</v>
      </c>
      <c r="J142" s="245">
        <v>2.72</v>
      </c>
    </row>
    <row r="143" customHeight="1" spans="6:10">
      <c r="F143" s="244">
        <v>45224</v>
      </c>
      <c r="G143" s="245">
        <v>5.64</v>
      </c>
      <c r="H143" s="246">
        <v>-0.0018</v>
      </c>
      <c r="I143" s="245">
        <v>15.57</v>
      </c>
      <c r="J143" s="245">
        <v>2.76</v>
      </c>
    </row>
    <row r="144" customHeight="1" spans="6:10">
      <c r="F144" s="244">
        <v>45217</v>
      </c>
      <c r="G144" s="245">
        <v>5.65</v>
      </c>
      <c r="H144" s="246">
        <v>0.0053</v>
      </c>
      <c r="I144" s="245">
        <v>15.82</v>
      </c>
      <c r="J144" s="245">
        <v>2.8</v>
      </c>
    </row>
    <row r="145" customHeight="1" spans="6:10">
      <c r="F145" s="244">
        <v>45210</v>
      </c>
      <c r="G145" s="245">
        <v>5.62</v>
      </c>
      <c r="H145" s="246">
        <v>-0.0123</v>
      </c>
      <c r="I145" s="245">
        <v>15.96</v>
      </c>
      <c r="J145" s="245">
        <v>2.84</v>
      </c>
    </row>
    <row r="146" customHeight="1" spans="6:10">
      <c r="F146" s="244">
        <v>45189</v>
      </c>
      <c r="G146" s="245">
        <v>5.75</v>
      </c>
      <c r="H146" s="246">
        <v>0.0035</v>
      </c>
      <c r="I146" s="245">
        <v>16.67</v>
      </c>
      <c r="J146" s="245">
        <v>2.9</v>
      </c>
    </row>
    <row r="147" customHeight="1" spans="6:10">
      <c r="F147" s="244">
        <v>45182</v>
      </c>
      <c r="G147" s="245">
        <v>5.73</v>
      </c>
      <c r="H147" s="246">
        <v>-0.0121</v>
      </c>
      <c r="I147" s="245">
        <v>16.84</v>
      </c>
      <c r="J147" s="245">
        <v>2.94</v>
      </c>
    </row>
    <row r="148" customHeight="1" spans="6:10">
      <c r="F148" s="244">
        <v>45175</v>
      </c>
      <c r="G148" s="245">
        <v>5.8</v>
      </c>
      <c r="H148" s="265">
        <v>-0.0119</v>
      </c>
      <c r="I148" s="245">
        <v>17.04</v>
      </c>
      <c r="J148" s="245">
        <v>2.94</v>
      </c>
    </row>
    <row r="149" customHeight="1" spans="6:10">
      <c r="F149" s="244">
        <v>45168</v>
      </c>
      <c r="G149" s="266">
        <v>5.87</v>
      </c>
      <c r="H149" s="265">
        <v>-0.0084</v>
      </c>
      <c r="I149" s="266">
        <v>17.27</v>
      </c>
      <c r="J149" s="266">
        <v>2.94</v>
      </c>
    </row>
    <row r="150" customHeight="1" spans="6:10">
      <c r="F150" s="244">
        <v>45161</v>
      </c>
      <c r="G150" s="266">
        <v>5.92</v>
      </c>
      <c r="H150" s="265">
        <v>0.0017</v>
      </c>
      <c r="I150" s="266">
        <v>17.28</v>
      </c>
      <c r="J150" s="266">
        <v>2.92</v>
      </c>
    </row>
    <row r="151" customHeight="1" spans="6:10">
      <c r="F151" s="259">
        <v>45154</v>
      </c>
      <c r="G151" s="260">
        <v>5.91</v>
      </c>
      <c r="H151" s="267">
        <v>-0.0101</v>
      </c>
      <c r="I151" s="260">
        <v>17.25</v>
      </c>
      <c r="J151" s="245">
        <v>2.92</v>
      </c>
    </row>
    <row r="152" customHeight="1" spans="6:10">
      <c r="F152" s="259">
        <v>45147</v>
      </c>
      <c r="G152" s="260">
        <v>5.97</v>
      </c>
      <c r="H152" s="267">
        <v>0.0511</v>
      </c>
      <c r="I152" s="260">
        <v>17.3</v>
      </c>
      <c r="J152" s="245">
        <v>2.9</v>
      </c>
    </row>
    <row r="153" customHeight="1" spans="6:10">
      <c r="F153" s="259">
        <v>45140</v>
      </c>
      <c r="G153" s="260">
        <v>5.68</v>
      </c>
      <c r="H153" s="267">
        <v>0.1181</v>
      </c>
      <c r="I153" s="260">
        <v>16.47</v>
      </c>
      <c r="J153" s="245">
        <v>2.9</v>
      </c>
    </row>
    <row r="154" customHeight="1" spans="6:10">
      <c r="F154" s="259">
        <v>45133</v>
      </c>
      <c r="G154" s="260">
        <v>5.08</v>
      </c>
      <c r="H154" s="267">
        <v>0.0367</v>
      </c>
      <c r="I154" s="260">
        <v>14.64</v>
      </c>
      <c r="J154" s="245">
        <v>2.88</v>
      </c>
    </row>
    <row r="155" customHeight="1" spans="6:10">
      <c r="F155" s="259">
        <v>45126</v>
      </c>
      <c r="G155" s="260">
        <v>4.9</v>
      </c>
      <c r="H155" s="267">
        <v>0</v>
      </c>
      <c r="I155" s="260">
        <v>14.12</v>
      </c>
      <c r="J155" s="245">
        <v>2.88</v>
      </c>
    </row>
    <row r="156" customHeight="1" spans="6:10">
      <c r="F156" s="259">
        <v>45119</v>
      </c>
      <c r="G156" s="260">
        <v>4.9</v>
      </c>
      <c r="H156" s="267">
        <v>-0.0101</v>
      </c>
      <c r="I156" s="260">
        <v>14.11</v>
      </c>
      <c r="J156" s="245">
        <v>2.88</v>
      </c>
    </row>
    <row r="157" customHeight="1" spans="6:10">
      <c r="F157" s="259">
        <v>45112</v>
      </c>
      <c r="G157" s="260">
        <v>4.95</v>
      </c>
      <c r="H157" s="267">
        <v>-0.006</v>
      </c>
      <c r="I157" s="260">
        <v>14.15</v>
      </c>
      <c r="J157" s="245">
        <v>2.86</v>
      </c>
    </row>
    <row r="158" customHeight="1" spans="6:10">
      <c r="F158" s="259">
        <v>45105</v>
      </c>
      <c r="G158" s="260">
        <v>4.98</v>
      </c>
      <c r="H158" s="267">
        <v>-0.0216</v>
      </c>
      <c r="I158" s="260">
        <v>14.15</v>
      </c>
      <c r="J158" s="245">
        <v>2.84</v>
      </c>
    </row>
    <row r="159" customHeight="1" spans="6:10">
      <c r="F159" s="259">
        <v>45098</v>
      </c>
      <c r="G159" s="260">
        <v>5.09</v>
      </c>
      <c r="H159" s="267">
        <v>-0.0039</v>
      </c>
      <c r="I159" s="260">
        <v>14.36</v>
      </c>
      <c r="J159" s="245">
        <v>2.82</v>
      </c>
    </row>
    <row r="160" customHeight="1" spans="6:10">
      <c r="F160" s="259">
        <v>45091</v>
      </c>
      <c r="G160" s="260">
        <v>5.11</v>
      </c>
      <c r="H160" s="267">
        <v>-0.0039</v>
      </c>
      <c r="I160" s="260">
        <v>14.32</v>
      </c>
      <c r="J160" s="245">
        <v>2.8</v>
      </c>
    </row>
    <row r="161" customHeight="1" spans="6:10">
      <c r="F161" s="259">
        <v>45084</v>
      </c>
      <c r="G161" s="260">
        <v>5.13</v>
      </c>
      <c r="H161" s="267">
        <v>-0.0097</v>
      </c>
      <c r="I161" s="260">
        <v>14.36</v>
      </c>
      <c r="J161" s="245">
        <v>2.8</v>
      </c>
    </row>
    <row r="162" customHeight="1" spans="6:10">
      <c r="F162" s="259">
        <v>45077</v>
      </c>
      <c r="G162" s="260">
        <v>5.18</v>
      </c>
      <c r="H162" s="267">
        <v>0.0019</v>
      </c>
      <c r="I162" s="260">
        <v>14.41</v>
      </c>
      <c r="J162" s="245">
        <v>2.78</v>
      </c>
    </row>
    <row r="163" customHeight="1" spans="6:10">
      <c r="F163" s="259">
        <v>45070</v>
      </c>
      <c r="G163" s="260">
        <v>5.17</v>
      </c>
      <c r="H163" s="267">
        <v>-0.0019</v>
      </c>
      <c r="I163" s="260">
        <v>14.36</v>
      </c>
      <c r="J163" s="245">
        <v>2.78</v>
      </c>
    </row>
    <row r="164" customHeight="1" spans="6:10">
      <c r="F164" s="259">
        <v>45063</v>
      </c>
      <c r="G164" s="260">
        <v>5.18</v>
      </c>
      <c r="H164" s="267">
        <v>0.0058</v>
      </c>
      <c r="I164" s="260">
        <v>14.4</v>
      </c>
      <c r="J164" s="245">
        <v>2.78</v>
      </c>
    </row>
    <row r="165" customHeight="1" spans="6:10">
      <c r="F165" s="268">
        <v>45056</v>
      </c>
      <c r="G165" s="269">
        <v>5.15</v>
      </c>
      <c r="H165" s="270">
        <v>-0.0019</v>
      </c>
      <c r="I165" s="269">
        <v>14.52</v>
      </c>
      <c r="J165" s="263">
        <v>2.82</v>
      </c>
    </row>
    <row r="166" customHeight="1" spans="6:10">
      <c r="F166" s="259">
        <v>45049</v>
      </c>
      <c r="G166" s="260">
        <v>5.16</v>
      </c>
      <c r="H166" s="267">
        <v>-0.0096</v>
      </c>
      <c r="I166" s="260">
        <v>14.65</v>
      </c>
      <c r="J166" s="245">
        <v>2.84</v>
      </c>
    </row>
    <row r="167" customHeight="1" spans="6:10">
      <c r="F167" s="259">
        <v>45042</v>
      </c>
      <c r="G167" s="260">
        <v>5.21</v>
      </c>
      <c r="H167" s="267">
        <v>0.0337</v>
      </c>
      <c r="I167" s="260">
        <v>14.79</v>
      </c>
      <c r="J167" s="245">
        <v>2.84</v>
      </c>
    </row>
    <row r="168" customHeight="1" spans="6:10">
      <c r="F168" s="259">
        <v>45035</v>
      </c>
      <c r="G168" s="260">
        <v>5.04</v>
      </c>
      <c r="H168" s="267">
        <v>-0.0118</v>
      </c>
      <c r="I168" s="260">
        <v>14.3</v>
      </c>
      <c r="J168" s="245">
        <v>2.84</v>
      </c>
    </row>
    <row r="169" customHeight="1" spans="6:10">
      <c r="F169" s="259">
        <v>45028</v>
      </c>
      <c r="G169" s="260">
        <v>5.1</v>
      </c>
      <c r="H169" s="267">
        <v>-0.0135</v>
      </c>
      <c r="I169" s="260">
        <v>14.58</v>
      </c>
      <c r="J169" s="245">
        <v>2.86</v>
      </c>
    </row>
    <row r="170" customHeight="1" spans="6:10">
      <c r="F170" s="259">
        <v>45021</v>
      </c>
      <c r="G170" s="260">
        <v>5.17</v>
      </c>
      <c r="H170" s="267">
        <v>-0.0096</v>
      </c>
      <c r="I170" s="260">
        <v>14.78</v>
      </c>
      <c r="J170" s="245">
        <v>2.86</v>
      </c>
    </row>
    <row r="171" customHeight="1" spans="6:10">
      <c r="F171" s="259">
        <v>45014</v>
      </c>
      <c r="G171" s="260">
        <v>5.22</v>
      </c>
      <c r="H171" s="267">
        <v>-0.0076</v>
      </c>
      <c r="I171" s="260">
        <v>15.13</v>
      </c>
      <c r="J171" s="245">
        <v>2.9</v>
      </c>
    </row>
    <row r="172" customHeight="1" spans="6:10">
      <c r="F172" s="259">
        <v>45007</v>
      </c>
      <c r="G172" s="260">
        <v>5.26</v>
      </c>
      <c r="H172" s="267">
        <v>-0.0075</v>
      </c>
      <c r="I172" s="260">
        <v>15.37</v>
      </c>
      <c r="J172" s="245">
        <v>2.92</v>
      </c>
    </row>
    <row r="173" customHeight="1" spans="6:10">
      <c r="F173" s="259">
        <v>45000</v>
      </c>
      <c r="G173" s="260">
        <v>5.3</v>
      </c>
      <c r="H173" s="267">
        <v>-0.0239</v>
      </c>
      <c r="I173" s="260">
        <v>15.49</v>
      </c>
      <c r="J173" s="245">
        <v>2.92</v>
      </c>
    </row>
    <row r="174" customHeight="1" spans="6:10">
      <c r="F174" s="259">
        <v>44993</v>
      </c>
      <c r="G174" s="260">
        <v>5.43</v>
      </c>
      <c r="H174" s="267">
        <v>0</v>
      </c>
      <c r="I174" s="260">
        <v>15.87</v>
      </c>
      <c r="J174" s="245">
        <v>2.92</v>
      </c>
    </row>
    <row r="175" customHeight="1" spans="6:10">
      <c r="F175" s="259">
        <v>44986</v>
      </c>
      <c r="G175" s="260">
        <v>5.43</v>
      </c>
      <c r="H175" s="267">
        <v>0.0265</v>
      </c>
      <c r="I175" s="260">
        <v>15.85</v>
      </c>
      <c r="J175" s="245">
        <v>2.92</v>
      </c>
    </row>
    <row r="176" customHeight="1" spans="6:10">
      <c r="F176" s="259">
        <v>44979</v>
      </c>
      <c r="G176" s="260">
        <v>5.29</v>
      </c>
      <c r="H176" s="267">
        <v>0.0475</v>
      </c>
      <c r="I176" s="260">
        <v>15.45</v>
      </c>
      <c r="J176" s="245">
        <v>2.92</v>
      </c>
    </row>
    <row r="177" customHeight="1" spans="6:10">
      <c r="F177" s="259">
        <v>44972</v>
      </c>
      <c r="G177" s="260">
        <v>5.05</v>
      </c>
      <c r="H177" s="267">
        <v>0.0181</v>
      </c>
      <c r="I177" s="260">
        <v>14.86</v>
      </c>
      <c r="J177" s="245">
        <v>2.94</v>
      </c>
    </row>
    <row r="178" customHeight="1" spans="6:10">
      <c r="F178" s="259">
        <v>44965</v>
      </c>
      <c r="G178" s="260">
        <v>4.96</v>
      </c>
      <c r="H178" s="267">
        <v>0</v>
      </c>
      <c r="I178" s="260">
        <v>14.59</v>
      </c>
      <c r="J178" s="245">
        <v>2.94</v>
      </c>
    </row>
    <row r="179" customHeight="1" spans="6:10">
      <c r="F179" s="259">
        <v>44958</v>
      </c>
      <c r="G179" s="260">
        <v>4.96</v>
      </c>
      <c r="H179" s="267">
        <v>-0.0949</v>
      </c>
      <c r="I179" s="260">
        <v>14.68</v>
      </c>
      <c r="J179" s="245">
        <v>2.96</v>
      </c>
    </row>
    <row r="180" customHeight="1" spans="6:10">
      <c r="F180" s="259">
        <v>44944</v>
      </c>
      <c r="G180" s="260">
        <v>5.48</v>
      </c>
      <c r="H180" s="267">
        <v>-0.0284</v>
      </c>
      <c r="I180" s="260">
        <v>16.23</v>
      </c>
      <c r="J180" s="245">
        <v>2.96</v>
      </c>
    </row>
    <row r="181" customHeight="1" spans="6:10">
      <c r="F181" s="259">
        <v>44937</v>
      </c>
      <c r="G181" s="260">
        <v>5.64</v>
      </c>
      <c r="H181" s="267">
        <v>-0.0489</v>
      </c>
      <c r="I181" s="260">
        <v>16.7</v>
      </c>
      <c r="J181" s="245">
        <v>2.96</v>
      </c>
    </row>
    <row r="182" customHeight="1" spans="6:10">
      <c r="F182" s="259">
        <v>44930</v>
      </c>
      <c r="G182" s="260">
        <v>5.93</v>
      </c>
      <c r="H182" s="267">
        <v>-0.0763</v>
      </c>
      <c r="I182" s="260">
        <v>17.56</v>
      </c>
      <c r="J182" s="245">
        <v>2.96</v>
      </c>
    </row>
    <row r="183" customHeight="1" spans="6:10">
      <c r="F183" s="259">
        <v>44923</v>
      </c>
      <c r="G183" s="260">
        <v>6.42</v>
      </c>
      <c r="H183" s="267">
        <v>-0.0016</v>
      </c>
      <c r="I183" s="260">
        <v>18.99</v>
      </c>
      <c r="J183" s="245">
        <v>2.96</v>
      </c>
    </row>
    <row r="184" customHeight="1" spans="6:10">
      <c r="F184" s="259">
        <v>44916</v>
      </c>
      <c r="G184" s="260">
        <v>6.43</v>
      </c>
      <c r="H184" s="267">
        <v>-0.1155</v>
      </c>
      <c r="I184" s="260">
        <v>19.17</v>
      </c>
      <c r="J184" s="245">
        <v>2.98</v>
      </c>
    </row>
    <row r="185" customHeight="1" spans="6:10">
      <c r="F185" s="259">
        <v>44909</v>
      </c>
      <c r="G185" s="260">
        <v>7.27</v>
      </c>
      <c r="H185" s="267">
        <v>-0.0867</v>
      </c>
      <c r="I185" s="260">
        <v>21.67</v>
      </c>
      <c r="J185" s="245">
        <v>2.98</v>
      </c>
    </row>
    <row r="186" customHeight="1" spans="6:10">
      <c r="F186" s="259">
        <v>44902</v>
      </c>
      <c r="G186" s="260">
        <v>7.96</v>
      </c>
      <c r="H186" s="267">
        <v>-0.0013</v>
      </c>
      <c r="I186" s="260">
        <v>23.89</v>
      </c>
      <c r="J186" s="245">
        <v>3</v>
      </c>
    </row>
    <row r="187" customHeight="1" spans="6:10">
      <c r="F187" s="259">
        <v>44895</v>
      </c>
      <c r="G187" s="260">
        <v>7.97</v>
      </c>
      <c r="H187" s="267">
        <v>-0.0601</v>
      </c>
      <c r="I187" s="260">
        <v>23.92</v>
      </c>
      <c r="J187" s="245">
        <v>3</v>
      </c>
    </row>
    <row r="188" customHeight="1" spans="6:10">
      <c r="F188" s="268">
        <v>44888</v>
      </c>
      <c r="G188" s="269">
        <v>8.48</v>
      </c>
      <c r="H188" s="270">
        <v>-0.0342</v>
      </c>
      <c r="I188" s="269">
        <v>25.1</v>
      </c>
      <c r="J188" s="263">
        <v>2.96</v>
      </c>
    </row>
    <row r="189" customHeight="1" spans="6:10">
      <c r="F189" s="259">
        <v>44881</v>
      </c>
      <c r="G189" s="260">
        <v>8.78</v>
      </c>
      <c r="H189" s="267">
        <v>-0.0266</v>
      </c>
      <c r="I189" s="260">
        <v>25.8</v>
      </c>
      <c r="J189" s="245">
        <v>2.94</v>
      </c>
    </row>
    <row r="190" customHeight="1" spans="6:10">
      <c r="F190" s="268">
        <v>44874</v>
      </c>
      <c r="G190" s="269">
        <v>9.02</v>
      </c>
      <c r="H190" s="270">
        <v>-0.0301</v>
      </c>
      <c r="I190" s="269">
        <v>26.51</v>
      </c>
      <c r="J190" s="263">
        <v>2.94</v>
      </c>
    </row>
    <row r="191" customHeight="1" spans="6:10">
      <c r="F191" s="268">
        <v>44867</v>
      </c>
      <c r="G191" s="269">
        <v>9.3</v>
      </c>
      <c r="H191" s="270">
        <v>-0.0373</v>
      </c>
      <c r="I191" s="269">
        <v>27.17</v>
      </c>
      <c r="J191" s="263">
        <v>2.92</v>
      </c>
    </row>
    <row r="192" customHeight="1" spans="6:10">
      <c r="F192" s="259">
        <v>44860</v>
      </c>
      <c r="G192" s="271">
        <v>9.66</v>
      </c>
      <c r="H192" s="267">
        <v>0.0084</v>
      </c>
      <c r="I192" s="260">
        <v>28</v>
      </c>
      <c r="J192" s="245">
        <v>2.9</v>
      </c>
    </row>
    <row r="193" customHeight="1" spans="6:10">
      <c r="F193" s="268">
        <v>44853</v>
      </c>
      <c r="G193" s="272">
        <v>9.58</v>
      </c>
      <c r="H193" s="270">
        <v>0.0459</v>
      </c>
      <c r="I193" s="272">
        <v>27.79</v>
      </c>
      <c r="J193" s="263">
        <v>2.9</v>
      </c>
    </row>
    <row r="194" customHeight="1" spans="6:10">
      <c r="F194" s="259">
        <v>44846</v>
      </c>
      <c r="G194" s="271">
        <v>9.16</v>
      </c>
      <c r="H194" s="267">
        <v>0.0676</v>
      </c>
      <c r="I194" s="271">
        <v>26.38</v>
      </c>
      <c r="J194" s="271">
        <v>2.88</v>
      </c>
    </row>
    <row r="195" customHeight="1" spans="6:10">
      <c r="F195" s="259">
        <v>44832</v>
      </c>
      <c r="G195" s="271">
        <v>8.58</v>
      </c>
      <c r="H195" s="267">
        <v>0.0118</v>
      </c>
      <c r="I195" s="271">
        <v>24.55</v>
      </c>
      <c r="J195" s="271">
        <v>2.86</v>
      </c>
    </row>
    <row r="196" customHeight="1" spans="6:10">
      <c r="F196" s="262">
        <v>44825</v>
      </c>
      <c r="G196" s="273">
        <v>8.48</v>
      </c>
      <c r="H196" s="274">
        <v>0.0119</v>
      </c>
      <c r="I196" s="273">
        <v>24.24</v>
      </c>
      <c r="J196" s="273">
        <v>2.86</v>
      </c>
    </row>
    <row r="197" customHeight="1" spans="6:10">
      <c r="F197" s="244">
        <v>44818</v>
      </c>
      <c r="G197" s="245">
        <v>8.38</v>
      </c>
      <c r="H197" s="265">
        <v>0.0109</v>
      </c>
      <c r="I197" s="245">
        <v>23.96</v>
      </c>
      <c r="J197" s="245">
        <v>2.86</v>
      </c>
    </row>
    <row r="198" customHeight="1" spans="6:10">
      <c r="F198" s="244">
        <v>44811</v>
      </c>
      <c r="G198" s="245">
        <v>8.29</v>
      </c>
      <c r="H198" s="265">
        <v>0.0197</v>
      </c>
      <c r="I198" s="245">
        <v>23.72</v>
      </c>
      <c r="J198" s="245">
        <v>2.86</v>
      </c>
    </row>
    <row r="199" customHeight="1" spans="6:10">
      <c r="F199" s="244">
        <v>44804</v>
      </c>
      <c r="G199" s="245">
        <v>8.13</v>
      </c>
      <c r="H199" s="265">
        <v>0.0396</v>
      </c>
      <c r="I199" s="245">
        <v>23.24</v>
      </c>
      <c r="J199" s="245">
        <v>2.86</v>
      </c>
    </row>
    <row r="200" customHeight="1" spans="6:10">
      <c r="F200" s="244">
        <v>44797</v>
      </c>
      <c r="G200" s="245">
        <v>7.82</v>
      </c>
      <c r="H200" s="265">
        <v>0.0196</v>
      </c>
      <c r="I200" s="245">
        <v>22.37</v>
      </c>
      <c r="J200" s="245">
        <v>2.86</v>
      </c>
    </row>
    <row r="201" customHeight="1" spans="6:10">
      <c r="F201" s="244">
        <v>44790</v>
      </c>
      <c r="G201" s="245">
        <v>7.67</v>
      </c>
      <c r="H201" s="265">
        <v>0.0052</v>
      </c>
      <c r="I201" s="245">
        <v>21.95</v>
      </c>
      <c r="J201" s="245">
        <v>2.86</v>
      </c>
    </row>
    <row r="202" customHeight="1" spans="6:10">
      <c r="F202" s="244">
        <v>44783</v>
      </c>
      <c r="G202" s="245">
        <v>7.63</v>
      </c>
      <c r="H202" s="265">
        <v>0.0026</v>
      </c>
      <c r="I202" s="245">
        <v>21.97</v>
      </c>
      <c r="J202" s="245">
        <v>2.88</v>
      </c>
    </row>
    <row r="203" customHeight="1" spans="6:10">
      <c r="F203" s="244">
        <v>44776</v>
      </c>
      <c r="G203" s="245">
        <v>7.61</v>
      </c>
      <c r="H203" s="265">
        <v>0</v>
      </c>
      <c r="I203" s="245">
        <v>22.07</v>
      </c>
      <c r="J203" s="245">
        <v>2.9</v>
      </c>
    </row>
    <row r="204" customHeight="1" spans="6:10">
      <c r="F204" s="244">
        <v>44769</v>
      </c>
      <c r="G204" s="245">
        <v>7.61</v>
      </c>
      <c r="H204" s="265">
        <v>-0.0293</v>
      </c>
      <c r="I204" s="245">
        <v>22.06</v>
      </c>
      <c r="J204" s="245">
        <v>2.9</v>
      </c>
    </row>
    <row r="205" customHeight="1" spans="6:10">
      <c r="F205" s="244">
        <v>44762</v>
      </c>
      <c r="G205" s="245">
        <v>7.84</v>
      </c>
      <c r="H205" s="265">
        <v>0.0064</v>
      </c>
      <c r="I205" s="245">
        <v>22.9</v>
      </c>
      <c r="J205" s="245">
        <v>2.92</v>
      </c>
    </row>
    <row r="206" customHeight="1" spans="6:10">
      <c r="F206" s="259">
        <v>44755</v>
      </c>
      <c r="G206" s="260">
        <v>7.79</v>
      </c>
      <c r="H206" s="267">
        <v>0.025</v>
      </c>
      <c r="I206" s="245">
        <v>22.91</v>
      </c>
      <c r="J206" s="245">
        <v>2.94</v>
      </c>
    </row>
    <row r="207" customHeight="1" spans="6:10">
      <c r="F207" s="259">
        <v>44748</v>
      </c>
      <c r="G207" s="260">
        <v>7.6</v>
      </c>
      <c r="H207" s="267">
        <v>0.1692</v>
      </c>
      <c r="I207" s="245">
        <v>22.33</v>
      </c>
      <c r="J207" s="245">
        <v>2.94</v>
      </c>
    </row>
    <row r="208" customHeight="1" spans="6:10">
      <c r="F208" s="259">
        <v>44741</v>
      </c>
      <c r="G208" s="260">
        <v>6.5</v>
      </c>
      <c r="H208" s="267">
        <v>0.1246</v>
      </c>
      <c r="I208" s="245">
        <v>19.12</v>
      </c>
      <c r="J208" s="245">
        <v>2.94</v>
      </c>
    </row>
    <row r="209" customHeight="1" spans="6:10">
      <c r="F209" s="244">
        <v>44734</v>
      </c>
      <c r="G209" s="266">
        <v>5.78</v>
      </c>
      <c r="H209" s="265">
        <v>0.0194</v>
      </c>
      <c r="I209" s="245">
        <v>17.12</v>
      </c>
      <c r="J209" s="245">
        <v>2.96</v>
      </c>
    </row>
    <row r="210" customHeight="1" spans="6:10">
      <c r="F210" s="259">
        <v>44727</v>
      </c>
      <c r="G210" s="271">
        <v>5.67</v>
      </c>
      <c r="H210" s="267">
        <v>0.0143</v>
      </c>
      <c r="I210" s="245">
        <v>16.68</v>
      </c>
      <c r="J210" s="245">
        <v>2.94</v>
      </c>
    </row>
    <row r="211" customHeight="1" spans="6:10">
      <c r="F211" s="259">
        <v>44720</v>
      </c>
      <c r="G211" s="271">
        <v>5.59</v>
      </c>
      <c r="H211" s="267">
        <v>0.0018</v>
      </c>
      <c r="I211" s="245">
        <v>16.42</v>
      </c>
      <c r="J211" s="245">
        <v>2.94</v>
      </c>
    </row>
    <row r="212" customHeight="1" spans="6:10">
      <c r="F212" s="244">
        <v>44713</v>
      </c>
      <c r="G212" s="266">
        <v>5.58</v>
      </c>
      <c r="H212" s="265">
        <v>0.0072</v>
      </c>
      <c r="I212" s="245">
        <v>16.41</v>
      </c>
      <c r="J212" s="245">
        <v>2.94</v>
      </c>
    </row>
    <row r="213" customHeight="1" spans="6:10">
      <c r="F213" s="244">
        <v>44706</v>
      </c>
      <c r="G213" s="266">
        <v>5.54</v>
      </c>
      <c r="H213" s="265">
        <v>0.0128</v>
      </c>
      <c r="I213" s="245">
        <v>16.3</v>
      </c>
      <c r="J213" s="245">
        <v>2.94</v>
      </c>
    </row>
    <row r="214" customHeight="1" spans="6:10">
      <c r="F214" s="244">
        <v>44699</v>
      </c>
      <c r="G214" s="266">
        <v>5.47</v>
      </c>
      <c r="H214" s="265">
        <v>0.0224</v>
      </c>
      <c r="I214" s="245">
        <v>16.09</v>
      </c>
      <c r="J214" s="245">
        <v>2.94</v>
      </c>
    </row>
    <row r="215" customHeight="1" spans="6:10">
      <c r="F215" s="259">
        <v>44692</v>
      </c>
      <c r="G215" s="271">
        <v>5.35</v>
      </c>
      <c r="H215" s="267">
        <v>0.0056</v>
      </c>
      <c r="I215" s="245">
        <v>15.74</v>
      </c>
      <c r="J215" s="245">
        <v>2.94</v>
      </c>
    </row>
    <row r="216" customHeight="1" spans="6:10">
      <c r="F216" s="244">
        <v>44685</v>
      </c>
      <c r="G216" s="266">
        <v>5.32</v>
      </c>
      <c r="H216" s="265">
        <v>0.0133</v>
      </c>
      <c r="I216" s="245">
        <v>15.54</v>
      </c>
      <c r="J216" s="245">
        <v>2.94</v>
      </c>
    </row>
    <row r="217" customHeight="1" spans="6:10">
      <c r="F217" s="259">
        <v>44678</v>
      </c>
      <c r="G217" s="271">
        <v>5.25</v>
      </c>
      <c r="H217" s="267">
        <v>0.0736</v>
      </c>
      <c r="I217" s="245">
        <v>15.22</v>
      </c>
      <c r="J217" s="245">
        <v>2.9</v>
      </c>
    </row>
    <row r="218" customHeight="1" spans="6:10">
      <c r="F218" s="244">
        <v>44671</v>
      </c>
      <c r="G218" s="266">
        <v>4.89</v>
      </c>
      <c r="H218" s="265">
        <v>0.0562</v>
      </c>
      <c r="I218" s="245">
        <v>14.18</v>
      </c>
      <c r="J218" s="245">
        <v>2.9</v>
      </c>
    </row>
    <row r="219" customHeight="1" spans="6:10">
      <c r="F219" s="244">
        <v>44664</v>
      </c>
      <c r="G219" s="266">
        <v>4.63</v>
      </c>
      <c r="H219" s="265">
        <v>0</v>
      </c>
      <c r="I219" s="245">
        <v>13.44</v>
      </c>
      <c r="J219" s="245">
        <v>2.9</v>
      </c>
    </row>
    <row r="220" customHeight="1" spans="6:10">
      <c r="F220" s="244">
        <v>44657</v>
      </c>
      <c r="G220" s="266">
        <v>4.63</v>
      </c>
      <c r="H220" s="265">
        <v>0.0087</v>
      </c>
      <c r="I220" s="245">
        <v>13.42</v>
      </c>
      <c r="J220" s="245">
        <v>2.9</v>
      </c>
    </row>
    <row r="221" customHeight="1" spans="6:10">
      <c r="F221" s="244">
        <v>44650</v>
      </c>
      <c r="G221" s="266">
        <v>4.59</v>
      </c>
      <c r="H221" s="265">
        <v>0.0132</v>
      </c>
      <c r="I221" s="245">
        <v>13.22</v>
      </c>
      <c r="J221" s="245">
        <v>2.88</v>
      </c>
    </row>
    <row r="222" customHeight="1" spans="6:10">
      <c r="F222" s="244">
        <v>44643</v>
      </c>
      <c r="G222" s="266">
        <v>4.53</v>
      </c>
      <c r="H222" s="265">
        <v>-0.0131</v>
      </c>
      <c r="I222" s="245">
        <v>13.06</v>
      </c>
      <c r="J222" s="245">
        <v>2.88</v>
      </c>
    </row>
    <row r="223" customHeight="1" spans="6:10">
      <c r="F223" s="244">
        <v>44636</v>
      </c>
      <c r="G223" s="266">
        <v>4.59</v>
      </c>
      <c r="H223" s="265">
        <v>-0.0337</v>
      </c>
      <c r="I223" s="245">
        <v>13.23</v>
      </c>
      <c r="J223" s="245">
        <v>2.88</v>
      </c>
    </row>
    <row r="224" customHeight="1" spans="6:10">
      <c r="F224" s="244">
        <v>44629</v>
      </c>
      <c r="G224" s="266">
        <v>4.75</v>
      </c>
      <c r="H224" s="265">
        <v>-0.0286</v>
      </c>
      <c r="I224" s="245">
        <v>13.49</v>
      </c>
      <c r="J224" s="245">
        <v>2.84</v>
      </c>
    </row>
    <row r="225" customHeight="1" spans="6:10">
      <c r="F225" s="275">
        <v>44622</v>
      </c>
      <c r="G225" s="276">
        <v>4.89</v>
      </c>
      <c r="H225" s="277">
        <v>-0.0181</v>
      </c>
      <c r="I225" s="245">
        <v>13.68</v>
      </c>
      <c r="J225" s="245">
        <v>2.8</v>
      </c>
    </row>
    <row r="226" customHeight="1" spans="6:10">
      <c r="F226" s="275">
        <v>44615</v>
      </c>
      <c r="G226" s="276">
        <v>4.98</v>
      </c>
      <c r="H226" s="277">
        <v>-0.0139</v>
      </c>
      <c r="I226" s="245">
        <v>13.74</v>
      </c>
      <c r="J226" s="245">
        <v>2.76</v>
      </c>
    </row>
    <row r="227" customHeight="1" spans="6:10">
      <c r="F227" s="275">
        <v>44608</v>
      </c>
      <c r="G227" s="276">
        <v>5.05</v>
      </c>
      <c r="H227" s="277">
        <v>-0.0596</v>
      </c>
      <c r="I227" s="245">
        <v>13.93</v>
      </c>
      <c r="J227" s="245">
        <v>2.76</v>
      </c>
    </row>
    <row r="228" customHeight="1" spans="6:10">
      <c r="F228" s="244">
        <v>44601</v>
      </c>
      <c r="G228" s="278">
        <v>5.37</v>
      </c>
      <c r="H228" s="265">
        <v>-0.0359</v>
      </c>
      <c r="I228" s="245">
        <v>14.81</v>
      </c>
      <c r="J228" s="245">
        <v>2.76</v>
      </c>
    </row>
    <row r="229" customHeight="1" spans="6:10">
      <c r="F229" s="244">
        <v>44587</v>
      </c>
      <c r="G229" s="266">
        <v>5.57</v>
      </c>
      <c r="H229" s="265">
        <v>-0.0054</v>
      </c>
      <c r="I229" s="245">
        <v>15.25</v>
      </c>
      <c r="J229" s="245">
        <v>2.74</v>
      </c>
    </row>
    <row r="230" customHeight="1" spans="6:10">
      <c r="F230" s="244">
        <v>44580</v>
      </c>
      <c r="G230" s="266">
        <v>5.6</v>
      </c>
      <c r="H230" s="265">
        <v>-0.0261</v>
      </c>
      <c r="I230" s="245">
        <v>15.45</v>
      </c>
      <c r="J230" s="245">
        <v>2.76</v>
      </c>
    </row>
    <row r="231" customHeight="1" spans="6:10">
      <c r="F231" s="244">
        <v>44573</v>
      </c>
      <c r="G231" s="266">
        <v>5.75</v>
      </c>
      <c r="H231" s="265">
        <v>-0.0635</v>
      </c>
      <c r="I231" s="245">
        <v>15.86</v>
      </c>
      <c r="J231" s="245">
        <v>2.76</v>
      </c>
    </row>
    <row r="232" customHeight="1" spans="6:10">
      <c r="F232" s="244">
        <v>44566</v>
      </c>
      <c r="G232" s="266">
        <v>6.14</v>
      </c>
      <c r="H232" s="265">
        <v>-0.0223</v>
      </c>
      <c r="I232" s="245">
        <v>16.96</v>
      </c>
      <c r="J232" s="245">
        <v>2.76</v>
      </c>
    </row>
    <row r="233" customHeight="1" spans="6:10">
      <c r="F233" s="244">
        <v>44559</v>
      </c>
      <c r="G233" s="266">
        <v>6.28</v>
      </c>
      <c r="H233" s="265">
        <v>-0.0032</v>
      </c>
      <c r="I233" s="245">
        <v>17.34</v>
      </c>
      <c r="J233" s="245">
        <v>2.76</v>
      </c>
    </row>
    <row r="234" customHeight="1" spans="6:10">
      <c r="F234" s="244">
        <v>44552</v>
      </c>
      <c r="G234" s="266">
        <v>6.3</v>
      </c>
      <c r="H234" s="265">
        <v>-0.0172</v>
      </c>
      <c r="I234" s="245">
        <v>17.38</v>
      </c>
      <c r="J234" s="245">
        <v>2.76</v>
      </c>
    </row>
    <row r="235" customHeight="1" spans="6:10">
      <c r="F235" s="244">
        <v>44545</v>
      </c>
      <c r="G235" s="266">
        <v>6.41</v>
      </c>
      <c r="H235" s="265">
        <v>-0.0494</v>
      </c>
      <c r="I235" s="245">
        <v>17.69</v>
      </c>
      <c r="J235" s="245">
        <v>2.76</v>
      </c>
    </row>
    <row r="236" customHeight="1" spans="6:10">
      <c r="F236" s="244">
        <v>44538</v>
      </c>
      <c r="G236" s="266">
        <v>6.74</v>
      </c>
      <c r="H236" s="265">
        <v>-0.0003</v>
      </c>
      <c r="I236" s="245">
        <v>18.61</v>
      </c>
      <c r="J236" s="245">
        <v>2.76</v>
      </c>
    </row>
    <row r="237" customHeight="1" spans="6:10">
      <c r="F237" s="244">
        <v>44531</v>
      </c>
      <c r="G237" s="266">
        <v>6.74</v>
      </c>
      <c r="H237" s="265">
        <v>-0.0029</v>
      </c>
      <c r="I237" s="245">
        <v>18.75</v>
      </c>
      <c r="J237" s="245">
        <v>2.78</v>
      </c>
    </row>
    <row r="238" customHeight="1" spans="6:10">
      <c r="F238" s="244">
        <v>44524</v>
      </c>
      <c r="G238" s="266">
        <v>6.76</v>
      </c>
      <c r="H238" s="265">
        <v>0.0108</v>
      </c>
      <c r="I238" s="245">
        <v>18.67</v>
      </c>
      <c r="J238" s="245">
        <v>2.76</v>
      </c>
    </row>
    <row r="239" customHeight="1" spans="6:10">
      <c r="F239" s="244">
        <v>44517</v>
      </c>
      <c r="G239" s="266">
        <v>6.69</v>
      </c>
      <c r="H239" s="265">
        <v>0.0424</v>
      </c>
      <c r="I239" s="245">
        <v>18.47</v>
      </c>
      <c r="J239" s="245">
        <v>2.76</v>
      </c>
    </row>
    <row r="240" customHeight="1" spans="6:10">
      <c r="F240" s="244">
        <v>44510</v>
      </c>
      <c r="G240" s="266">
        <v>6.42</v>
      </c>
      <c r="H240" s="265">
        <v>0.0406</v>
      </c>
      <c r="I240" s="245">
        <v>17.59</v>
      </c>
      <c r="J240" s="245">
        <v>2.74</v>
      </c>
    </row>
    <row r="241" customHeight="1" spans="6:10">
      <c r="F241" s="244">
        <v>44503</v>
      </c>
      <c r="G241" s="266">
        <v>6.17</v>
      </c>
      <c r="H241" s="265">
        <v>0.0144</v>
      </c>
      <c r="I241" s="245">
        <v>16.78</v>
      </c>
      <c r="J241" s="245">
        <v>2.72</v>
      </c>
    </row>
    <row r="242" customHeight="1" spans="6:10">
      <c r="F242" s="244">
        <v>44496</v>
      </c>
      <c r="G242" s="266">
        <v>6.08</v>
      </c>
      <c r="H242" s="265">
        <v>0.1457</v>
      </c>
      <c r="I242" s="245">
        <v>16.42</v>
      </c>
      <c r="J242" s="245">
        <v>2.7</v>
      </c>
    </row>
    <row r="243" customHeight="1" spans="6:10">
      <c r="F243" s="244">
        <v>44489</v>
      </c>
      <c r="G243" s="266">
        <v>5.31</v>
      </c>
      <c r="H243" s="265">
        <v>0.1454</v>
      </c>
      <c r="I243" s="245">
        <v>14.12</v>
      </c>
      <c r="J243" s="245">
        <v>2.66</v>
      </c>
    </row>
    <row r="244" customHeight="1" spans="6:10">
      <c r="F244" s="244">
        <v>44482</v>
      </c>
      <c r="G244" s="266">
        <v>4.63</v>
      </c>
      <c r="H244" s="265">
        <v>-0.0077</v>
      </c>
      <c r="I244" s="245">
        <v>12.42</v>
      </c>
      <c r="J244" s="245">
        <v>2.68</v>
      </c>
    </row>
    <row r="245" customHeight="1" spans="6:10">
      <c r="F245" s="244">
        <v>44468</v>
      </c>
      <c r="G245" s="266">
        <v>4.67</v>
      </c>
      <c r="H245" s="265">
        <v>-0.0534</v>
      </c>
      <c r="I245" s="245">
        <v>12.61</v>
      </c>
      <c r="J245" s="245">
        <v>2.7</v>
      </c>
    </row>
    <row r="246" customHeight="1" spans="6:10">
      <c r="F246" s="244">
        <v>44461</v>
      </c>
      <c r="G246" s="266">
        <v>4.93</v>
      </c>
      <c r="H246" s="265">
        <v>-0.0246</v>
      </c>
      <c r="I246" s="245">
        <v>13.42</v>
      </c>
      <c r="J246" s="245">
        <v>2.72</v>
      </c>
    </row>
    <row r="247" customHeight="1" spans="6:10">
      <c r="F247" s="244">
        <v>44454</v>
      </c>
      <c r="G247" s="266">
        <v>5.06</v>
      </c>
      <c r="H247" s="265">
        <v>-0.0381</v>
      </c>
      <c r="I247" s="245">
        <v>13.86</v>
      </c>
      <c r="J247" s="245">
        <v>2.74</v>
      </c>
    </row>
    <row r="248" customHeight="1" spans="6:10">
      <c r="F248" s="244">
        <v>44447</v>
      </c>
      <c r="G248" s="266">
        <v>5.26</v>
      </c>
      <c r="H248" s="265">
        <v>-0.0157</v>
      </c>
      <c r="I248" s="245">
        <v>14.62</v>
      </c>
      <c r="J248" s="245">
        <v>2.78</v>
      </c>
    </row>
    <row r="249" customHeight="1" spans="6:10">
      <c r="F249" s="244">
        <v>44440</v>
      </c>
      <c r="G249" s="266">
        <v>5.34</v>
      </c>
      <c r="H249" s="265">
        <v>-0.0355</v>
      </c>
      <c r="I249" s="245">
        <v>14.96</v>
      </c>
      <c r="J249" s="245">
        <v>2.8</v>
      </c>
    </row>
    <row r="250" customHeight="1" spans="6:10">
      <c r="F250" s="244">
        <v>44433</v>
      </c>
      <c r="G250" s="266">
        <v>5.54</v>
      </c>
      <c r="H250" s="265">
        <v>-0.0138</v>
      </c>
      <c r="I250" s="245">
        <v>15.51</v>
      </c>
      <c r="J250" s="245">
        <v>2.8</v>
      </c>
    </row>
    <row r="251" customHeight="1" spans="6:10">
      <c r="F251" s="244">
        <v>44426</v>
      </c>
      <c r="G251" s="266">
        <v>5.62</v>
      </c>
      <c r="H251" s="265">
        <v>-0.0168</v>
      </c>
      <c r="I251" s="245">
        <v>15.84</v>
      </c>
      <c r="J251" s="245">
        <v>2.82</v>
      </c>
    </row>
    <row r="252" customHeight="1" spans="6:10">
      <c r="F252" s="244">
        <v>44419</v>
      </c>
      <c r="G252" s="266">
        <v>5.71</v>
      </c>
      <c r="H252" s="265">
        <v>-0.0083</v>
      </c>
      <c r="I252" s="245">
        <v>16.11</v>
      </c>
      <c r="J252" s="245">
        <v>2.82</v>
      </c>
    </row>
    <row r="253" customHeight="1" spans="6:10">
      <c r="F253" s="244">
        <v>44412</v>
      </c>
      <c r="G253" s="266">
        <v>5.76</v>
      </c>
      <c r="H253" s="265">
        <v>-0.0019</v>
      </c>
      <c r="I253" s="245">
        <v>16.13</v>
      </c>
      <c r="J253" s="245">
        <v>2.8</v>
      </c>
    </row>
    <row r="254" customHeight="1" spans="6:10">
      <c r="F254" s="244">
        <v>44405</v>
      </c>
      <c r="G254" s="266">
        <v>5.77</v>
      </c>
      <c r="H254" s="265">
        <v>-0.0194</v>
      </c>
      <c r="I254" s="245">
        <v>16.16</v>
      </c>
      <c r="J254" s="245">
        <v>2.8</v>
      </c>
    </row>
    <row r="255" customHeight="1" spans="6:10">
      <c r="F255" s="244">
        <v>44398</v>
      </c>
      <c r="G255" s="266">
        <v>5.89</v>
      </c>
      <c r="H255" s="265">
        <v>0.007</v>
      </c>
      <c r="I255" s="245">
        <v>16.48</v>
      </c>
      <c r="J255" s="245">
        <v>2.8</v>
      </c>
    </row>
    <row r="256" customHeight="1" spans="6:10">
      <c r="F256" s="244">
        <v>44391</v>
      </c>
      <c r="G256" s="266">
        <v>5.85</v>
      </c>
      <c r="H256" s="265">
        <v>0.0085</v>
      </c>
      <c r="I256" s="245">
        <v>16.6</v>
      </c>
      <c r="J256" s="245">
        <v>2.84</v>
      </c>
    </row>
    <row r="257" customHeight="1" spans="6:10">
      <c r="F257" s="244">
        <v>44384</v>
      </c>
      <c r="G257" s="266">
        <v>5.8</v>
      </c>
      <c r="H257" s="265">
        <v>0.0176</v>
      </c>
      <c r="I257" s="245">
        <v>16.46</v>
      </c>
      <c r="J257" s="245">
        <v>2.84</v>
      </c>
    </row>
    <row r="258" customHeight="1" spans="6:10">
      <c r="F258" s="244">
        <v>44377</v>
      </c>
      <c r="G258" s="266">
        <v>5.7</v>
      </c>
      <c r="H258" s="265">
        <v>0.1634</v>
      </c>
      <c r="I258" s="245">
        <v>16.29</v>
      </c>
      <c r="J258" s="245">
        <v>2.86</v>
      </c>
    </row>
    <row r="259" customHeight="1" spans="6:10">
      <c r="F259" s="244">
        <v>44370</v>
      </c>
      <c r="G259" s="266">
        <v>4.9</v>
      </c>
      <c r="H259" s="265">
        <v>-0.1042</v>
      </c>
      <c r="I259" s="245">
        <v>14.1</v>
      </c>
      <c r="J259" s="245">
        <v>2.88</v>
      </c>
    </row>
    <row r="260" customHeight="1" spans="6:10">
      <c r="F260" s="244">
        <v>44363</v>
      </c>
      <c r="G260" s="266">
        <v>5.47</v>
      </c>
      <c r="H260" s="265">
        <v>-0.07</v>
      </c>
      <c r="I260" s="245">
        <v>15.85</v>
      </c>
      <c r="J260" s="245">
        <v>2.9</v>
      </c>
    </row>
    <row r="261" customHeight="1" spans="6:10">
      <c r="F261" s="244">
        <v>44356</v>
      </c>
      <c r="G261" s="266">
        <v>5.88</v>
      </c>
      <c r="H261" s="265">
        <v>-0.1006</v>
      </c>
      <c r="I261" s="245">
        <v>17.16</v>
      </c>
      <c r="J261" s="245">
        <v>2.92</v>
      </c>
    </row>
    <row r="262" customHeight="1" spans="6:10">
      <c r="F262" s="244">
        <v>44349</v>
      </c>
      <c r="G262" s="266">
        <v>6.53</v>
      </c>
      <c r="H262" s="265">
        <v>-0.045</v>
      </c>
      <c r="I262" s="245">
        <v>19.08</v>
      </c>
      <c r="J262" s="245">
        <v>2.92</v>
      </c>
    </row>
    <row r="263" customHeight="1" spans="6:10">
      <c r="F263" s="244">
        <v>44342</v>
      </c>
      <c r="G263" s="266">
        <v>6.84</v>
      </c>
      <c r="H263" s="265">
        <v>-0.0287</v>
      </c>
      <c r="I263" s="245">
        <v>19.98</v>
      </c>
      <c r="J263" s="245">
        <v>2.92</v>
      </c>
    </row>
    <row r="264" customHeight="1" spans="6:10">
      <c r="F264" s="244">
        <v>44335</v>
      </c>
      <c r="G264" s="266">
        <v>7.04</v>
      </c>
      <c r="H264" s="265">
        <v>-0.0585</v>
      </c>
      <c r="I264" s="245">
        <v>20.43</v>
      </c>
      <c r="J264" s="245">
        <v>2.9</v>
      </c>
    </row>
    <row r="265" customHeight="1" spans="6:10">
      <c r="F265" s="244">
        <v>44328</v>
      </c>
      <c r="G265" s="266">
        <v>7.48</v>
      </c>
      <c r="H265" s="265">
        <v>-0.0775</v>
      </c>
      <c r="I265" s="245">
        <v>21.55</v>
      </c>
      <c r="J265" s="245">
        <v>2.88</v>
      </c>
    </row>
    <row r="266" customHeight="1" spans="6:10">
      <c r="F266" s="244">
        <v>44321</v>
      </c>
      <c r="G266" s="266">
        <v>8.11</v>
      </c>
      <c r="H266" s="265">
        <v>-0.0379</v>
      </c>
      <c r="I266" s="245">
        <v>23.36</v>
      </c>
      <c r="J266" s="245">
        <v>2.88</v>
      </c>
    </row>
    <row r="267" customHeight="1" spans="6:10">
      <c r="F267" s="244">
        <v>44314</v>
      </c>
      <c r="G267" s="266">
        <v>8.43</v>
      </c>
      <c r="H267" s="265">
        <v>-0.0258</v>
      </c>
      <c r="I267" s="245">
        <v>24.28</v>
      </c>
      <c r="J267" s="245">
        <v>2.88</v>
      </c>
    </row>
    <row r="268" customHeight="1" spans="6:10">
      <c r="F268" s="244">
        <v>44307</v>
      </c>
      <c r="G268" s="266">
        <v>8.65</v>
      </c>
      <c r="H268" s="265">
        <v>-0.0019</v>
      </c>
      <c r="I268" s="245">
        <v>24.75</v>
      </c>
      <c r="J268" s="245">
        <v>2.86</v>
      </c>
    </row>
    <row r="269" customHeight="1" spans="6:10">
      <c r="F269" s="244">
        <v>44300</v>
      </c>
      <c r="G269" s="266">
        <v>8.67</v>
      </c>
      <c r="H269" s="265">
        <v>-0.0258</v>
      </c>
      <c r="I269" s="245">
        <v>24.63</v>
      </c>
      <c r="J269" s="245">
        <v>2.84</v>
      </c>
    </row>
    <row r="270" customHeight="1" spans="6:10">
      <c r="F270" s="244">
        <v>44293</v>
      </c>
      <c r="G270" s="266">
        <v>8.9</v>
      </c>
      <c r="H270" s="265">
        <v>-0.0399</v>
      </c>
      <c r="I270" s="245">
        <v>25.27</v>
      </c>
      <c r="J270" s="245">
        <v>2.84</v>
      </c>
    </row>
    <row r="271" customHeight="1" spans="6:10">
      <c r="F271" s="244">
        <v>44286</v>
      </c>
      <c r="G271" s="266">
        <v>9.27</v>
      </c>
      <c r="H271" s="265">
        <v>-0.0404</v>
      </c>
      <c r="I271" s="245">
        <v>26.89</v>
      </c>
      <c r="J271" s="245">
        <v>2.9</v>
      </c>
    </row>
    <row r="272" customHeight="1" spans="6:10">
      <c r="F272" s="244">
        <v>44279</v>
      </c>
      <c r="G272" s="266">
        <v>9.66</v>
      </c>
      <c r="H272" s="265">
        <v>-0.0133</v>
      </c>
      <c r="I272" s="245">
        <v>28.2</v>
      </c>
      <c r="J272" s="245">
        <v>2.92</v>
      </c>
    </row>
    <row r="273" customHeight="1" spans="6:10">
      <c r="F273" s="244">
        <v>44265</v>
      </c>
      <c r="G273" s="266">
        <v>9.84</v>
      </c>
      <c r="H273" s="265">
        <v>-0.0238</v>
      </c>
      <c r="I273" s="245">
        <v>29.53</v>
      </c>
      <c r="J273" s="245">
        <v>3</v>
      </c>
    </row>
    <row r="274" customHeight="1" spans="6:10">
      <c r="F274" s="244">
        <v>44258</v>
      </c>
      <c r="G274" s="266">
        <v>10.08</v>
      </c>
      <c r="H274" s="265">
        <v>0.0213</v>
      </c>
      <c r="I274" s="245">
        <v>30.24</v>
      </c>
      <c r="J274" s="245">
        <v>3</v>
      </c>
    </row>
    <row r="275" customHeight="1" spans="6:10">
      <c r="F275" s="244">
        <v>44251</v>
      </c>
      <c r="G275" s="266">
        <v>9.87</v>
      </c>
      <c r="H275" s="265">
        <v>-0.0886</v>
      </c>
      <c r="I275" s="245">
        <v>29.6</v>
      </c>
      <c r="J275" s="245">
        <v>3</v>
      </c>
    </row>
    <row r="276" customHeight="1" spans="6:10">
      <c r="F276" s="244">
        <v>44230</v>
      </c>
      <c r="G276" s="266">
        <v>11.38</v>
      </c>
      <c r="H276" s="265">
        <v>-0.0548</v>
      </c>
      <c r="I276" s="245">
        <v>33.69</v>
      </c>
      <c r="J276" s="245">
        <v>2.96</v>
      </c>
    </row>
    <row r="277" customHeight="1" spans="6:10">
      <c r="F277" s="244">
        <v>44223</v>
      </c>
      <c r="G277" s="266">
        <v>12.04</v>
      </c>
      <c r="H277" s="265">
        <v>-0.036</v>
      </c>
      <c r="I277" s="245">
        <v>35.39</v>
      </c>
      <c r="J277" s="245">
        <v>2.94</v>
      </c>
    </row>
    <row r="278" customHeight="1" spans="6:10">
      <c r="F278" s="244">
        <v>44209</v>
      </c>
      <c r="G278" s="266">
        <v>12.83</v>
      </c>
      <c r="H278" s="265">
        <v>-0.0468</v>
      </c>
      <c r="I278" s="245">
        <v>36.19</v>
      </c>
      <c r="J278" s="245">
        <v>2.82</v>
      </c>
    </row>
    <row r="279" customHeight="1" spans="6:10">
      <c r="F279" s="244">
        <v>44202</v>
      </c>
      <c r="G279" s="266">
        <v>13.46</v>
      </c>
      <c r="H279" s="265">
        <v>0.0212</v>
      </c>
      <c r="I279" s="245">
        <v>36.33</v>
      </c>
      <c r="J279" s="245">
        <v>2.7</v>
      </c>
    </row>
    <row r="280" customHeight="1" spans="6:10">
      <c r="F280" s="244">
        <v>44195</v>
      </c>
      <c r="G280" s="266">
        <v>13.18</v>
      </c>
      <c r="H280" s="265">
        <v>0.0249</v>
      </c>
      <c r="I280" s="189"/>
      <c r="J280" s="189"/>
    </row>
    <row r="281" customHeight="1" spans="6:10">
      <c r="F281" s="244">
        <v>44190</v>
      </c>
      <c r="G281" s="266">
        <v>12.86</v>
      </c>
      <c r="H281" s="265">
        <v>0.0008</v>
      </c>
      <c r="I281" s="189"/>
      <c r="J281" s="189"/>
    </row>
    <row r="282" customHeight="1" spans="6:10">
      <c r="F282" s="244">
        <v>44181</v>
      </c>
      <c r="G282" s="266">
        <v>12.85</v>
      </c>
      <c r="H282" s="265">
        <v>0.0166</v>
      </c>
      <c r="I282" s="189"/>
      <c r="J282" s="189"/>
    </row>
    <row r="283" customHeight="1" spans="6:10">
      <c r="F283" s="244">
        <v>44174</v>
      </c>
      <c r="G283" s="266">
        <v>12.64</v>
      </c>
      <c r="H283" s="265">
        <v>0.0293</v>
      </c>
      <c r="I283" s="189"/>
      <c r="J283" s="189"/>
    </row>
    <row r="284" customHeight="1" spans="6:10">
      <c r="F284" s="244">
        <v>44167</v>
      </c>
      <c r="G284" s="266">
        <v>12.28</v>
      </c>
      <c r="H284" s="265">
        <v>0.0487</v>
      </c>
      <c r="I284" s="189"/>
      <c r="J284" s="189"/>
    </row>
    <row r="285" customHeight="1" spans="6:10">
      <c r="F285" s="244">
        <v>44160</v>
      </c>
      <c r="G285" s="266">
        <v>11.71</v>
      </c>
      <c r="H285" s="265">
        <v>-0.0118</v>
      </c>
      <c r="I285" s="189"/>
      <c r="J285" s="189"/>
    </row>
    <row r="286" customHeight="1" spans="6:10">
      <c r="F286" s="244">
        <v>44153</v>
      </c>
      <c r="G286" s="266">
        <v>11.85</v>
      </c>
      <c r="H286" s="265">
        <v>0.0025</v>
      </c>
      <c r="I286" s="189"/>
      <c r="J286" s="189"/>
    </row>
    <row r="287" customHeight="1" spans="6:10">
      <c r="F287" s="244">
        <v>44146</v>
      </c>
      <c r="G287" s="266">
        <v>11.82</v>
      </c>
      <c r="H287" s="265">
        <v>0.0068</v>
      </c>
      <c r="I287" s="189"/>
      <c r="J287" s="189"/>
    </row>
    <row r="288" customHeight="1" spans="6:10">
      <c r="F288" s="244">
        <v>44139</v>
      </c>
      <c r="G288" s="266">
        <v>11.74</v>
      </c>
      <c r="H288" s="265">
        <v>-0.0084</v>
      </c>
      <c r="I288" s="189"/>
      <c r="J288" s="189"/>
    </row>
    <row r="289" customHeight="1" spans="6:10">
      <c r="F289" s="244">
        <v>44132</v>
      </c>
      <c r="G289" s="266">
        <v>11.84</v>
      </c>
      <c r="H289" s="265">
        <v>-0.0485</v>
      </c>
      <c r="I289" s="189"/>
      <c r="J289" s="189"/>
    </row>
    <row r="290" customHeight="1" spans="6:10">
      <c r="F290" s="244">
        <v>44125</v>
      </c>
      <c r="G290" s="266">
        <v>12.44</v>
      </c>
      <c r="H290" s="265">
        <v>-0.0442</v>
      </c>
      <c r="I290" s="189"/>
      <c r="J290" s="189"/>
    </row>
    <row r="291" customHeight="1" spans="6:10">
      <c r="F291" s="244">
        <v>44118</v>
      </c>
      <c r="G291" s="266">
        <v>13.02</v>
      </c>
      <c r="H291" s="265">
        <v>-0.085</v>
      </c>
      <c r="I291" s="189"/>
      <c r="J291" s="189"/>
    </row>
    <row r="292" customHeight="1" spans="6:10">
      <c r="F292" s="244">
        <v>44097</v>
      </c>
      <c r="G292" s="266">
        <v>14.77</v>
      </c>
      <c r="H292" s="265">
        <v>-0.0244</v>
      </c>
      <c r="I292" s="189"/>
      <c r="J292" s="189"/>
    </row>
    <row r="293" customHeight="1" spans="6:10">
      <c r="F293" s="244">
        <v>44090</v>
      </c>
      <c r="G293" s="266">
        <v>15.14</v>
      </c>
      <c r="H293" s="265">
        <v>-0.0363</v>
      </c>
      <c r="I293" s="189"/>
      <c r="J293" s="189"/>
    </row>
    <row r="294" customHeight="1" spans="6:10">
      <c r="F294" s="244">
        <v>44083</v>
      </c>
      <c r="G294" s="266">
        <v>15.71</v>
      </c>
      <c r="H294" s="265">
        <v>0.0032</v>
      </c>
      <c r="I294" s="189"/>
      <c r="J294" s="189"/>
    </row>
    <row r="295" customHeight="1" spans="6:10">
      <c r="F295" s="244">
        <v>44076</v>
      </c>
      <c r="G295" s="266">
        <v>15.66</v>
      </c>
      <c r="H295" s="265">
        <v>-0.0076</v>
      </c>
      <c r="I295" s="189"/>
      <c r="J295" s="189"/>
    </row>
    <row r="296" customHeight="1" spans="6:10">
      <c r="F296" s="244">
        <v>44069</v>
      </c>
      <c r="G296" s="266">
        <v>15.78</v>
      </c>
      <c r="H296" s="265">
        <v>0.0122</v>
      </c>
      <c r="I296" s="189"/>
      <c r="J296" s="189"/>
    </row>
    <row r="297" customHeight="1" spans="6:10">
      <c r="F297" s="244">
        <v>44062</v>
      </c>
      <c r="G297" s="266">
        <v>15.59</v>
      </c>
      <c r="H297" s="265">
        <v>-0.0201</v>
      </c>
      <c r="I297" s="189"/>
      <c r="J297" s="189"/>
    </row>
    <row r="298" customHeight="1" spans="6:10">
      <c r="F298" s="244">
        <v>44055</v>
      </c>
      <c r="G298" s="266">
        <v>15.91</v>
      </c>
      <c r="H298" s="265">
        <v>0.0032</v>
      </c>
      <c r="I298" s="189"/>
      <c r="J298" s="189"/>
    </row>
    <row r="299" customHeight="1" spans="6:10">
      <c r="F299" s="244">
        <v>44048</v>
      </c>
      <c r="G299" s="266">
        <v>15.86</v>
      </c>
      <c r="H299" s="265">
        <v>-0.0186</v>
      </c>
      <c r="I299" s="189"/>
      <c r="J299" s="189"/>
    </row>
    <row r="300" customHeight="1" spans="6:10">
      <c r="F300" s="244">
        <v>44041</v>
      </c>
      <c r="G300" s="266">
        <v>16.16</v>
      </c>
      <c r="H300" s="265">
        <v>-0.0164</v>
      </c>
      <c r="I300" s="189"/>
      <c r="J300" s="189"/>
    </row>
    <row r="301" customHeight="1" spans="6:10">
      <c r="F301" s="244">
        <v>44034</v>
      </c>
      <c r="G301" s="266">
        <v>16.43</v>
      </c>
      <c r="H301" s="265">
        <v>-0.0243</v>
      </c>
      <c r="I301" s="189"/>
      <c r="J301" s="189"/>
    </row>
    <row r="302" customHeight="1" spans="6:10">
      <c r="F302" s="244">
        <v>44027</v>
      </c>
      <c r="G302" s="266">
        <v>16.84</v>
      </c>
      <c r="H302" s="265">
        <v>0.0138</v>
      </c>
      <c r="I302" s="189"/>
      <c r="J302" s="189"/>
    </row>
    <row r="303" customHeight="1" spans="6:10">
      <c r="F303" s="244">
        <v>44020</v>
      </c>
      <c r="G303" s="266">
        <v>16.61</v>
      </c>
      <c r="H303" s="265">
        <v>0.0433</v>
      </c>
      <c r="I303" s="189"/>
      <c r="J303" s="189"/>
    </row>
    <row r="304" customHeight="1" spans="6:10">
      <c r="F304" s="244">
        <v>44013</v>
      </c>
      <c r="G304" s="266">
        <v>15.92</v>
      </c>
      <c r="H304" s="265">
        <v>0.0186</v>
      </c>
      <c r="I304" s="189"/>
      <c r="J304" s="189"/>
    </row>
    <row r="305" customHeight="1" spans="6:10">
      <c r="F305" s="244">
        <v>44006</v>
      </c>
      <c r="G305" s="266">
        <v>15.63</v>
      </c>
      <c r="H305" s="265">
        <v>0.0256</v>
      </c>
      <c r="I305" s="189"/>
      <c r="J305" s="189"/>
    </row>
    <row r="306" customHeight="1" spans="6:10">
      <c r="F306" s="244">
        <v>43999</v>
      </c>
      <c r="G306" s="266">
        <v>15.24</v>
      </c>
      <c r="H306" s="265">
        <v>0.0353</v>
      </c>
      <c r="I306" s="189"/>
      <c r="J306" s="189"/>
    </row>
    <row r="307" customHeight="1" spans="6:10">
      <c r="F307" s="244">
        <v>43992</v>
      </c>
      <c r="G307" s="266">
        <v>14.72</v>
      </c>
      <c r="H307" s="265">
        <v>0.0388</v>
      </c>
      <c r="I307" s="189"/>
      <c r="J307" s="189"/>
    </row>
    <row r="308" customHeight="1" spans="6:10">
      <c r="F308" s="244">
        <v>43985</v>
      </c>
      <c r="G308" s="266">
        <v>14.17</v>
      </c>
      <c r="H308" s="265">
        <v>0.0328</v>
      </c>
      <c r="I308" s="189"/>
      <c r="J308" s="189"/>
    </row>
    <row r="309" customHeight="1" spans="6:10">
      <c r="F309" s="244">
        <v>43978</v>
      </c>
      <c r="G309" s="266">
        <v>13.72</v>
      </c>
      <c r="H309" s="265">
        <v>0.0254</v>
      </c>
      <c r="I309" s="189"/>
      <c r="J309" s="189"/>
    </row>
    <row r="310" customHeight="1" spans="6:10">
      <c r="F310" s="244">
        <v>43971</v>
      </c>
      <c r="G310" s="266">
        <v>13.38</v>
      </c>
      <c r="H310" s="265">
        <v>-0.047</v>
      </c>
      <c r="I310" s="189"/>
      <c r="J310" s="189"/>
    </row>
    <row r="311" customHeight="1" spans="6:10">
      <c r="F311" s="244">
        <v>43964</v>
      </c>
      <c r="G311" s="266">
        <v>14.04</v>
      </c>
      <c r="H311" s="265">
        <v>-0.0646</v>
      </c>
      <c r="I311" s="189"/>
      <c r="J311" s="189"/>
    </row>
    <row r="312" customHeight="1" spans="6:10">
      <c r="F312" s="244">
        <v>43957</v>
      </c>
      <c r="G312" s="266">
        <v>15.01</v>
      </c>
      <c r="H312" s="265">
        <v>-0.0215</v>
      </c>
      <c r="I312" s="189"/>
      <c r="J312" s="189"/>
    </row>
    <row r="313" customHeight="1" spans="6:10">
      <c r="F313" s="244">
        <v>43943</v>
      </c>
      <c r="G313" s="266">
        <v>16.03</v>
      </c>
      <c r="H313" s="265">
        <v>-0.022</v>
      </c>
      <c r="I313" s="189"/>
      <c r="J313" s="189"/>
    </row>
    <row r="314" customHeight="1" spans="6:10">
      <c r="F314" s="244">
        <v>43936</v>
      </c>
      <c r="G314" s="266">
        <v>16.39</v>
      </c>
      <c r="H314" s="265">
        <v>-0.0232</v>
      </c>
      <c r="I314" s="189"/>
      <c r="J314" s="189"/>
    </row>
    <row r="315" customHeight="1" spans="6:10">
      <c r="F315" s="244">
        <v>43929</v>
      </c>
      <c r="G315" s="266">
        <v>16.78</v>
      </c>
      <c r="H315" s="265">
        <v>-0.0267</v>
      </c>
      <c r="I315" s="189"/>
      <c r="J315" s="189"/>
    </row>
    <row r="316" customHeight="1" spans="6:10">
      <c r="F316" s="244">
        <v>43922</v>
      </c>
      <c r="G316" s="266">
        <v>17.24</v>
      </c>
      <c r="H316" s="265">
        <v>-0.0287</v>
      </c>
      <c r="I316" s="189"/>
      <c r="J316" s="189"/>
    </row>
    <row r="317" customHeight="1" spans="6:10">
      <c r="F317" s="244">
        <v>43915</v>
      </c>
      <c r="G317" s="266">
        <v>17.75</v>
      </c>
      <c r="H317" s="265">
        <v>-0.0177</v>
      </c>
      <c r="I317" s="189"/>
      <c r="J317" s="189"/>
    </row>
    <row r="318" customHeight="1" spans="6:10">
      <c r="F318" s="244">
        <v>43908</v>
      </c>
      <c r="G318" s="266">
        <v>18.07</v>
      </c>
      <c r="H318" s="265">
        <v>-0.0071</v>
      </c>
      <c r="I318" s="189"/>
      <c r="J318" s="189"/>
    </row>
    <row r="319" customHeight="1" spans="6:10">
      <c r="F319" s="244">
        <v>43901</v>
      </c>
      <c r="G319" s="266">
        <v>18.2</v>
      </c>
      <c r="H319" s="265">
        <v>-0.0038</v>
      </c>
      <c r="I319" s="189"/>
      <c r="J319" s="189"/>
    </row>
    <row r="320" customHeight="1" spans="6:10">
      <c r="F320" s="244">
        <v>43894</v>
      </c>
      <c r="G320" s="266">
        <v>18.27</v>
      </c>
      <c r="H320" s="265">
        <v>-0.0103</v>
      </c>
      <c r="I320" s="189"/>
      <c r="J320" s="189"/>
    </row>
    <row r="321" customHeight="1" spans="6:10">
      <c r="F321" s="244">
        <v>43887</v>
      </c>
      <c r="G321" s="266">
        <v>18.46</v>
      </c>
      <c r="H321" s="265">
        <v>-0.0118</v>
      </c>
      <c r="I321" s="189"/>
      <c r="J321" s="189"/>
    </row>
    <row r="322" customHeight="1" spans="6:10">
      <c r="F322" s="244">
        <v>43880</v>
      </c>
      <c r="G322" s="266">
        <v>18.68</v>
      </c>
      <c r="H322" s="265">
        <v>0.018</v>
      </c>
      <c r="I322" s="189"/>
      <c r="J322" s="189"/>
    </row>
    <row r="323" customHeight="1" spans="6:10">
      <c r="F323" s="244">
        <v>43873</v>
      </c>
      <c r="G323" s="266">
        <v>18.35</v>
      </c>
      <c r="H323" s="265">
        <v>0.0105</v>
      </c>
      <c r="I323" s="189"/>
      <c r="J323" s="189"/>
    </row>
    <row r="324" customHeight="1" spans="6:10">
      <c r="F324" s="244">
        <v>43845</v>
      </c>
      <c r="G324" s="266">
        <v>18.06</v>
      </c>
      <c r="H324" s="265">
        <v>0.0146</v>
      </c>
      <c r="I324" s="189"/>
      <c r="J324" s="189"/>
    </row>
    <row r="325" customHeight="1" spans="6:10">
      <c r="F325" s="244">
        <v>43838</v>
      </c>
      <c r="G325" s="266">
        <v>17.8</v>
      </c>
      <c r="H325" s="265">
        <v>0.0325</v>
      </c>
      <c r="I325" s="189"/>
      <c r="J325" s="189"/>
    </row>
    <row r="326" customHeight="1" spans="6:10">
      <c r="F326" s="244">
        <v>43831</v>
      </c>
      <c r="G326" s="266">
        <v>17.24</v>
      </c>
      <c r="H326" s="265">
        <v>0.0029</v>
      </c>
      <c r="I326" s="189"/>
      <c r="J326" s="189"/>
    </row>
    <row r="327" customHeight="1" spans="6:10">
      <c r="F327" s="244">
        <v>43824</v>
      </c>
      <c r="G327" s="266">
        <v>17.19</v>
      </c>
      <c r="H327" s="265">
        <v>-0.0046</v>
      </c>
      <c r="I327" s="189"/>
      <c r="J327" s="189"/>
    </row>
    <row r="328" customHeight="1" spans="6:10">
      <c r="F328" s="244">
        <v>43817</v>
      </c>
      <c r="G328" s="266">
        <v>17.27</v>
      </c>
      <c r="H328" s="265">
        <v>-0.0017</v>
      </c>
      <c r="I328" s="189"/>
      <c r="J328" s="189"/>
    </row>
    <row r="329" customHeight="1" spans="6:10">
      <c r="F329" s="244">
        <v>43810</v>
      </c>
      <c r="G329" s="266">
        <v>17.3</v>
      </c>
      <c r="H329" s="265">
        <v>0.0188</v>
      </c>
      <c r="I329" s="189"/>
      <c r="J329" s="189"/>
    </row>
    <row r="330" customHeight="1" spans="6:10">
      <c r="F330" s="244">
        <v>43803</v>
      </c>
      <c r="G330" s="266">
        <v>16.98</v>
      </c>
      <c r="H330" s="265">
        <v>0.0354</v>
      </c>
      <c r="I330" s="189"/>
      <c r="J330" s="189"/>
    </row>
    <row r="331" customHeight="1" spans="6:10">
      <c r="F331" s="244">
        <v>43789</v>
      </c>
      <c r="G331" s="266">
        <v>16.8</v>
      </c>
      <c r="H331" s="265">
        <v>-0.0914</v>
      </c>
      <c r="I331" s="189"/>
      <c r="J331" s="189"/>
    </row>
    <row r="332" customHeight="1" spans="6:10">
      <c r="F332" s="244">
        <v>43782</v>
      </c>
      <c r="G332" s="266">
        <v>18.49</v>
      </c>
      <c r="H332" s="265">
        <v>-0.0469</v>
      </c>
      <c r="I332" s="189"/>
      <c r="J332" s="189"/>
    </row>
    <row r="333" customHeight="1" spans="6:10">
      <c r="F333" s="244">
        <v>43768</v>
      </c>
      <c r="G333" s="266">
        <v>20.1</v>
      </c>
      <c r="H333" s="265">
        <v>0.0749</v>
      </c>
      <c r="I333" s="189"/>
      <c r="J333" s="189"/>
    </row>
    <row r="334" customHeight="1" spans="6:10">
      <c r="F334" s="244">
        <v>43761</v>
      </c>
      <c r="G334" s="266">
        <v>18.7</v>
      </c>
      <c r="H334" s="265">
        <v>0.1198</v>
      </c>
      <c r="I334" s="189"/>
      <c r="J334" s="189"/>
    </row>
    <row r="335" customHeight="1" spans="6:10">
      <c r="F335" s="244">
        <v>43754</v>
      </c>
      <c r="G335" s="266">
        <v>16.7</v>
      </c>
      <c r="H335" s="265">
        <v>0.1074</v>
      </c>
      <c r="I335" s="189"/>
      <c r="J335" s="189"/>
    </row>
    <row r="336" customHeight="1" spans="6:10">
      <c r="F336" s="244">
        <v>43747</v>
      </c>
      <c r="G336" s="266">
        <v>15.08</v>
      </c>
      <c r="H336" s="265">
        <v>0.1179</v>
      </c>
      <c r="I336" s="189"/>
      <c r="J336" s="189"/>
    </row>
    <row r="337" customHeight="1" spans="6:10">
      <c r="F337" s="244">
        <v>43733</v>
      </c>
      <c r="G337" s="266">
        <v>13.49</v>
      </c>
      <c r="H337" s="265">
        <v>0.0189</v>
      </c>
      <c r="I337" s="189"/>
      <c r="J337" s="189"/>
    </row>
    <row r="338" customHeight="1" spans="6:10">
      <c r="F338" s="244">
        <v>43726</v>
      </c>
      <c r="G338" s="266">
        <v>13.24</v>
      </c>
      <c r="H338" s="265">
        <v>0.0023</v>
      </c>
      <c r="I338" s="189"/>
      <c r="J338" s="189"/>
    </row>
    <row r="339" customHeight="1" spans="6:10">
      <c r="F339" s="244">
        <v>43719</v>
      </c>
      <c r="G339" s="266">
        <v>13.21</v>
      </c>
      <c r="H339" s="265">
        <v>0.024</v>
      </c>
      <c r="I339" s="189"/>
      <c r="J339" s="189"/>
    </row>
    <row r="340" customHeight="1" spans="6:10">
      <c r="F340" s="244">
        <v>43705</v>
      </c>
      <c r="G340" s="266">
        <v>12.23</v>
      </c>
      <c r="H340" s="265">
        <v>0.0589</v>
      </c>
      <c r="I340" s="189"/>
      <c r="J340" s="189"/>
    </row>
    <row r="341" customHeight="1" spans="6:10">
      <c r="F341" s="244">
        <v>43698</v>
      </c>
      <c r="G341" s="266">
        <v>11.55</v>
      </c>
      <c r="H341" s="265">
        <v>0.0815</v>
      </c>
      <c r="I341" s="189"/>
      <c r="J341" s="189"/>
    </row>
    <row r="342" customHeight="1" spans="6:10">
      <c r="F342" s="244">
        <v>43691</v>
      </c>
      <c r="G342" s="266">
        <v>10.68</v>
      </c>
      <c r="H342" s="265">
        <v>0.101</v>
      </c>
      <c r="I342" s="189"/>
      <c r="J342" s="189"/>
    </row>
    <row r="343" customHeight="1" spans="6:10">
      <c r="F343" s="244">
        <v>43684</v>
      </c>
      <c r="G343" s="266">
        <v>9.7</v>
      </c>
      <c r="H343" s="265">
        <v>0.0419</v>
      </c>
      <c r="I343" s="189"/>
      <c r="J343" s="189"/>
    </row>
    <row r="344" customHeight="1" spans="6:10">
      <c r="F344" s="244">
        <v>43677</v>
      </c>
      <c r="G344" s="266">
        <v>9.31</v>
      </c>
      <c r="H344" s="265">
        <v>0.0153</v>
      </c>
      <c r="I344" s="189"/>
      <c r="J344" s="189"/>
    </row>
    <row r="345" customHeight="1" spans="6:10">
      <c r="F345" s="244">
        <v>43670</v>
      </c>
      <c r="G345" s="266">
        <v>9.17</v>
      </c>
      <c r="H345" s="265">
        <v>0.0189</v>
      </c>
      <c r="I345" s="189"/>
      <c r="J345" s="189"/>
    </row>
    <row r="346" customHeight="1" spans="6:10">
      <c r="F346" s="244">
        <v>43663</v>
      </c>
      <c r="G346" s="266">
        <v>9</v>
      </c>
      <c r="H346" s="265">
        <v>0.0526</v>
      </c>
      <c r="I346" s="189"/>
      <c r="J346" s="189"/>
    </row>
    <row r="347" customHeight="1" spans="6:10">
      <c r="F347" s="244">
        <v>43649</v>
      </c>
      <c r="G347" s="266">
        <v>8.41</v>
      </c>
      <c r="H347" s="265">
        <v>0.0012</v>
      </c>
      <c r="I347" s="189"/>
      <c r="J347" s="189"/>
    </row>
    <row r="348" customHeight="1" spans="6:10">
      <c r="F348" s="244">
        <v>43642</v>
      </c>
      <c r="G348" s="266">
        <v>8.4</v>
      </c>
      <c r="H348" s="265">
        <v>0.0461</v>
      </c>
      <c r="I348" s="189"/>
      <c r="J348" s="189"/>
    </row>
    <row r="349" customHeight="1" spans="6:10">
      <c r="F349" s="244">
        <v>43628</v>
      </c>
      <c r="G349" s="266">
        <v>7.76</v>
      </c>
      <c r="H349" s="265">
        <v>0.0131</v>
      </c>
      <c r="I349" s="189"/>
      <c r="J349" s="189"/>
    </row>
    <row r="350" customHeight="1" spans="6:10">
      <c r="F350" s="244">
        <v>43621</v>
      </c>
      <c r="G350" s="266">
        <v>7.66</v>
      </c>
      <c r="H350" s="265">
        <v>0.02</v>
      </c>
      <c r="I350" s="189"/>
      <c r="J350" s="189"/>
    </row>
    <row r="351" customHeight="1" spans="6:10">
      <c r="F351" s="244">
        <v>43614</v>
      </c>
      <c r="G351" s="266">
        <v>7.51</v>
      </c>
      <c r="H351" s="265">
        <v>-0.0196</v>
      </c>
      <c r="I351" s="189"/>
      <c r="J351" s="189"/>
    </row>
    <row r="352" customHeight="1" spans="6:10">
      <c r="F352" s="244">
        <v>43607</v>
      </c>
      <c r="G352" s="266">
        <v>7.66</v>
      </c>
      <c r="H352" s="265">
        <v>-0.0116</v>
      </c>
      <c r="I352" s="189"/>
      <c r="J352" s="189"/>
    </row>
    <row r="353" customHeight="1" spans="6:10">
      <c r="F353" s="244">
        <v>43600</v>
      </c>
      <c r="G353" s="266">
        <v>7.75</v>
      </c>
      <c r="H353" s="265">
        <v>-0.0077</v>
      </c>
      <c r="I353" s="189"/>
      <c r="J353" s="189"/>
    </row>
    <row r="354" customHeight="1" spans="6:10">
      <c r="F354" s="244">
        <v>43593</v>
      </c>
      <c r="G354" s="266">
        <v>7.81</v>
      </c>
      <c r="H354" s="265">
        <v>0.0039</v>
      </c>
      <c r="I354" s="189"/>
      <c r="J354" s="189"/>
    </row>
    <row r="355" customHeight="1" spans="6:10">
      <c r="F355" s="244">
        <v>43579</v>
      </c>
      <c r="G355" s="266">
        <v>7.78</v>
      </c>
      <c r="H355" s="265">
        <v>-0.0038</v>
      </c>
      <c r="I355" s="189"/>
      <c r="J355" s="189"/>
    </row>
    <row r="356" customHeight="1" spans="6:10">
      <c r="F356" s="244">
        <v>43572</v>
      </c>
      <c r="G356" s="266">
        <v>7.81</v>
      </c>
      <c r="H356" s="265">
        <v>-0.0126</v>
      </c>
      <c r="I356" s="189"/>
      <c r="J356" s="189"/>
    </row>
    <row r="357" customHeight="1" spans="6:10">
      <c r="F357" s="244">
        <v>43565</v>
      </c>
      <c r="G357" s="266">
        <v>7.91</v>
      </c>
      <c r="H357" s="265">
        <v>0.0038</v>
      </c>
      <c r="I357" s="189"/>
      <c r="J357" s="189"/>
    </row>
    <row r="358" customHeight="1" spans="6:10">
      <c r="F358" s="244">
        <v>43558</v>
      </c>
      <c r="G358" s="266">
        <v>7.88</v>
      </c>
      <c r="H358" s="265">
        <v>0.0142</v>
      </c>
      <c r="I358" s="189"/>
      <c r="J358" s="189"/>
    </row>
    <row r="359" customHeight="1" spans="6:10">
      <c r="F359" s="244">
        <v>43551</v>
      </c>
      <c r="G359" s="266">
        <v>7.77</v>
      </c>
      <c r="H359" s="265">
        <v>0.0065</v>
      </c>
      <c r="I359" s="189"/>
      <c r="J359" s="189"/>
    </row>
    <row r="360" customHeight="1" spans="6:10">
      <c r="F360" s="244">
        <v>43544</v>
      </c>
      <c r="G360" s="266">
        <v>7.72</v>
      </c>
      <c r="H360" s="265">
        <v>0.0266</v>
      </c>
      <c r="I360" s="189"/>
      <c r="J360" s="189"/>
    </row>
    <row r="361" customHeight="1" spans="6:10">
      <c r="F361" s="244">
        <v>43537</v>
      </c>
      <c r="G361" s="266">
        <v>7.52</v>
      </c>
      <c r="H361" s="265">
        <v>0.1325</v>
      </c>
      <c r="I361" s="189"/>
      <c r="J361" s="189"/>
    </row>
    <row r="362" customHeight="1" spans="6:10">
      <c r="F362" s="244">
        <v>43530</v>
      </c>
      <c r="G362" s="266">
        <v>6.64</v>
      </c>
      <c r="H362" s="265">
        <v>0.0107</v>
      </c>
      <c r="I362" s="189"/>
      <c r="J362" s="189"/>
    </row>
    <row r="363" customHeight="1" spans="6:10">
      <c r="F363" s="244">
        <v>43523</v>
      </c>
      <c r="G363" s="266">
        <v>6.57</v>
      </c>
      <c r="H363" s="265">
        <v>0.0139</v>
      </c>
      <c r="I363" s="189"/>
      <c r="J363" s="189"/>
    </row>
    <row r="364" customHeight="1" spans="6:10">
      <c r="F364" s="244">
        <v>43516</v>
      </c>
      <c r="G364" s="266">
        <v>6.48</v>
      </c>
      <c r="H364" s="265">
        <v>0.0189</v>
      </c>
      <c r="I364" s="189"/>
      <c r="J364" s="189"/>
    </row>
    <row r="365" customHeight="1" spans="6:10">
      <c r="F365" s="244">
        <v>43509</v>
      </c>
      <c r="G365" s="266">
        <v>6.36</v>
      </c>
      <c r="H365" s="265">
        <v>0.0409</v>
      </c>
      <c r="I365" s="189"/>
      <c r="J365" s="189"/>
    </row>
    <row r="366" customHeight="1" spans="6:10">
      <c r="F366" s="244">
        <v>43495</v>
      </c>
      <c r="G366" s="266">
        <v>6.11</v>
      </c>
      <c r="H366" s="265">
        <v>-0.0348</v>
      </c>
      <c r="I366" s="189"/>
      <c r="J366" s="189"/>
    </row>
    <row r="367" customHeight="1" spans="6:10">
      <c r="F367" s="244">
        <v>43488</v>
      </c>
      <c r="G367" s="266">
        <v>6.33</v>
      </c>
      <c r="H367" s="265">
        <v>-0.0424</v>
      </c>
      <c r="I367" s="189"/>
      <c r="J367" s="189"/>
    </row>
    <row r="368" customHeight="1" spans="6:10">
      <c r="F368" s="244">
        <v>43481</v>
      </c>
      <c r="G368" s="266">
        <v>6.61</v>
      </c>
      <c r="H368" s="265">
        <v>-0.0236</v>
      </c>
      <c r="I368" s="189"/>
      <c r="J368" s="189"/>
    </row>
    <row r="369" customHeight="1" spans="6:10">
      <c r="F369" s="244">
        <v>43474</v>
      </c>
      <c r="G369" s="266">
        <v>6.77</v>
      </c>
      <c r="H369" s="265">
        <v>-0.0174</v>
      </c>
      <c r="I369" s="189"/>
      <c r="J369" s="189"/>
    </row>
    <row r="370" customHeight="1" spans="6:10">
      <c r="F370" s="244">
        <v>43467</v>
      </c>
      <c r="G370" s="266">
        <v>6.89</v>
      </c>
      <c r="H370" s="265">
        <v>-0.0101</v>
      </c>
      <c r="I370" s="189"/>
      <c r="J370" s="189"/>
    </row>
  </sheetData>
  <mergeCells count="19">
    <mergeCell ref="A1:K1"/>
    <mergeCell ref="A2:D2"/>
    <mergeCell ref="F2:H2"/>
    <mergeCell ref="L2:O2"/>
    <mergeCell ref="M3:N3"/>
    <mergeCell ref="L3:L9"/>
    <mergeCell ref="L10:L15"/>
    <mergeCell ref="M5:M7"/>
    <mergeCell ref="M8:M9"/>
    <mergeCell ref="M11:M13"/>
    <mergeCell ref="M14:M15"/>
    <mergeCell ref="N5:N7"/>
    <mergeCell ref="N8:N9"/>
    <mergeCell ref="N11:N13"/>
    <mergeCell ref="N14:N15"/>
    <mergeCell ref="O5:O7"/>
    <mergeCell ref="O8:O9"/>
    <mergeCell ref="O11:O13"/>
    <mergeCell ref="O14:O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8"/>
  <sheetViews>
    <sheetView workbookViewId="0">
      <pane xSplit="1" ySplit="3" topLeftCell="B122" activePane="bottomRight" state="frozen"/>
      <selection/>
      <selection pane="topRight"/>
      <selection pane="bottomLeft"/>
      <selection pane="bottomRight" activeCell="H133" sqref="H133"/>
    </sheetView>
  </sheetViews>
  <sheetFormatPr defaultColWidth="13.1333333333333" defaultRowHeight="20.1" customHeight="1"/>
  <cols>
    <col min="1" max="1" width="17" style="187" customWidth="1"/>
    <col min="2" max="4" width="15.6333333333333" style="188" customWidth="1"/>
    <col min="5" max="5" width="10.7583333333333" style="186" customWidth="1"/>
    <col min="6" max="6" width="7.13333333333333" style="189" customWidth="1"/>
    <col min="7" max="7" width="10.6333333333333" style="162" customWidth="1"/>
    <col min="8" max="14" width="9.63333333333333" style="162" customWidth="1"/>
    <col min="15" max="17" width="9.63333333333333" style="190" customWidth="1"/>
    <col min="18" max="16384" width="13.1333333333333" style="190"/>
  </cols>
  <sheetData>
    <row r="1" s="183" customFormat="1" ht="30" customHeight="1" spans="1:17">
      <c r="A1" s="191" t="s">
        <v>47</v>
      </c>
      <c r="B1" s="192" t="s">
        <v>48</v>
      </c>
      <c r="C1" s="193"/>
      <c r="D1" s="194"/>
      <c r="E1" s="195"/>
      <c r="F1" s="196" t="s">
        <v>49</v>
      </c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</row>
    <row r="2" s="183" customFormat="1" ht="33" customHeight="1" spans="1:17">
      <c r="A2" s="197" t="s">
        <v>50</v>
      </c>
      <c r="B2" s="198"/>
      <c r="C2" s="198"/>
      <c r="D2" s="199"/>
      <c r="E2" s="195"/>
      <c r="F2" s="200"/>
      <c r="G2" s="201" t="s">
        <v>51</v>
      </c>
      <c r="H2" s="202" t="s">
        <v>52</v>
      </c>
      <c r="I2" s="202" t="s">
        <v>53</v>
      </c>
      <c r="J2" s="202" t="s">
        <v>54</v>
      </c>
      <c r="K2" s="202" t="s">
        <v>55</v>
      </c>
      <c r="L2" s="202" t="s">
        <v>56</v>
      </c>
      <c r="M2" s="201" t="s">
        <v>57</v>
      </c>
      <c r="N2" s="201" t="s">
        <v>58</v>
      </c>
      <c r="O2" s="201" t="s">
        <v>59</v>
      </c>
      <c r="P2" s="201" t="s">
        <v>60</v>
      </c>
      <c r="Q2" s="201" t="s">
        <v>61</v>
      </c>
    </row>
    <row r="3" s="183" customFormat="1" ht="23" customHeight="1" spans="1:17">
      <c r="A3" s="191" t="s">
        <v>62</v>
      </c>
      <c r="B3" s="191" t="s">
        <v>63</v>
      </c>
      <c r="C3" s="191" t="s">
        <v>64</v>
      </c>
      <c r="D3" s="191" t="s">
        <v>22</v>
      </c>
      <c r="E3" s="195"/>
      <c r="F3" s="170">
        <v>1</v>
      </c>
      <c r="G3" s="170" t="s">
        <v>65</v>
      </c>
      <c r="H3" s="203">
        <v>0</v>
      </c>
      <c r="I3" s="203">
        <v>48</v>
      </c>
      <c r="J3" s="203">
        <v>41</v>
      </c>
      <c r="K3" s="203">
        <v>39</v>
      </c>
      <c r="L3" s="212">
        <v>66.5</v>
      </c>
      <c r="M3" s="212">
        <v>65</v>
      </c>
      <c r="N3" s="212">
        <v>65.4</v>
      </c>
      <c r="O3" s="212">
        <v>61.2</v>
      </c>
      <c r="P3" s="212">
        <v>62.9</v>
      </c>
      <c r="Q3" s="212"/>
    </row>
    <row r="4" customHeight="1" spans="1:17">
      <c r="A4" s="204">
        <v>42308</v>
      </c>
      <c r="B4" s="174" t="s">
        <v>66</v>
      </c>
      <c r="C4" s="205" t="s">
        <v>66</v>
      </c>
      <c r="D4" s="206">
        <v>-0.001</v>
      </c>
      <c r="F4" s="170">
        <v>2</v>
      </c>
      <c r="G4" s="170" t="s">
        <v>67</v>
      </c>
      <c r="H4" s="203">
        <v>94</v>
      </c>
      <c r="I4" s="203">
        <v>85</v>
      </c>
      <c r="J4" s="203">
        <v>74</v>
      </c>
      <c r="K4" s="203">
        <v>69</v>
      </c>
      <c r="L4" s="212">
        <v>99.8</v>
      </c>
      <c r="M4" s="212">
        <v>120</v>
      </c>
      <c r="N4" s="212">
        <v>115.2</v>
      </c>
      <c r="O4" s="212">
        <v>108.9</v>
      </c>
      <c r="P4" s="212">
        <v>103.5</v>
      </c>
      <c r="Q4" s="212">
        <v>95.6</v>
      </c>
    </row>
    <row r="5" s="184" customFormat="1" customHeight="1" spans="1:17">
      <c r="A5" s="204">
        <v>42309</v>
      </c>
      <c r="B5" s="174" t="s">
        <v>66</v>
      </c>
      <c r="C5" s="205" t="s">
        <v>66</v>
      </c>
      <c r="D5" s="206">
        <v>-0.006</v>
      </c>
      <c r="E5" s="207"/>
      <c r="F5" s="170">
        <v>3</v>
      </c>
      <c r="G5" s="170" t="s">
        <v>68</v>
      </c>
      <c r="H5" s="203">
        <v>116</v>
      </c>
      <c r="I5" s="203">
        <v>121</v>
      </c>
      <c r="J5" s="203">
        <v>108</v>
      </c>
      <c r="K5" s="203">
        <v>95</v>
      </c>
      <c r="L5" s="212">
        <v>136.8</v>
      </c>
      <c r="M5" s="212">
        <v>133.1</v>
      </c>
      <c r="N5" s="212">
        <v>135</v>
      </c>
      <c r="O5" s="212">
        <v>126.7</v>
      </c>
      <c r="P5" s="212">
        <v>124.7</v>
      </c>
      <c r="Q5" s="212"/>
    </row>
    <row r="6" s="184" customFormat="1" customHeight="1" spans="1:17">
      <c r="A6" s="204">
        <v>42339</v>
      </c>
      <c r="B6" s="174" t="s">
        <v>66</v>
      </c>
      <c r="C6" s="205" t="s">
        <v>66</v>
      </c>
      <c r="D6" s="206">
        <v>-0.007</v>
      </c>
      <c r="E6" s="207"/>
      <c r="F6" s="170">
        <v>4</v>
      </c>
      <c r="G6" s="170" t="s">
        <v>69</v>
      </c>
      <c r="H6" s="170">
        <v>150</v>
      </c>
      <c r="I6" s="170">
        <v>152</v>
      </c>
      <c r="J6" s="170">
        <v>140</v>
      </c>
      <c r="K6" s="170">
        <v>120</v>
      </c>
      <c r="L6" s="212">
        <v>171.6</v>
      </c>
      <c r="M6" s="212">
        <v>169</v>
      </c>
      <c r="N6" s="212">
        <v>172.4</v>
      </c>
      <c r="O6" s="212">
        <v>157.3</v>
      </c>
      <c r="P6" s="212">
        <v>132.1</v>
      </c>
      <c r="Q6" s="212">
        <v>121.4</v>
      </c>
    </row>
    <row r="7" customHeight="1" spans="1:17">
      <c r="A7" s="204">
        <v>42370</v>
      </c>
      <c r="B7" s="174" t="s">
        <v>66</v>
      </c>
      <c r="C7" s="205" t="s">
        <v>66</v>
      </c>
      <c r="D7" s="206">
        <v>-0.004</v>
      </c>
      <c r="F7" s="170">
        <v>5</v>
      </c>
      <c r="G7" s="170" t="s">
        <v>70</v>
      </c>
      <c r="H7" s="203">
        <v>346</v>
      </c>
      <c r="I7" s="203">
        <v>346</v>
      </c>
      <c r="J7" s="203">
        <v>243</v>
      </c>
      <c r="K7" s="203">
        <v>228</v>
      </c>
      <c r="L7" s="212">
        <v>402.61</v>
      </c>
      <c r="M7" s="212">
        <v>400.6</v>
      </c>
      <c r="N7" s="212">
        <v>397.8</v>
      </c>
      <c r="O7" s="212">
        <v>370.7</v>
      </c>
      <c r="P7" s="212">
        <v>372.96</v>
      </c>
      <c r="Q7" s="212"/>
    </row>
    <row r="8" customHeight="1" spans="1:17">
      <c r="A8" s="204">
        <v>42401</v>
      </c>
      <c r="B8" s="174" t="s">
        <v>66</v>
      </c>
      <c r="C8" s="205" t="s">
        <v>66</v>
      </c>
      <c r="D8" s="206">
        <v>-0.006</v>
      </c>
      <c r="F8" s="170">
        <v>6</v>
      </c>
      <c r="G8" s="170" t="s">
        <v>71</v>
      </c>
      <c r="H8" s="203">
        <v>0</v>
      </c>
      <c r="I8" s="203">
        <v>201</v>
      </c>
      <c r="J8" s="203">
        <v>168</v>
      </c>
      <c r="K8" s="203">
        <v>154</v>
      </c>
      <c r="L8" s="212">
        <v>187</v>
      </c>
      <c r="M8" s="212">
        <v>184</v>
      </c>
      <c r="N8" s="212">
        <v>194.5</v>
      </c>
      <c r="O8" s="212">
        <v>171.7</v>
      </c>
      <c r="P8" s="212">
        <v>174.7</v>
      </c>
      <c r="Q8" s="212"/>
    </row>
    <row r="9" customHeight="1" spans="1:18">
      <c r="A9" s="204">
        <v>42430</v>
      </c>
      <c r="B9" s="174" t="s">
        <v>66</v>
      </c>
      <c r="C9" s="205" t="s">
        <v>66</v>
      </c>
      <c r="D9" s="206">
        <v>0</v>
      </c>
      <c r="F9" s="170">
        <v>7</v>
      </c>
      <c r="G9" s="170" t="s">
        <v>72</v>
      </c>
      <c r="H9" s="203">
        <v>288</v>
      </c>
      <c r="I9" s="203">
        <v>275</v>
      </c>
      <c r="J9" s="203">
        <v>172</v>
      </c>
      <c r="K9" s="203">
        <v>177</v>
      </c>
      <c r="L9" s="212">
        <v>310.9</v>
      </c>
      <c r="M9" s="212">
        <v>289.1</v>
      </c>
      <c r="N9" s="212">
        <v>294.9</v>
      </c>
      <c r="O9" s="212">
        <v>287.8</v>
      </c>
      <c r="P9" s="212">
        <v>288.7</v>
      </c>
      <c r="Q9" s="212">
        <v>265.9</v>
      </c>
      <c r="R9"/>
    </row>
    <row r="10" customHeight="1" spans="1:19">
      <c r="A10" s="204">
        <v>42461</v>
      </c>
      <c r="B10" s="174" t="s">
        <v>66</v>
      </c>
      <c r="C10" s="205" t="s">
        <v>66</v>
      </c>
      <c r="D10" s="206">
        <v>0.003</v>
      </c>
      <c r="F10" s="170">
        <v>8</v>
      </c>
      <c r="G10" s="170" t="s">
        <v>73</v>
      </c>
      <c r="H10" s="203">
        <v>156</v>
      </c>
      <c r="I10" s="203">
        <v>145</v>
      </c>
      <c r="J10" s="203">
        <v>104</v>
      </c>
      <c r="K10" s="203">
        <v>97</v>
      </c>
      <c r="L10" s="212">
        <v>138.1</v>
      </c>
      <c r="M10" s="212">
        <v>131.6</v>
      </c>
      <c r="N10" s="212">
        <v>131.5</v>
      </c>
      <c r="O10" s="212">
        <v>125.5</v>
      </c>
      <c r="P10" s="212">
        <v>134.5</v>
      </c>
      <c r="Q10" s="212">
        <v>118.6</v>
      </c>
      <c r="S10"/>
    </row>
    <row r="11" customHeight="1" spans="1:17">
      <c r="A11" s="204">
        <v>42491</v>
      </c>
      <c r="B11" s="174" t="s">
        <v>66</v>
      </c>
      <c r="C11" s="205" t="s">
        <v>66</v>
      </c>
      <c r="D11" s="206">
        <v>-0.003</v>
      </c>
      <c r="F11" s="170">
        <v>9</v>
      </c>
      <c r="G11" s="170" t="s">
        <v>74</v>
      </c>
      <c r="H11" s="203">
        <v>157</v>
      </c>
      <c r="I11" s="203">
        <v>153</v>
      </c>
      <c r="J11" s="203">
        <v>124</v>
      </c>
      <c r="K11" s="203">
        <v>114</v>
      </c>
      <c r="L11" s="212">
        <v>135</v>
      </c>
      <c r="M11" s="212">
        <v>149.8</v>
      </c>
      <c r="N11" s="212">
        <v>157.3</v>
      </c>
      <c r="O11" s="212">
        <v>142.8</v>
      </c>
      <c r="P11" s="212">
        <v>141</v>
      </c>
      <c r="Q11" s="212"/>
    </row>
    <row r="12" customHeight="1" spans="1:17">
      <c r="A12" s="204">
        <v>42522</v>
      </c>
      <c r="B12" s="174" t="s">
        <v>66</v>
      </c>
      <c r="C12" s="205" t="s">
        <v>66</v>
      </c>
      <c r="D12" s="206">
        <v>0</v>
      </c>
      <c r="F12" s="170">
        <v>10</v>
      </c>
      <c r="G12" s="170" t="s">
        <v>75</v>
      </c>
      <c r="H12" s="203">
        <v>57</v>
      </c>
      <c r="I12" s="203">
        <v>55</v>
      </c>
      <c r="J12" s="203">
        <v>41</v>
      </c>
      <c r="K12" s="203">
        <v>35</v>
      </c>
      <c r="L12" s="212">
        <v>58.1</v>
      </c>
      <c r="M12" s="212">
        <v>69.31</v>
      </c>
      <c r="N12" s="212">
        <v>71.1</v>
      </c>
      <c r="O12" s="212">
        <v>65.1</v>
      </c>
      <c r="P12" s="212">
        <v>65.7</v>
      </c>
      <c r="Q12" s="212">
        <v>65.13</v>
      </c>
    </row>
    <row r="13" customHeight="1" spans="1:17">
      <c r="A13" s="204">
        <v>42552</v>
      </c>
      <c r="B13" s="174" t="s">
        <v>66</v>
      </c>
      <c r="C13" s="205" t="s">
        <v>66</v>
      </c>
      <c r="D13" s="206">
        <v>-0.002</v>
      </c>
      <c r="F13" s="170">
        <v>11</v>
      </c>
      <c r="G13" s="170" t="s">
        <v>76</v>
      </c>
      <c r="H13" s="203">
        <v>247</v>
      </c>
      <c r="I13" s="203">
        <v>236</v>
      </c>
      <c r="J13" s="203">
        <v>172</v>
      </c>
      <c r="K13" s="203">
        <v>235</v>
      </c>
      <c r="L13" s="212">
        <v>220.68</v>
      </c>
      <c r="M13" s="212">
        <v>248.2</v>
      </c>
      <c r="N13" s="212">
        <v>251.4</v>
      </c>
      <c r="O13" s="212">
        <v>236.8</v>
      </c>
      <c r="P13" s="212">
        <v>225.48</v>
      </c>
      <c r="Q13" s="212"/>
    </row>
    <row r="14" customHeight="1" spans="1:17">
      <c r="A14" s="204">
        <v>42583</v>
      </c>
      <c r="B14" s="174" t="s">
        <v>66</v>
      </c>
      <c r="C14" s="205" t="s">
        <v>66</v>
      </c>
      <c r="D14" s="206">
        <v>-0.006</v>
      </c>
      <c r="F14" s="170">
        <v>12</v>
      </c>
      <c r="G14" s="170" t="s">
        <v>77</v>
      </c>
      <c r="H14" s="203">
        <v>389</v>
      </c>
      <c r="I14" s="203">
        <v>310</v>
      </c>
      <c r="J14" s="203">
        <v>260</v>
      </c>
      <c r="K14" s="203">
        <v>246</v>
      </c>
      <c r="L14" s="212">
        <v>351.6</v>
      </c>
      <c r="M14" s="212">
        <v>368.1</v>
      </c>
      <c r="N14" s="212">
        <v>369.6</v>
      </c>
      <c r="O14" s="212">
        <v>350.1</v>
      </c>
      <c r="P14" s="212">
        <v>333.3</v>
      </c>
      <c r="Q14" s="212">
        <v>323.6</v>
      </c>
    </row>
    <row r="15" customHeight="1" spans="1:17">
      <c r="A15" s="204">
        <v>42614</v>
      </c>
      <c r="B15" s="174" t="s">
        <v>66</v>
      </c>
      <c r="C15" s="205" t="s">
        <v>66</v>
      </c>
      <c r="D15" s="206">
        <v>-0.005</v>
      </c>
      <c r="F15" s="170">
        <v>13</v>
      </c>
      <c r="G15" s="170" t="s">
        <v>78</v>
      </c>
      <c r="H15" s="203">
        <v>177</v>
      </c>
      <c r="I15" s="203">
        <v>169</v>
      </c>
      <c r="J15" s="203">
        <v>138</v>
      </c>
      <c r="K15" s="203">
        <v>117</v>
      </c>
      <c r="L15" s="212">
        <v>144.4</v>
      </c>
      <c r="M15" s="212">
        <v>161.7</v>
      </c>
      <c r="N15" s="212">
        <v>170</v>
      </c>
      <c r="O15" s="212">
        <v>163.2</v>
      </c>
      <c r="P15" s="212">
        <v>158</v>
      </c>
      <c r="Q15" s="212">
        <v>158.4</v>
      </c>
    </row>
    <row r="16" customHeight="1" spans="1:17">
      <c r="A16" s="204">
        <v>42644</v>
      </c>
      <c r="B16" s="174" t="s">
        <v>66</v>
      </c>
      <c r="C16" s="205" t="s">
        <v>66</v>
      </c>
      <c r="D16" s="206">
        <v>-0.002</v>
      </c>
      <c r="F16" s="170">
        <v>14</v>
      </c>
      <c r="G16" s="170" t="s">
        <v>79</v>
      </c>
      <c r="H16" s="170">
        <v>95</v>
      </c>
      <c r="I16" s="170">
        <v>93</v>
      </c>
      <c r="J16" s="170">
        <v>87</v>
      </c>
      <c r="K16" s="170">
        <v>87</v>
      </c>
      <c r="L16" s="212">
        <v>92.77</v>
      </c>
      <c r="M16" s="212">
        <v>95</v>
      </c>
      <c r="N16" s="212">
        <v>99.1</v>
      </c>
      <c r="O16" s="212">
        <v>94</v>
      </c>
      <c r="P16" s="212">
        <v>96.91</v>
      </c>
      <c r="Q16" s="212">
        <v>95.63</v>
      </c>
    </row>
    <row r="17" customHeight="1" spans="1:17">
      <c r="A17" s="204">
        <v>42675</v>
      </c>
      <c r="B17" s="174" t="s">
        <v>66</v>
      </c>
      <c r="C17" s="205" t="s">
        <v>66</v>
      </c>
      <c r="D17" s="206">
        <v>-0.005</v>
      </c>
      <c r="F17" s="170">
        <v>15</v>
      </c>
      <c r="G17" s="170" t="s">
        <v>80</v>
      </c>
      <c r="H17" s="203">
        <v>206</v>
      </c>
      <c r="I17" s="203">
        <v>203</v>
      </c>
      <c r="J17" s="203">
        <v>159</v>
      </c>
      <c r="K17" s="203">
        <v>134</v>
      </c>
      <c r="L17" s="212">
        <v>184.7</v>
      </c>
      <c r="M17" s="212">
        <v>191.2</v>
      </c>
      <c r="N17" s="212">
        <v>204.37</v>
      </c>
      <c r="O17" s="212">
        <v>195.79</v>
      </c>
      <c r="P17" s="212">
        <v>204.89</v>
      </c>
      <c r="Q17" s="212">
        <v>203.34</v>
      </c>
    </row>
    <row r="18" customHeight="1" spans="1:17">
      <c r="A18" s="204">
        <v>42705</v>
      </c>
      <c r="B18" s="174" t="s">
        <v>66</v>
      </c>
      <c r="C18" s="205" t="s">
        <v>66</v>
      </c>
      <c r="D18" s="206">
        <v>-0.005</v>
      </c>
      <c r="F18" s="170">
        <v>16</v>
      </c>
      <c r="G18" s="170" t="s">
        <v>81</v>
      </c>
      <c r="H18" s="203">
        <v>186</v>
      </c>
      <c r="I18" s="203">
        <v>0</v>
      </c>
      <c r="J18" s="203">
        <v>0</v>
      </c>
      <c r="K18" s="203">
        <v>127</v>
      </c>
      <c r="L18" s="212">
        <v>211.5</v>
      </c>
      <c r="M18" s="212">
        <v>221.01</v>
      </c>
      <c r="N18" s="212">
        <v>223.52</v>
      </c>
      <c r="O18" s="212">
        <v>221.29</v>
      </c>
      <c r="P18" s="212">
        <v>226.82</v>
      </c>
      <c r="Q18" s="212"/>
    </row>
    <row r="19" customHeight="1" spans="1:17">
      <c r="A19" s="204">
        <v>42736</v>
      </c>
      <c r="B19" s="174" t="s">
        <v>66</v>
      </c>
      <c r="C19" s="205" t="s">
        <v>66</v>
      </c>
      <c r="D19" s="206">
        <v>-0.004</v>
      </c>
      <c r="F19" s="170">
        <v>17</v>
      </c>
      <c r="G19" s="170" t="s">
        <v>82</v>
      </c>
      <c r="H19" s="203">
        <v>366</v>
      </c>
      <c r="I19" s="203">
        <v>359</v>
      </c>
      <c r="J19" s="203">
        <v>262</v>
      </c>
      <c r="K19" s="203">
        <v>287</v>
      </c>
      <c r="L19" s="212">
        <v>372.1</v>
      </c>
      <c r="M19" s="212">
        <v>405.2</v>
      </c>
      <c r="N19" s="212">
        <v>398</v>
      </c>
      <c r="O19" s="212">
        <v>369</v>
      </c>
      <c r="P19" s="212">
        <v>360.5</v>
      </c>
      <c r="Q19" s="212">
        <v>360.8</v>
      </c>
    </row>
    <row r="20" customHeight="1" spans="1:17">
      <c r="A20" s="204">
        <v>42767</v>
      </c>
      <c r="B20" s="174" t="s">
        <v>66</v>
      </c>
      <c r="C20" s="205" t="s">
        <v>66</v>
      </c>
      <c r="D20" s="206">
        <v>-0.005</v>
      </c>
      <c r="F20" s="170">
        <v>18</v>
      </c>
      <c r="G20" s="170" t="s">
        <v>83</v>
      </c>
      <c r="H20" s="203">
        <v>101</v>
      </c>
      <c r="I20" s="203">
        <v>101</v>
      </c>
      <c r="J20" s="203">
        <v>91</v>
      </c>
      <c r="K20" s="203">
        <v>98</v>
      </c>
      <c r="L20" s="212">
        <v>135.1</v>
      </c>
      <c r="M20" s="212">
        <v>143</v>
      </c>
      <c r="N20" s="212">
        <v>137.54</v>
      </c>
      <c r="O20" s="212">
        <v>131.7</v>
      </c>
      <c r="P20" s="212">
        <v>138.99</v>
      </c>
      <c r="Q20" s="212"/>
    </row>
    <row r="21" customHeight="1" spans="1:17">
      <c r="A21" s="204">
        <v>42795</v>
      </c>
      <c r="B21" s="174" t="s">
        <v>66</v>
      </c>
      <c r="C21" s="205" t="s">
        <v>66</v>
      </c>
      <c r="D21" s="208">
        <v>0</v>
      </c>
      <c r="F21" s="170">
        <v>19</v>
      </c>
      <c r="G21" s="170" t="s">
        <v>84</v>
      </c>
      <c r="H21" s="203">
        <v>266</v>
      </c>
      <c r="I21" s="203">
        <v>187</v>
      </c>
      <c r="J21" s="203">
        <v>252</v>
      </c>
      <c r="K21" s="203">
        <v>133</v>
      </c>
      <c r="L21" s="212">
        <v>271.13</v>
      </c>
      <c r="M21" s="212">
        <v>300.95</v>
      </c>
      <c r="N21" s="212">
        <v>302.16</v>
      </c>
      <c r="O21" s="212">
        <v>284.6</v>
      </c>
      <c r="P21" s="212">
        <v>274.9</v>
      </c>
      <c r="Q21" s="212"/>
    </row>
    <row r="22" customHeight="1" spans="1:17">
      <c r="A22" s="204">
        <v>42826</v>
      </c>
      <c r="B22" s="174" t="s">
        <v>66</v>
      </c>
      <c r="C22" s="205" t="s">
        <v>66</v>
      </c>
      <c r="D22" s="208">
        <v>0</v>
      </c>
      <c r="F22" s="170">
        <v>20</v>
      </c>
      <c r="G22" s="170" t="s">
        <v>85</v>
      </c>
      <c r="H22" s="170" t="s">
        <v>86</v>
      </c>
      <c r="I22" s="170" t="s">
        <v>86</v>
      </c>
      <c r="J22" s="170" t="s">
        <v>86</v>
      </c>
      <c r="K22" s="170" t="s">
        <v>86</v>
      </c>
      <c r="L22" s="212">
        <v>109.3</v>
      </c>
      <c r="M22" s="212">
        <v>116.1</v>
      </c>
      <c r="N22" s="212">
        <v>118.2</v>
      </c>
      <c r="O22" s="212">
        <v>115.6</v>
      </c>
      <c r="P22" s="212">
        <v>101.2</v>
      </c>
      <c r="Q22" s="212"/>
    </row>
    <row r="23" customHeight="1" spans="1:17">
      <c r="A23" s="204">
        <v>42857</v>
      </c>
      <c r="B23" s="174" t="s">
        <v>66</v>
      </c>
      <c r="C23" s="205" t="s">
        <v>66</v>
      </c>
      <c r="D23" s="206">
        <v>-0.008</v>
      </c>
      <c r="F23" s="170">
        <v>21</v>
      </c>
      <c r="G23" s="170" t="s">
        <v>87</v>
      </c>
      <c r="H23" s="170" t="s">
        <v>86</v>
      </c>
      <c r="I23" s="170" t="s">
        <v>86</v>
      </c>
      <c r="J23" s="170" t="s">
        <v>86</v>
      </c>
      <c r="K23" s="170" t="s">
        <v>86</v>
      </c>
      <c r="L23" s="212">
        <v>64.1</v>
      </c>
      <c r="M23" s="212">
        <v>71.42</v>
      </c>
      <c r="N23" s="212">
        <v>76.8</v>
      </c>
      <c r="O23" s="212">
        <v>74.1</v>
      </c>
      <c r="P23" s="212">
        <v>76.1</v>
      </c>
      <c r="Q23" s="212"/>
    </row>
    <row r="24" customHeight="1" spans="1:17">
      <c r="A24" s="204">
        <v>42888</v>
      </c>
      <c r="B24" s="174" t="s">
        <v>66</v>
      </c>
      <c r="C24" s="205" t="s">
        <v>66</v>
      </c>
      <c r="D24" s="206">
        <v>-0.005</v>
      </c>
      <c r="F24" s="170">
        <v>22</v>
      </c>
      <c r="G24" s="170" t="s">
        <v>88</v>
      </c>
      <c r="H24" s="170" t="s">
        <v>86</v>
      </c>
      <c r="I24" s="170" t="s">
        <v>86</v>
      </c>
      <c r="J24" s="170" t="s">
        <v>86</v>
      </c>
      <c r="K24" s="170" t="s">
        <v>86</v>
      </c>
      <c r="L24" s="212">
        <v>81.9</v>
      </c>
      <c r="M24" s="212">
        <v>85.07</v>
      </c>
      <c r="N24" s="212">
        <v>85.5</v>
      </c>
      <c r="O24" s="212">
        <v>83.6</v>
      </c>
      <c r="P24" s="212">
        <v>78.5</v>
      </c>
      <c r="Q24" s="212">
        <v>69.3</v>
      </c>
    </row>
    <row r="25" customHeight="1" spans="1:17">
      <c r="A25" s="204">
        <v>42919</v>
      </c>
      <c r="B25" s="174" t="s">
        <v>66</v>
      </c>
      <c r="C25" s="205" t="s">
        <v>66</v>
      </c>
      <c r="D25" s="206">
        <v>-0.009</v>
      </c>
      <c r="F25" s="170">
        <v>23</v>
      </c>
      <c r="G25" s="170" t="s">
        <v>89</v>
      </c>
      <c r="H25" s="170" t="s">
        <v>86</v>
      </c>
      <c r="I25" s="170" t="s">
        <v>86</v>
      </c>
      <c r="J25" s="170" t="s">
        <v>86</v>
      </c>
      <c r="K25" s="170" t="s">
        <v>86</v>
      </c>
      <c r="L25" s="212">
        <v>9.43</v>
      </c>
      <c r="M25" s="212">
        <v>9.08</v>
      </c>
      <c r="N25" s="212">
        <v>6.9</v>
      </c>
      <c r="O25" s="212">
        <v>5.9</v>
      </c>
      <c r="P25" s="212">
        <v>5.9</v>
      </c>
      <c r="Q25" s="212"/>
    </row>
    <row r="26" customHeight="1" spans="1:17">
      <c r="A26" s="204">
        <v>42951</v>
      </c>
      <c r="B26" s="174" t="s">
        <v>66</v>
      </c>
      <c r="C26" s="205" t="s">
        <v>66</v>
      </c>
      <c r="D26" s="206">
        <v>-0.009</v>
      </c>
      <c r="F26" s="170">
        <v>24</v>
      </c>
      <c r="G26" s="170" t="s">
        <v>90</v>
      </c>
      <c r="H26" s="170" t="s">
        <v>86</v>
      </c>
      <c r="I26" s="170" t="s">
        <v>86</v>
      </c>
      <c r="J26" s="170" t="s">
        <v>86</v>
      </c>
      <c r="K26" s="170" t="s">
        <v>86</v>
      </c>
      <c r="L26" s="212">
        <v>52.2</v>
      </c>
      <c r="M26" s="212">
        <v>48.1</v>
      </c>
      <c r="N26" s="212">
        <v>52.2</v>
      </c>
      <c r="O26" s="212">
        <v>51.8</v>
      </c>
      <c r="P26" s="212">
        <v>49.8</v>
      </c>
      <c r="Q26" s="212">
        <v>46.87</v>
      </c>
    </row>
    <row r="27" customHeight="1" spans="1:17">
      <c r="A27" s="204">
        <v>42983</v>
      </c>
      <c r="B27" s="174" t="s">
        <v>66</v>
      </c>
      <c r="C27" s="205" t="s">
        <v>66</v>
      </c>
      <c r="D27" s="206">
        <v>-0.007</v>
      </c>
      <c r="F27" s="170">
        <v>25</v>
      </c>
      <c r="G27" s="170" t="s">
        <v>91</v>
      </c>
      <c r="H27" s="170" t="s">
        <v>86</v>
      </c>
      <c r="I27" s="170" t="s">
        <v>86</v>
      </c>
      <c r="J27" s="170" t="s">
        <v>86</v>
      </c>
      <c r="K27" s="170" t="s">
        <v>86</v>
      </c>
      <c r="L27" s="212">
        <v>10.1</v>
      </c>
      <c r="M27" s="212">
        <v>13.7</v>
      </c>
      <c r="N27" s="212">
        <v>12.4</v>
      </c>
      <c r="O27" s="212">
        <v>11.6</v>
      </c>
      <c r="P27" s="212">
        <v>10.4</v>
      </c>
      <c r="Q27" s="212"/>
    </row>
    <row r="28" customHeight="1" spans="1:17">
      <c r="A28" s="204">
        <v>43015</v>
      </c>
      <c r="B28" s="174" t="s">
        <v>66</v>
      </c>
      <c r="C28" s="205" t="s">
        <v>66</v>
      </c>
      <c r="D28" s="206">
        <v>-0.003</v>
      </c>
      <c r="F28" s="170">
        <v>26</v>
      </c>
      <c r="G28" s="170" t="s">
        <v>92</v>
      </c>
      <c r="H28" s="170"/>
      <c r="I28" s="170"/>
      <c r="J28" s="170"/>
      <c r="K28" s="170"/>
      <c r="L28" s="212">
        <v>19.1</v>
      </c>
      <c r="M28" s="212">
        <v>18.7</v>
      </c>
      <c r="N28" s="212">
        <v>19.2</v>
      </c>
      <c r="O28" s="212">
        <v>15.4</v>
      </c>
      <c r="P28" s="212">
        <v>17</v>
      </c>
      <c r="Q28" s="212"/>
    </row>
    <row r="29" customHeight="1" spans="1:17">
      <c r="A29" s="204">
        <v>43047</v>
      </c>
      <c r="B29" s="174" t="s">
        <v>66</v>
      </c>
      <c r="C29" s="205" t="s">
        <v>66</v>
      </c>
      <c r="D29" s="209">
        <v>-0.006</v>
      </c>
      <c r="F29" s="210" t="s">
        <v>93</v>
      </c>
      <c r="G29" s="210"/>
      <c r="H29" s="210">
        <v>3662</v>
      </c>
      <c r="I29" s="210">
        <v>3424</v>
      </c>
      <c r="J29" s="210">
        <v>2988</v>
      </c>
      <c r="K29" s="210">
        <v>2045</v>
      </c>
      <c r="L29" s="210">
        <v>4161</v>
      </c>
      <c r="M29" s="213">
        <v>4329</v>
      </c>
      <c r="N29" s="213">
        <v>4390</v>
      </c>
      <c r="O29" s="213">
        <v>4142</v>
      </c>
      <c r="P29" s="213">
        <v>4078</v>
      </c>
      <c r="Q29" s="213">
        <v>3961</v>
      </c>
    </row>
    <row r="30" customHeight="1" spans="1:17">
      <c r="A30" s="204">
        <v>43079</v>
      </c>
      <c r="B30" s="174" t="s">
        <v>66</v>
      </c>
      <c r="C30" s="205" t="s">
        <v>66</v>
      </c>
      <c r="D30" s="209">
        <v>-0.012</v>
      </c>
      <c r="F30" s="211"/>
      <c r="G30" s="211"/>
      <c r="H30" s="211" t="s">
        <v>94</v>
      </c>
      <c r="I30" s="211"/>
      <c r="J30" s="211"/>
      <c r="K30" s="211"/>
      <c r="L30" s="214" t="s">
        <v>95</v>
      </c>
      <c r="M30" s="215"/>
      <c r="N30" s="215"/>
      <c r="O30" s="215"/>
      <c r="P30" s="215"/>
      <c r="Q30" s="216"/>
    </row>
    <row r="31" customHeight="1" spans="1:14">
      <c r="A31" s="204">
        <v>43111</v>
      </c>
      <c r="B31" s="174" t="s">
        <v>66</v>
      </c>
      <c r="C31" s="205" t="s">
        <v>66</v>
      </c>
      <c r="D31" s="209">
        <v>-0.003</v>
      </c>
      <c r="F31" s="189" t="s">
        <v>96</v>
      </c>
      <c r="G31" s="189"/>
      <c r="H31" s="189"/>
      <c r="I31" s="189"/>
      <c r="J31" s="189"/>
      <c r="K31" s="189"/>
      <c r="L31" s="189"/>
      <c r="M31" s="189"/>
      <c r="N31" s="189"/>
    </row>
    <row r="32" customHeight="1" spans="1:4">
      <c r="A32" s="204">
        <v>43143</v>
      </c>
      <c r="B32" s="174" t="s">
        <v>66</v>
      </c>
      <c r="C32" s="205" t="s">
        <v>66</v>
      </c>
      <c r="D32" s="209">
        <v>0</v>
      </c>
    </row>
    <row r="33" customHeight="1" spans="1:4">
      <c r="A33" s="204">
        <v>43175</v>
      </c>
      <c r="B33" s="174" t="s">
        <v>66</v>
      </c>
      <c r="C33" s="205" t="s">
        <v>66</v>
      </c>
      <c r="D33" s="209">
        <v>0.001</v>
      </c>
    </row>
    <row r="34" customHeight="1" spans="1:4">
      <c r="A34" s="204">
        <v>43207</v>
      </c>
      <c r="B34" s="174" t="s">
        <v>66</v>
      </c>
      <c r="C34" s="205" t="s">
        <v>66</v>
      </c>
      <c r="D34" s="209">
        <v>-0.014</v>
      </c>
    </row>
    <row r="35" customHeight="1" spans="1:4">
      <c r="A35" s="204">
        <v>43239</v>
      </c>
      <c r="B35" s="174" t="s">
        <v>66</v>
      </c>
      <c r="C35" s="205" t="s">
        <v>66</v>
      </c>
      <c r="D35" s="209">
        <v>-0.025</v>
      </c>
    </row>
    <row r="36" customHeight="1" spans="1:4">
      <c r="A36" s="204">
        <v>43252</v>
      </c>
      <c r="B36" s="174" t="s">
        <v>66</v>
      </c>
      <c r="C36" s="205" t="s">
        <v>66</v>
      </c>
      <c r="D36" s="209">
        <v>-0.013</v>
      </c>
    </row>
    <row r="37" customHeight="1" spans="1:4">
      <c r="A37" s="204">
        <v>43282</v>
      </c>
      <c r="B37" s="174" t="s">
        <v>66</v>
      </c>
      <c r="C37" s="205" t="s">
        <v>66</v>
      </c>
      <c r="D37" s="209">
        <v>-0.019</v>
      </c>
    </row>
    <row r="38" customHeight="1" spans="1:4">
      <c r="A38" s="204">
        <v>43313</v>
      </c>
      <c r="B38" s="174" t="s">
        <v>66</v>
      </c>
      <c r="C38" s="205" t="s">
        <v>66</v>
      </c>
      <c r="D38" s="209">
        <v>-0.011</v>
      </c>
    </row>
    <row r="39" customHeight="1" spans="1:4">
      <c r="A39" s="204">
        <v>43344</v>
      </c>
      <c r="B39" s="174" t="s">
        <v>66</v>
      </c>
      <c r="C39" s="205" t="s">
        <v>66</v>
      </c>
      <c r="D39" s="209">
        <v>-0.003</v>
      </c>
    </row>
    <row r="40" customHeight="1" spans="1:4">
      <c r="A40" s="204">
        <v>43374</v>
      </c>
      <c r="B40" s="174" t="s">
        <v>66</v>
      </c>
      <c r="C40" s="205" t="s">
        <v>66</v>
      </c>
      <c r="D40" s="209">
        <v>-0.012</v>
      </c>
    </row>
    <row r="41" customHeight="1" spans="1:4">
      <c r="A41" s="204">
        <v>43405</v>
      </c>
      <c r="B41" s="174" t="s">
        <v>66</v>
      </c>
      <c r="C41" s="205" t="s">
        <v>66</v>
      </c>
      <c r="D41" s="209">
        <v>-0.013</v>
      </c>
    </row>
    <row r="42" customHeight="1" spans="1:4">
      <c r="A42" s="204">
        <v>43435</v>
      </c>
      <c r="B42" s="174" t="s">
        <v>66</v>
      </c>
      <c r="C42" s="205" t="s">
        <v>66</v>
      </c>
      <c r="D42" s="209">
        <v>-0.023</v>
      </c>
    </row>
    <row r="43" customHeight="1" spans="1:4">
      <c r="A43" s="204">
        <v>43466</v>
      </c>
      <c r="B43" s="174" t="s">
        <v>66</v>
      </c>
      <c r="C43" s="205" t="s">
        <v>66</v>
      </c>
      <c r="D43" s="209">
        <v>-0.0356</v>
      </c>
    </row>
    <row r="44" customHeight="1" spans="1:4">
      <c r="A44" s="204">
        <v>43497</v>
      </c>
      <c r="B44" s="174" t="s">
        <v>66</v>
      </c>
      <c r="C44" s="205" t="s">
        <v>66</v>
      </c>
      <c r="D44" s="209">
        <v>-0.05</v>
      </c>
    </row>
    <row r="45" customHeight="1" spans="1:4">
      <c r="A45" s="204">
        <v>43525</v>
      </c>
      <c r="B45" s="174" t="s">
        <v>66</v>
      </c>
      <c r="C45" s="205" t="s">
        <v>66</v>
      </c>
      <c r="D45" s="206">
        <v>-0.023</v>
      </c>
    </row>
    <row r="46" customHeight="1" spans="1:4">
      <c r="A46" s="204">
        <v>43556</v>
      </c>
      <c r="B46" s="174" t="s">
        <v>66</v>
      </c>
      <c r="C46" s="205" t="s">
        <v>66</v>
      </c>
      <c r="D46" s="209">
        <v>-0.025</v>
      </c>
    </row>
    <row r="47" customHeight="1" spans="1:4">
      <c r="A47" s="204">
        <v>43586</v>
      </c>
      <c r="B47" s="174" t="s">
        <v>66</v>
      </c>
      <c r="C47" s="205" t="s">
        <v>66</v>
      </c>
      <c r="D47" s="209">
        <v>-0.041</v>
      </c>
    </row>
    <row r="48" customHeight="1" spans="1:4">
      <c r="A48" s="204">
        <v>43617</v>
      </c>
      <c r="B48" s="174" t="s">
        <v>66</v>
      </c>
      <c r="C48" s="205" t="s">
        <v>66</v>
      </c>
      <c r="D48" s="209">
        <v>-0.05</v>
      </c>
    </row>
    <row r="49" customHeight="1" spans="1:4">
      <c r="A49" s="204">
        <v>43647</v>
      </c>
      <c r="B49" s="174" t="s">
        <v>66</v>
      </c>
      <c r="C49" s="205" t="s">
        <v>66</v>
      </c>
      <c r="D49" s="209">
        <v>-0.089</v>
      </c>
    </row>
    <row r="50" customHeight="1" spans="1:4">
      <c r="A50" s="204">
        <v>43678</v>
      </c>
      <c r="B50" s="174" t="s">
        <v>66</v>
      </c>
      <c r="C50" s="205" t="s">
        <v>66</v>
      </c>
      <c r="D50" s="209">
        <v>-0.091</v>
      </c>
    </row>
    <row r="51" customHeight="1" spans="1:4">
      <c r="A51" s="204">
        <v>43709</v>
      </c>
      <c r="B51" s="174" t="s">
        <v>66</v>
      </c>
      <c r="C51" s="205" t="s">
        <v>66</v>
      </c>
      <c r="D51" s="209">
        <v>-0.028</v>
      </c>
    </row>
    <row r="52" customHeight="1" spans="1:4">
      <c r="A52" s="204">
        <v>43739</v>
      </c>
      <c r="B52" s="174" t="s">
        <v>66</v>
      </c>
      <c r="C52" s="205" t="s">
        <v>66</v>
      </c>
      <c r="D52" s="206">
        <v>0.006</v>
      </c>
    </row>
    <row r="53" customHeight="1" spans="1:4">
      <c r="A53" s="204">
        <v>43770</v>
      </c>
      <c r="B53" s="174" t="s">
        <v>66</v>
      </c>
      <c r="C53" s="205" t="s">
        <v>66</v>
      </c>
      <c r="D53" s="209">
        <v>0.04</v>
      </c>
    </row>
    <row r="54" customHeight="1" spans="1:4">
      <c r="A54" s="204">
        <v>43800</v>
      </c>
      <c r="B54" s="174" t="s">
        <v>66</v>
      </c>
      <c r="C54" s="205" t="s">
        <v>66</v>
      </c>
      <c r="D54" s="206">
        <v>0.022</v>
      </c>
    </row>
    <row r="55" customHeight="1" spans="1:4">
      <c r="A55" s="204">
        <v>43831</v>
      </c>
      <c r="B55" s="174" t="s">
        <v>66</v>
      </c>
      <c r="C55" s="205" t="s">
        <v>66</v>
      </c>
      <c r="D55" s="206">
        <v>0.012</v>
      </c>
    </row>
    <row r="56" customHeight="1" spans="1:4">
      <c r="A56" s="204">
        <v>43862</v>
      </c>
      <c r="B56" s="174" t="s">
        <v>66</v>
      </c>
      <c r="C56" s="205" t="s">
        <v>66</v>
      </c>
      <c r="D56" s="206">
        <v>0.017</v>
      </c>
    </row>
    <row r="57" customHeight="1" spans="1:4">
      <c r="A57" s="204">
        <v>43891</v>
      </c>
      <c r="B57" s="174" t="s">
        <v>66</v>
      </c>
      <c r="C57" s="205" t="s">
        <v>66</v>
      </c>
      <c r="D57" s="206">
        <v>0.028</v>
      </c>
    </row>
    <row r="58" customHeight="1" spans="1:4">
      <c r="A58" s="204">
        <v>43922</v>
      </c>
      <c r="B58" s="174" t="s">
        <v>66</v>
      </c>
      <c r="C58" s="205" t="s">
        <v>66</v>
      </c>
      <c r="D58" s="206">
        <v>0.025</v>
      </c>
    </row>
    <row r="59" customHeight="1" spans="1:4">
      <c r="A59" s="204">
        <v>43952</v>
      </c>
      <c r="B59" s="174" t="s">
        <v>66</v>
      </c>
      <c r="C59" s="205" t="s">
        <v>66</v>
      </c>
      <c r="D59" s="206">
        <v>0.039</v>
      </c>
    </row>
    <row r="60" customHeight="1" spans="1:4">
      <c r="A60" s="204">
        <v>43983</v>
      </c>
      <c r="B60" s="174" t="s">
        <v>66</v>
      </c>
      <c r="C60" s="205" t="s">
        <v>66</v>
      </c>
      <c r="D60" s="206">
        <v>0.0594</v>
      </c>
    </row>
    <row r="61" customHeight="1" spans="1:4">
      <c r="A61" s="204">
        <v>44013</v>
      </c>
      <c r="B61" s="174" t="s">
        <v>66</v>
      </c>
      <c r="C61" s="205" t="s">
        <v>66</v>
      </c>
      <c r="D61" s="206">
        <v>0.04</v>
      </c>
    </row>
    <row r="62" customHeight="1" spans="1:4">
      <c r="A62" s="204">
        <v>44044</v>
      </c>
      <c r="B62" s="174" t="s">
        <v>66</v>
      </c>
      <c r="C62" s="205" t="s">
        <v>66</v>
      </c>
      <c r="D62" s="206">
        <v>0.035</v>
      </c>
    </row>
    <row r="63" customHeight="1" spans="1:4">
      <c r="A63" s="204">
        <v>44075</v>
      </c>
      <c r="B63" s="174" t="s">
        <v>66</v>
      </c>
      <c r="C63" s="205" t="s">
        <v>66</v>
      </c>
      <c r="D63" s="206">
        <v>0.035</v>
      </c>
    </row>
    <row r="64" customHeight="1" spans="1:4">
      <c r="A64" s="204">
        <v>44105</v>
      </c>
      <c r="B64" s="174" t="s">
        <v>66</v>
      </c>
      <c r="C64" s="205" t="s">
        <v>66</v>
      </c>
      <c r="D64" s="206">
        <v>0.031</v>
      </c>
    </row>
    <row r="65" customHeight="1" spans="1:4">
      <c r="A65" s="204">
        <v>44136</v>
      </c>
      <c r="B65" s="217">
        <v>3950</v>
      </c>
      <c r="C65" s="218">
        <v>0.32</v>
      </c>
      <c r="D65" s="206">
        <v>0.038</v>
      </c>
    </row>
    <row r="66" customHeight="1" spans="1:4">
      <c r="A66" s="204">
        <v>44166</v>
      </c>
      <c r="B66" s="174">
        <v>4161</v>
      </c>
      <c r="C66" s="205" t="s">
        <v>66</v>
      </c>
      <c r="D66" s="206">
        <v>0.015</v>
      </c>
    </row>
    <row r="67" customHeight="1" spans="1:4">
      <c r="A67" s="204">
        <v>44197</v>
      </c>
      <c r="B67" s="174">
        <v>4206</v>
      </c>
      <c r="C67" s="205" t="s">
        <v>66</v>
      </c>
      <c r="D67" s="206">
        <v>0.011</v>
      </c>
    </row>
    <row r="68" customHeight="1" spans="1:4">
      <c r="A68" s="204">
        <v>44228</v>
      </c>
      <c r="B68" s="174">
        <v>4248</v>
      </c>
      <c r="C68" s="205" t="s">
        <v>66</v>
      </c>
      <c r="D68" s="206">
        <v>0.01</v>
      </c>
    </row>
    <row r="69" customHeight="1" spans="1:4">
      <c r="A69" s="204">
        <v>44256</v>
      </c>
      <c r="B69" s="174">
        <v>4318</v>
      </c>
      <c r="C69" s="218">
        <v>0.453</v>
      </c>
      <c r="D69" s="206">
        <v>0.016</v>
      </c>
    </row>
    <row r="70" customHeight="1" spans="1:4">
      <c r="A70" s="204">
        <v>44287</v>
      </c>
      <c r="B70" s="174">
        <v>4364</v>
      </c>
      <c r="C70" s="218">
        <v>0.399</v>
      </c>
      <c r="D70" s="206">
        <v>0.011</v>
      </c>
    </row>
    <row r="71" s="185" customFormat="1" customHeight="1" spans="1:14">
      <c r="A71" s="204">
        <v>44317</v>
      </c>
      <c r="B71" s="174">
        <v>4564</v>
      </c>
      <c r="C71" s="218">
        <v>0.357</v>
      </c>
      <c r="D71" s="206">
        <v>0.008</v>
      </c>
      <c r="E71" s="219"/>
      <c r="F71" s="189"/>
      <c r="G71" s="162"/>
      <c r="H71" s="162"/>
      <c r="I71" s="162"/>
      <c r="J71" s="162"/>
      <c r="K71" s="162"/>
      <c r="L71" s="162"/>
      <c r="M71" s="162"/>
      <c r="N71" s="162"/>
    </row>
    <row r="72" customHeight="1" spans="1:4">
      <c r="A72" s="204">
        <v>44348</v>
      </c>
      <c r="B72" s="174">
        <v>4564</v>
      </c>
      <c r="C72" s="220">
        <v>0.301</v>
      </c>
      <c r="D72" s="206">
        <v>0</v>
      </c>
    </row>
    <row r="73" customHeight="1" spans="1:4">
      <c r="A73" s="204">
        <v>44378</v>
      </c>
      <c r="B73" s="174">
        <v>4540</v>
      </c>
      <c r="C73" s="218">
        <v>0.245</v>
      </c>
      <c r="D73" s="206">
        <v>-0.005</v>
      </c>
    </row>
    <row r="74" s="186" customFormat="1" customHeight="1" spans="1:14">
      <c r="A74" s="204">
        <v>44409</v>
      </c>
      <c r="B74" s="174">
        <v>4542</v>
      </c>
      <c r="C74" s="218">
        <v>0.192</v>
      </c>
      <c r="D74" s="206">
        <v>-0.009</v>
      </c>
      <c r="F74" s="189"/>
      <c r="G74" s="162"/>
      <c r="H74" s="162"/>
      <c r="I74" s="162"/>
      <c r="J74" s="162"/>
      <c r="K74" s="162"/>
      <c r="L74" s="162"/>
      <c r="M74" s="162"/>
      <c r="N74" s="162"/>
    </row>
    <row r="75" customHeight="1" spans="1:4">
      <c r="A75" s="204">
        <v>44440</v>
      </c>
      <c r="B75" s="174">
        <v>4459</v>
      </c>
      <c r="C75" s="218">
        <v>0.167</v>
      </c>
      <c r="D75" s="221">
        <v>-0.0091</v>
      </c>
    </row>
    <row r="76" customHeight="1" spans="1:4">
      <c r="A76" s="204">
        <v>44470</v>
      </c>
      <c r="B76" s="174">
        <v>4348</v>
      </c>
      <c r="C76" s="218">
        <v>0.066</v>
      </c>
      <c r="D76" s="206">
        <v>-0.025</v>
      </c>
    </row>
    <row r="77" customHeight="1" spans="1:4">
      <c r="A77" s="204">
        <v>44501</v>
      </c>
      <c r="B77" s="174">
        <v>4296</v>
      </c>
      <c r="C77" s="218">
        <v>0.047</v>
      </c>
      <c r="D77" s="206">
        <v>-0.012</v>
      </c>
    </row>
    <row r="78" customHeight="1" spans="1:4">
      <c r="A78" s="204">
        <v>44531</v>
      </c>
      <c r="B78" s="174">
        <v>4329</v>
      </c>
      <c r="C78" s="218">
        <v>0.04</v>
      </c>
      <c r="D78" s="221">
        <v>0.0077</v>
      </c>
    </row>
    <row r="79" customHeight="1" spans="1:4">
      <c r="A79" s="204">
        <v>44562</v>
      </c>
      <c r="B79" s="174">
        <v>4290</v>
      </c>
      <c r="C79" s="218">
        <v>0.02</v>
      </c>
      <c r="D79" s="206">
        <v>-0.009</v>
      </c>
    </row>
    <row r="80" customHeight="1" spans="1:4">
      <c r="A80" s="204">
        <v>44593</v>
      </c>
      <c r="B80" s="174">
        <v>4268</v>
      </c>
      <c r="C80" s="218">
        <v>0.005</v>
      </c>
      <c r="D80" s="206">
        <v>-0.005</v>
      </c>
    </row>
    <row r="81" customHeight="1" spans="1:4">
      <c r="A81" s="204">
        <v>44621</v>
      </c>
      <c r="B81" s="174">
        <v>4185</v>
      </c>
      <c r="C81" s="218">
        <v>-0.031</v>
      </c>
      <c r="D81" s="206">
        <v>-0.0194</v>
      </c>
    </row>
    <row r="82" customHeight="1" spans="1:4">
      <c r="A82" s="204">
        <v>44652</v>
      </c>
      <c r="B82" s="174">
        <v>4177</v>
      </c>
      <c r="C82" s="206">
        <v>-0.043</v>
      </c>
      <c r="D82" s="206">
        <v>-0.002</v>
      </c>
    </row>
    <row r="83" customHeight="1" spans="1:4">
      <c r="A83" s="204">
        <v>44682</v>
      </c>
      <c r="B83" s="174">
        <v>4192</v>
      </c>
      <c r="C83" s="206">
        <v>-0.081</v>
      </c>
      <c r="D83" s="206">
        <v>0.004</v>
      </c>
    </row>
    <row r="84" customHeight="1" spans="1:4">
      <c r="A84" s="204">
        <v>44713</v>
      </c>
      <c r="B84" s="174">
        <v>4277</v>
      </c>
      <c r="C84" s="206">
        <v>-0.063</v>
      </c>
      <c r="D84" s="206">
        <v>0.0203</v>
      </c>
    </row>
    <row r="85" customHeight="1" spans="1:4">
      <c r="A85" s="204">
        <v>44743</v>
      </c>
      <c r="B85" s="174">
        <v>4298</v>
      </c>
      <c r="C85" s="206">
        <v>-0.053</v>
      </c>
      <c r="D85" s="206">
        <v>0.005</v>
      </c>
    </row>
    <row r="86" customHeight="1" spans="1:4">
      <c r="A86" s="204">
        <v>44774</v>
      </c>
      <c r="B86" s="174">
        <v>4324</v>
      </c>
      <c r="C86" s="206">
        <v>-0.048</v>
      </c>
      <c r="D86" s="206">
        <v>0.006</v>
      </c>
    </row>
    <row r="87" customHeight="1" spans="1:4">
      <c r="A87" s="204">
        <v>44805</v>
      </c>
      <c r="B87" s="174">
        <v>4362</v>
      </c>
      <c r="C87" s="206">
        <v>-0.022</v>
      </c>
      <c r="D87" s="206">
        <v>0.0088</v>
      </c>
    </row>
    <row r="88" customHeight="1" spans="1:4">
      <c r="A88" s="204">
        <v>44835</v>
      </c>
      <c r="B88" s="174">
        <v>4379</v>
      </c>
      <c r="C88" s="206">
        <v>0.007</v>
      </c>
      <c r="D88" s="206">
        <v>0.004</v>
      </c>
    </row>
    <row r="89" customHeight="1" spans="1:4">
      <c r="A89" s="204">
        <v>44866</v>
      </c>
      <c r="B89" s="174">
        <v>4388</v>
      </c>
      <c r="C89" s="206">
        <v>0.021</v>
      </c>
      <c r="D89" s="206">
        <v>0.002</v>
      </c>
    </row>
    <row r="90" customHeight="1" spans="1:5">
      <c r="A90" s="204">
        <v>44896</v>
      </c>
      <c r="B90" s="174">
        <v>4390</v>
      </c>
      <c r="C90" s="206">
        <v>0.014</v>
      </c>
      <c r="D90" s="206">
        <v>0.0007</v>
      </c>
      <c r="E90" s="222"/>
    </row>
    <row r="91" customHeight="1" spans="1:4">
      <c r="A91" s="204">
        <v>44927</v>
      </c>
      <c r="B91" s="174">
        <v>4367</v>
      </c>
      <c r="C91" s="206">
        <v>0.018</v>
      </c>
      <c r="D91" s="206">
        <v>-0.005</v>
      </c>
    </row>
    <row r="92" customHeight="1" spans="1:5">
      <c r="A92" s="204">
        <v>44958</v>
      </c>
      <c r="B92" s="174">
        <v>4343</v>
      </c>
      <c r="C92" s="206">
        <v>0.017</v>
      </c>
      <c r="D92" s="206">
        <v>-0.006</v>
      </c>
      <c r="E92" s="222"/>
    </row>
    <row r="93" customHeight="1" spans="1:5">
      <c r="A93" s="204">
        <v>44986</v>
      </c>
      <c r="B93" s="174">
        <v>4305</v>
      </c>
      <c r="C93" s="206">
        <v>0.029</v>
      </c>
      <c r="D93" s="206">
        <v>-0.0087</v>
      </c>
      <c r="E93" s="222"/>
    </row>
    <row r="94" customHeight="1" spans="1:5">
      <c r="A94" s="204">
        <v>45017</v>
      </c>
      <c r="B94" s="174">
        <v>4284</v>
      </c>
      <c r="C94" s="206">
        <v>0.026</v>
      </c>
      <c r="D94" s="206">
        <v>-0.0051</v>
      </c>
      <c r="E94" s="222"/>
    </row>
    <row r="95" customHeight="1" spans="1:5">
      <c r="A95" s="204">
        <v>45047</v>
      </c>
      <c r="B95" s="174">
        <v>4258</v>
      </c>
      <c r="C95" s="206">
        <v>0.016</v>
      </c>
      <c r="D95" s="206">
        <v>-0.006</v>
      </c>
      <c r="E95" s="222"/>
    </row>
    <row r="96" customHeight="1" spans="1:4">
      <c r="A96" s="204">
        <v>45078</v>
      </c>
      <c r="B96" s="174">
        <v>4296</v>
      </c>
      <c r="C96" s="206">
        <v>0.005</v>
      </c>
      <c r="D96" s="206">
        <v>0.009</v>
      </c>
    </row>
    <row r="97" customHeight="1" spans="1:4">
      <c r="A97" s="204">
        <v>45108</v>
      </c>
      <c r="B97" s="174">
        <v>4271</v>
      </c>
      <c r="C97" s="206">
        <v>-0.006</v>
      </c>
      <c r="D97" s="206">
        <v>-0.006</v>
      </c>
    </row>
    <row r="98" customHeight="1" spans="1:5">
      <c r="A98" s="204">
        <v>45139</v>
      </c>
      <c r="B98" s="174">
        <v>4241</v>
      </c>
      <c r="C98" s="221">
        <v>-0.019</v>
      </c>
      <c r="D98" s="206">
        <v>-0.007</v>
      </c>
      <c r="E98" s="222"/>
    </row>
    <row r="99" customHeight="1" spans="1:14">
      <c r="A99" s="204">
        <v>45170</v>
      </c>
      <c r="B99" s="174">
        <v>4240</v>
      </c>
      <c r="C99" s="206">
        <v>-0.028</v>
      </c>
      <c r="D99" s="206">
        <v>-0.0003</v>
      </c>
      <c r="E99" s="222"/>
      <c r="F99" s="223"/>
      <c r="G99" s="207"/>
      <c r="H99" s="207"/>
      <c r="I99" s="207"/>
      <c r="J99" s="207"/>
      <c r="K99" s="207"/>
      <c r="L99" s="207"/>
      <c r="M99" s="207"/>
      <c r="N99" s="207"/>
    </row>
    <row r="100" customHeight="1" spans="1:6">
      <c r="A100" s="204">
        <v>45200</v>
      </c>
      <c r="B100" s="174">
        <v>4210</v>
      </c>
      <c r="C100" s="206">
        <v>-0.039</v>
      </c>
      <c r="D100" s="206">
        <v>-0.007</v>
      </c>
      <c r="E100" s="222"/>
      <c r="F100" s="224"/>
    </row>
    <row r="101" customHeight="1" spans="1:6">
      <c r="A101" s="204">
        <v>45231</v>
      </c>
      <c r="B101" s="174">
        <v>4158</v>
      </c>
      <c r="C101" s="206">
        <v>-0.052</v>
      </c>
      <c r="D101" s="206">
        <v>-0.012</v>
      </c>
      <c r="E101" s="222"/>
      <c r="F101" s="224"/>
    </row>
    <row r="102" customHeight="1" spans="1:6">
      <c r="A102" s="204">
        <v>45261</v>
      </c>
      <c r="B102" s="174">
        <v>4142</v>
      </c>
      <c r="C102" s="206">
        <v>-0.057</v>
      </c>
      <c r="D102" s="206">
        <v>-0.004</v>
      </c>
      <c r="E102" s="222"/>
      <c r="F102" s="224"/>
    </row>
    <row r="103" customHeight="1" spans="1:4">
      <c r="A103" s="204">
        <v>45292</v>
      </c>
      <c r="B103" s="174">
        <v>4067</v>
      </c>
      <c r="C103" s="206">
        <v>-0.069</v>
      </c>
      <c r="D103" s="206">
        <f>-1.8%</f>
        <v>-0.018</v>
      </c>
    </row>
    <row r="104" customHeight="1" spans="1:4">
      <c r="A104" s="204">
        <v>45323</v>
      </c>
      <c r="B104" s="174">
        <v>4042</v>
      </c>
      <c r="C104" s="206">
        <v>-0.069</v>
      </c>
      <c r="D104" s="206">
        <v>-0.006</v>
      </c>
    </row>
    <row r="105" customHeight="1" spans="1:5">
      <c r="A105" s="204">
        <v>45352</v>
      </c>
      <c r="B105" s="174">
        <v>3992</v>
      </c>
      <c r="C105" s="206">
        <v>-0.073</v>
      </c>
      <c r="D105" s="206">
        <v>-0.012</v>
      </c>
      <c r="E105" s="222"/>
    </row>
    <row r="106" customHeight="1" spans="1:4">
      <c r="A106" s="204">
        <v>45383</v>
      </c>
      <c r="B106" s="174">
        <v>3986</v>
      </c>
      <c r="C106" s="206">
        <v>-0.069</v>
      </c>
      <c r="D106" s="206">
        <v>-0.001</v>
      </c>
    </row>
    <row r="107" customHeight="1" spans="1:4">
      <c r="A107" s="225">
        <v>45413</v>
      </c>
      <c r="B107" s="226">
        <v>3996</v>
      </c>
      <c r="C107" s="227">
        <v>-0.062</v>
      </c>
      <c r="D107" s="227">
        <v>0.002</v>
      </c>
    </row>
    <row r="108" customHeight="1" spans="1:5">
      <c r="A108" s="225">
        <v>45444</v>
      </c>
      <c r="B108" s="226">
        <v>4038</v>
      </c>
      <c r="C108" s="227">
        <v>-0.06</v>
      </c>
      <c r="D108" s="227">
        <v>0.011</v>
      </c>
      <c r="E108" s="222"/>
    </row>
    <row r="109" customHeight="1" spans="1:4">
      <c r="A109" s="225">
        <v>45474</v>
      </c>
      <c r="B109" s="226">
        <v>4041</v>
      </c>
      <c r="C109" s="227">
        <v>-0.054</v>
      </c>
      <c r="D109" s="227">
        <v>0.001</v>
      </c>
    </row>
    <row r="110" customHeight="1" spans="1:4">
      <c r="A110" s="225">
        <v>45505</v>
      </c>
      <c r="B110" s="226">
        <v>4036</v>
      </c>
      <c r="C110" s="227">
        <v>-0.048</v>
      </c>
      <c r="D110" s="227">
        <v>-0.001</v>
      </c>
    </row>
    <row r="111" customHeight="1" spans="1:4">
      <c r="A111" s="225">
        <v>45536</v>
      </c>
      <c r="B111" s="226">
        <v>4062</v>
      </c>
      <c r="C111" s="227">
        <v>-0.042</v>
      </c>
      <c r="D111" s="227">
        <v>0.006</v>
      </c>
    </row>
    <row r="112" customHeight="1" spans="1:4">
      <c r="A112" s="225">
        <v>45566</v>
      </c>
      <c r="B112" s="226">
        <v>4073</v>
      </c>
      <c r="C112" s="227">
        <v>-0.032</v>
      </c>
      <c r="D112" s="227">
        <v>0.0003</v>
      </c>
    </row>
    <row r="113" customHeight="1" spans="1:4">
      <c r="A113" s="225">
        <v>45597</v>
      </c>
      <c r="B113" s="226">
        <v>4080</v>
      </c>
      <c r="C113" s="227">
        <v>-0.019</v>
      </c>
      <c r="D113" s="227">
        <v>0.002</v>
      </c>
    </row>
    <row r="114" customHeight="1" spans="1:4">
      <c r="A114" s="225">
        <v>45627</v>
      </c>
      <c r="B114" s="226">
        <v>4078</v>
      </c>
      <c r="C114" s="227">
        <v>-0.015</v>
      </c>
      <c r="D114" s="227">
        <v>-0.001</v>
      </c>
    </row>
    <row r="115" customHeight="1" spans="1:4">
      <c r="A115" s="225">
        <v>45658</v>
      </c>
      <c r="B115" s="226">
        <v>4062</v>
      </c>
      <c r="C115" s="227">
        <v>-0.001</v>
      </c>
      <c r="D115" s="227">
        <v>-0.004</v>
      </c>
    </row>
    <row r="116" customHeight="1" spans="1:4">
      <c r="A116" s="225">
        <v>45689</v>
      </c>
      <c r="B116" s="226">
        <v>4066</v>
      </c>
      <c r="C116" s="227">
        <v>0.006</v>
      </c>
      <c r="D116" s="227">
        <v>0.001</v>
      </c>
    </row>
    <row r="117" customHeight="1" spans="1:4">
      <c r="A117" s="225">
        <v>45717</v>
      </c>
      <c r="B117" s="226">
        <v>4039</v>
      </c>
      <c r="C117" s="227">
        <v>0.012</v>
      </c>
      <c r="D117" s="227">
        <v>-0.007</v>
      </c>
    </row>
    <row r="118" customHeight="1" spans="1:4">
      <c r="A118" s="225">
        <v>45748</v>
      </c>
      <c r="B118" s="226">
        <v>4038</v>
      </c>
      <c r="C118" s="227">
        <v>0.013</v>
      </c>
      <c r="D118" s="227">
        <v>0</v>
      </c>
    </row>
    <row r="119" customHeight="1" spans="1:4">
      <c r="A119" s="225">
        <v>45778</v>
      </c>
      <c r="B119" s="226">
        <v>4042</v>
      </c>
      <c r="C119" s="227">
        <v>0.012</v>
      </c>
      <c r="D119" s="227">
        <v>0.001</v>
      </c>
    </row>
    <row r="120" customHeight="1" spans="1:4">
      <c r="A120" s="225">
        <v>45809</v>
      </c>
      <c r="B120" s="226">
        <v>4043</v>
      </c>
      <c r="C120" s="227">
        <v>0.001</v>
      </c>
      <c r="D120" s="227">
        <v>0</v>
      </c>
    </row>
    <row r="121" customHeight="1" spans="1:4">
      <c r="A121" s="225">
        <v>45839</v>
      </c>
      <c r="B121" s="226">
        <v>4042</v>
      </c>
      <c r="C121" s="227">
        <v>0</v>
      </c>
      <c r="D121" s="227">
        <v>0</v>
      </c>
    </row>
    <row r="122" customHeight="1" spans="1:4">
      <c r="A122" s="225">
        <v>45870</v>
      </c>
      <c r="B122" s="226">
        <v>4038</v>
      </c>
      <c r="C122" s="227">
        <v>0</v>
      </c>
      <c r="D122" s="227">
        <v>-0.001</v>
      </c>
    </row>
    <row r="123" customHeight="1" spans="1:4">
      <c r="A123" s="225">
        <v>45901</v>
      </c>
      <c r="B123" s="226">
        <v>4035</v>
      </c>
      <c r="C123" s="227">
        <v>-0.007</v>
      </c>
      <c r="D123" s="227">
        <v>-0.001</v>
      </c>
    </row>
    <row r="124" customHeight="1" spans="1:4">
      <c r="A124" s="225">
        <v>45931</v>
      </c>
      <c r="B124" s="226">
        <v>3990</v>
      </c>
      <c r="C124" s="227">
        <v>-0.021</v>
      </c>
      <c r="D124" s="227">
        <v>-0.011</v>
      </c>
    </row>
    <row r="125" customHeight="1" spans="1:4">
      <c r="A125" s="225">
        <v>45962</v>
      </c>
      <c r="B125" s="226" t="s">
        <v>97</v>
      </c>
      <c r="C125" s="227" t="s">
        <v>98</v>
      </c>
      <c r="D125" s="227" t="s">
        <v>98</v>
      </c>
    </row>
    <row r="126" customHeight="1" spans="1:4">
      <c r="A126" s="225">
        <v>45992</v>
      </c>
      <c r="B126" s="226">
        <v>3961</v>
      </c>
      <c r="C126" s="227">
        <v>-0.029</v>
      </c>
      <c r="D126" s="227" t="s">
        <v>98</v>
      </c>
    </row>
    <row r="127" customHeight="1" spans="1:4">
      <c r="A127" s="225">
        <v>46023</v>
      </c>
      <c r="B127" s="226" t="s">
        <v>97</v>
      </c>
      <c r="C127" s="227" t="s">
        <v>98</v>
      </c>
      <c r="D127" s="227" t="s">
        <v>98</v>
      </c>
    </row>
    <row r="128" customHeight="1" spans="1:4">
      <c r="A128" s="225">
        <v>46054</v>
      </c>
      <c r="B128" s="226" t="s">
        <v>97</v>
      </c>
      <c r="C128" s="227" t="s">
        <v>98</v>
      </c>
      <c r="D128" s="227" t="s">
        <v>98</v>
      </c>
    </row>
    <row r="129" customHeight="1" spans="1:4">
      <c r="A129" s="225">
        <v>46082</v>
      </c>
      <c r="B129" s="226">
        <v>3904</v>
      </c>
      <c r="C129" s="227">
        <v>-0.033</v>
      </c>
      <c r="D129" s="227" t="s">
        <v>98</v>
      </c>
    </row>
    <row r="130" customHeight="1" spans="1:4">
      <c r="A130" s="225">
        <v>46113</v>
      </c>
      <c r="B130" s="226" t="s">
        <v>97</v>
      </c>
      <c r="C130" s="227" t="s">
        <v>98</v>
      </c>
      <c r="D130" s="227" t="s">
        <v>98</v>
      </c>
    </row>
    <row r="131" customHeight="1" spans="1:4">
      <c r="A131" s="225">
        <v>46143</v>
      </c>
      <c r="B131" s="226" t="s">
        <v>97</v>
      </c>
      <c r="C131" s="227" t="s">
        <v>98</v>
      </c>
      <c r="D131" s="227" t="s">
        <v>98</v>
      </c>
    </row>
    <row r="132" customHeight="1" spans="1:4">
      <c r="A132" s="225">
        <v>46174</v>
      </c>
      <c r="B132" s="226">
        <v>3780</v>
      </c>
      <c r="C132" s="227">
        <v>-0.065</v>
      </c>
      <c r="D132" s="227" t="s">
        <v>98</v>
      </c>
    </row>
    <row r="133" customHeight="1" spans="1:4">
      <c r="A133" s="225">
        <v>46204</v>
      </c>
      <c r="B133" s="226" t="s">
        <v>97</v>
      </c>
      <c r="C133" s="227" t="s">
        <v>98</v>
      </c>
      <c r="D133" s="227" t="s">
        <v>98</v>
      </c>
    </row>
    <row r="134" customHeight="1" spans="2:4">
      <c r="B134" s="187"/>
      <c r="C134" s="187"/>
      <c r="D134" s="187"/>
    </row>
    <row r="135" customHeight="1" spans="2:4">
      <c r="B135" s="187"/>
      <c r="C135" s="187"/>
      <c r="D135" s="187"/>
    </row>
    <row r="136" customHeight="1" spans="2:4">
      <c r="B136" s="187"/>
      <c r="C136" s="187"/>
      <c r="D136" s="187"/>
    </row>
    <row r="137" customHeight="1" spans="2:4">
      <c r="B137" s="187"/>
      <c r="C137" s="187"/>
      <c r="D137" s="187"/>
    </row>
    <row r="138" customHeight="1" spans="2:4">
      <c r="B138" s="187"/>
      <c r="C138" s="187"/>
      <c r="D138" s="187"/>
    </row>
    <row r="139" customHeight="1" spans="2:4">
      <c r="B139" s="187"/>
      <c r="C139" s="187"/>
      <c r="D139" s="187"/>
    </row>
    <row r="140" customHeight="1" spans="2:4">
      <c r="B140" s="187"/>
      <c r="C140" s="187"/>
      <c r="D140" s="187"/>
    </row>
    <row r="141" customHeight="1" spans="2:4">
      <c r="B141" s="187"/>
      <c r="C141" s="187"/>
      <c r="D141" s="187"/>
    </row>
    <row r="142" customHeight="1" spans="2:4">
      <c r="B142" s="187"/>
      <c r="C142" s="187"/>
      <c r="D142" s="187"/>
    </row>
    <row r="143" customHeight="1" spans="2:4">
      <c r="B143" s="187"/>
      <c r="C143" s="187"/>
      <c r="D143" s="187"/>
    </row>
    <row r="144" customHeight="1" spans="2:4">
      <c r="B144" s="187"/>
      <c r="C144" s="187"/>
      <c r="D144" s="187"/>
    </row>
    <row r="145" customHeight="1" spans="2:4">
      <c r="B145" s="187"/>
      <c r="C145" s="187"/>
      <c r="D145" s="187"/>
    </row>
    <row r="146" customHeight="1" spans="2:4">
      <c r="B146" s="187"/>
      <c r="C146" s="187"/>
      <c r="D146" s="187"/>
    </row>
    <row r="147" customHeight="1" spans="2:4">
      <c r="B147" s="187"/>
      <c r="C147" s="187"/>
      <c r="D147" s="187"/>
    </row>
    <row r="148" customHeight="1" spans="2:4">
      <c r="B148" s="187"/>
      <c r="C148" s="187"/>
      <c r="D148" s="187"/>
    </row>
    <row r="149" customHeight="1" spans="2:4">
      <c r="B149" s="187"/>
      <c r="C149" s="187"/>
      <c r="D149" s="187"/>
    </row>
    <row r="150" customHeight="1" spans="2:4">
      <c r="B150" s="187"/>
      <c r="C150" s="187"/>
      <c r="D150" s="187"/>
    </row>
    <row r="151" customHeight="1" spans="2:4">
      <c r="B151" s="187"/>
      <c r="C151" s="187"/>
      <c r="D151" s="187"/>
    </row>
    <row r="152" customHeight="1" spans="2:4">
      <c r="B152" s="187"/>
      <c r="C152" s="187"/>
      <c r="D152" s="187"/>
    </row>
    <row r="153" customHeight="1" spans="2:4">
      <c r="B153" s="187"/>
      <c r="C153" s="187"/>
      <c r="D153" s="187"/>
    </row>
    <row r="154" customHeight="1" spans="2:4">
      <c r="B154" s="187"/>
      <c r="C154" s="187"/>
      <c r="D154" s="187"/>
    </row>
    <row r="155" customHeight="1" spans="2:4">
      <c r="B155" s="187"/>
      <c r="C155" s="187"/>
      <c r="D155" s="187"/>
    </row>
    <row r="156" customHeight="1" spans="2:4">
      <c r="B156" s="187"/>
      <c r="C156" s="187"/>
      <c r="D156" s="187"/>
    </row>
    <row r="157" customHeight="1" spans="2:4">
      <c r="B157" s="187"/>
      <c r="C157" s="187"/>
      <c r="D157" s="187"/>
    </row>
    <row r="158" customHeight="1" spans="2:4">
      <c r="B158" s="187"/>
      <c r="C158" s="187"/>
      <c r="D158" s="187"/>
    </row>
    <row r="159" customHeight="1" spans="2:4">
      <c r="B159" s="187"/>
      <c r="C159" s="187"/>
      <c r="D159" s="187"/>
    </row>
    <row r="160" customHeight="1" spans="2:4">
      <c r="B160" s="187"/>
      <c r="C160" s="187"/>
      <c r="D160" s="187"/>
    </row>
    <row r="161" customHeight="1" spans="2:4">
      <c r="B161" s="187"/>
      <c r="C161" s="187"/>
      <c r="D161" s="187"/>
    </row>
    <row r="162" customHeight="1" spans="2:4">
      <c r="B162" s="187"/>
      <c r="C162" s="187"/>
      <c r="D162" s="187"/>
    </row>
    <row r="163" customHeight="1" spans="2:4">
      <c r="B163" s="187"/>
      <c r="C163" s="187"/>
      <c r="D163" s="187"/>
    </row>
    <row r="164" customHeight="1" spans="2:4">
      <c r="B164" s="187"/>
      <c r="C164" s="187"/>
      <c r="D164" s="187"/>
    </row>
    <row r="165" customHeight="1" spans="2:4">
      <c r="B165" s="187"/>
      <c r="C165" s="187"/>
      <c r="D165" s="187"/>
    </row>
    <row r="166" customHeight="1" spans="2:4">
      <c r="B166" s="187"/>
      <c r="C166" s="187"/>
      <c r="D166" s="187"/>
    </row>
    <row r="167" customHeight="1" spans="2:4">
      <c r="B167" s="187"/>
      <c r="C167" s="187"/>
      <c r="D167" s="187"/>
    </row>
    <row r="168" customHeight="1" spans="2:4">
      <c r="B168" s="187"/>
      <c r="C168" s="187"/>
      <c r="D168" s="187"/>
    </row>
    <row r="169" customHeight="1" spans="2:4">
      <c r="B169" s="187"/>
      <c r="C169" s="187"/>
      <c r="D169" s="187"/>
    </row>
    <row r="170" customHeight="1" spans="2:4">
      <c r="B170" s="187"/>
      <c r="C170" s="187"/>
      <c r="D170" s="187"/>
    </row>
    <row r="171" customHeight="1" spans="2:4">
      <c r="B171" s="187"/>
      <c r="C171" s="187"/>
      <c r="D171" s="187"/>
    </row>
    <row r="172" customHeight="1" spans="2:4">
      <c r="B172" s="187"/>
      <c r="C172" s="187"/>
      <c r="D172" s="187"/>
    </row>
    <row r="173" customHeight="1" spans="2:4">
      <c r="B173" s="187"/>
      <c r="C173" s="187"/>
      <c r="D173" s="187"/>
    </row>
    <row r="174" customHeight="1" spans="2:4">
      <c r="B174" s="187"/>
      <c r="C174" s="187"/>
      <c r="D174" s="187"/>
    </row>
    <row r="175" customHeight="1" spans="2:4">
      <c r="B175" s="187"/>
      <c r="C175" s="187"/>
      <c r="D175" s="187"/>
    </row>
    <row r="176" customHeight="1" spans="2:4">
      <c r="B176" s="187"/>
      <c r="C176" s="187"/>
      <c r="D176" s="187"/>
    </row>
    <row r="177" customHeight="1" spans="2:4">
      <c r="B177" s="187"/>
      <c r="C177" s="187"/>
      <c r="D177" s="187"/>
    </row>
    <row r="178" customHeight="1" spans="2:4">
      <c r="B178" s="187"/>
      <c r="C178" s="187"/>
      <c r="D178" s="187"/>
    </row>
    <row r="179" customHeight="1" spans="2:4">
      <c r="B179" s="187"/>
      <c r="C179" s="187"/>
      <c r="D179" s="187"/>
    </row>
    <row r="180" customHeight="1" spans="2:4">
      <c r="B180" s="187"/>
      <c r="C180" s="187"/>
      <c r="D180" s="187"/>
    </row>
    <row r="181" customHeight="1" spans="2:4">
      <c r="B181" s="187"/>
      <c r="C181" s="187"/>
      <c r="D181" s="187"/>
    </row>
    <row r="182" customHeight="1" spans="2:4">
      <c r="B182" s="187"/>
      <c r="C182" s="187"/>
      <c r="D182" s="187"/>
    </row>
    <row r="183" customHeight="1" spans="2:4">
      <c r="B183" s="187"/>
      <c r="C183" s="187"/>
      <c r="D183" s="187"/>
    </row>
    <row r="184" customHeight="1" spans="2:4">
      <c r="B184" s="187"/>
      <c r="C184" s="187"/>
      <c r="D184" s="187"/>
    </row>
    <row r="185" customHeight="1" spans="2:4">
      <c r="B185" s="187"/>
      <c r="C185" s="187"/>
      <c r="D185" s="187"/>
    </row>
    <row r="186" customHeight="1" spans="2:4">
      <c r="B186" s="187"/>
      <c r="C186" s="187"/>
      <c r="D186" s="187"/>
    </row>
    <row r="187" customHeight="1" spans="2:4">
      <c r="B187" s="187"/>
      <c r="C187" s="187"/>
      <c r="D187" s="187"/>
    </row>
    <row r="188" customHeight="1" spans="2:4">
      <c r="B188" s="187"/>
      <c r="C188" s="187"/>
      <c r="D188" s="187"/>
    </row>
    <row r="189" customHeight="1" spans="2:4">
      <c r="B189" s="187"/>
      <c r="C189" s="187"/>
      <c r="D189" s="187"/>
    </row>
    <row r="190" customHeight="1" spans="2:4">
      <c r="B190" s="187"/>
      <c r="C190" s="187"/>
      <c r="D190" s="187"/>
    </row>
    <row r="191" customHeight="1" spans="2:4">
      <c r="B191" s="187"/>
      <c r="C191" s="187"/>
      <c r="D191" s="187"/>
    </row>
    <row r="192" customHeight="1" spans="2:4">
      <c r="B192" s="187"/>
      <c r="C192" s="187"/>
      <c r="D192" s="187"/>
    </row>
    <row r="193" customHeight="1" spans="2:4">
      <c r="B193" s="187"/>
      <c r="C193" s="187"/>
      <c r="D193" s="187"/>
    </row>
    <row r="194" customHeight="1" spans="2:4">
      <c r="B194" s="187"/>
      <c r="C194" s="187"/>
      <c r="D194" s="187"/>
    </row>
    <row r="195" customHeight="1" spans="2:4">
      <c r="B195" s="187"/>
      <c r="C195" s="187"/>
      <c r="D195" s="187"/>
    </row>
    <row r="196" customHeight="1" spans="2:4">
      <c r="B196" s="187"/>
      <c r="C196" s="187"/>
      <c r="D196" s="187"/>
    </row>
    <row r="197" customHeight="1" spans="2:4">
      <c r="B197" s="187"/>
      <c r="C197" s="187"/>
      <c r="D197" s="187"/>
    </row>
    <row r="198" customHeight="1" spans="2:4">
      <c r="B198" s="187"/>
      <c r="C198" s="187"/>
      <c r="D198" s="187"/>
    </row>
    <row r="199" customHeight="1" spans="2:4">
      <c r="B199" s="187"/>
      <c r="C199" s="187"/>
      <c r="D199" s="187"/>
    </row>
    <row r="200" customHeight="1" spans="2:4">
      <c r="B200" s="187"/>
      <c r="C200" s="187"/>
      <c r="D200" s="187"/>
    </row>
    <row r="201" customHeight="1" spans="2:4">
      <c r="B201" s="187"/>
      <c r="C201" s="187"/>
      <c r="D201" s="187"/>
    </row>
    <row r="202" customHeight="1" spans="2:4">
      <c r="B202" s="187"/>
      <c r="C202" s="187"/>
      <c r="D202" s="187"/>
    </row>
    <row r="203" customHeight="1" spans="2:4">
      <c r="B203" s="187"/>
      <c r="C203" s="187"/>
      <c r="D203" s="187"/>
    </row>
    <row r="204" customHeight="1" spans="2:4">
      <c r="B204" s="187"/>
      <c r="C204" s="187"/>
      <c r="D204" s="187"/>
    </row>
    <row r="205" customHeight="1" spans="2:4">
      <c r="B205" s="187"/>
      <c r="C205" s="187"/>
      <c r="D205" s="187"/>
    </row>
    <row r="206" customHeight="1" spans="2:4">
      <c r="B206" s="187"/>
      <c r="C206" s="187"/>
      <c r="D206" s="187"/>
    </row>
    <row r="207" customHeight="1" spans="2:4">
      <c r="B207" s="187"/>
      <c r="C207" s="187"/>
      <c r="D207" s="187"/>
    </row>
    <row r="208" customHeight="1" spans="2:4">
      <c r="B208" s="187"/>
      <c r="C208" s="187"/>
      <c r="D208" s="187"/>
    </row>
    <row r="209" customHeight="1" spans="2:4">
      <c r="B209" s="187"/>
      <c r="C209" s="187"/>
      <c r="D209" s="187"/>
    </row>
    <row r="210" customHeight="1" spans="2:4">
      <c r="B210" s="187"/>
      <c r="C210" s="187"/>
      <c r="D210" s="187"/>
    </row>
    <row r="211" customHeight="1" spans="2:4">
      <c r="B211" s="187"/>
      <c r="C211" s="187"/>
      <c r="D211" s="187"/>
    </row>
    <row r="212" customHeight="1" spans="2:4">
      <c r="B212" s="187"/>
      <c r="C212" s="187"/>
      <c r="D212" s="187"/>
    </row>
    <row r="213" customHeight="1" spans="2:4">
      <c r="B213" s="187"/>
      <c r="C213" s="187"/>
      <c r="D213" s="187"/>
    </row>
    <row r="214" customHeight="1" spans="2:4">
      <c r="B214" s="187"/>
      <c r="C214" s="187"/>
      <c r="D214" s="187"/>
    </row>
    <row r="215" customHeight="1" spans="2:4">
      <c r="B215" s="187"/>
      <c r="C215" s="187"/>
      <c r="D215" s="187"/>
    </row>
    <row r="216" customHeight="1" spans="2:4">
      <c r="B216" s="187"/>
      <c r="C216" s="187"/>
      <c r="D216" s="187"/>
    </row>
    <row r="217" customHeight="1" spans="2:4">
      <c r="B217" s="187"/>
      <c r="C217" s="187"/>
      <c r="D217" s="187"/>
    </row>
    <row r="218" customHeight="1" spans="2:4">
      <c r="B218" s="187"/>
      <c r="C218" s="187"/>
      <c r="D218" s="187"/>
    </row>
    <row r="219" customHeight="1" spans="2:4">
      <c r="B219" s="187"/>
      <c r="C219" s="187"/>
      <c r="D219" s="187"/>
    </row>
    <row r="220" customHeight="1" spans="2:4">
      <c r="B220" s="187"/>
      <c r="C220" s="187"/>
      <c r="D220" s="187"/>
    </row>
    <row r="221" customHeight="1" spans="2:4">
      <c r="B221" s="187"/>
      <c r="C221" s="187"/>
      <c r="D221" s="187"/>
    </row>
    <row r="222" customHeight="1" spans="2:4">
      <c r="B222" s="187"/>
      <c r="C222" s="187"/>
      <c r="D222" s="187"/>
    </row>
    <row r="223" customHeight="1" spans="2:4">
      <c r="B223" s="187"/>
      <c r="C223" s="187"/>
      <c r="D223" s="187"/>
    </row>
    <row r="224" customHeight="1" spans="2:4">
      <c r="B224" s="187"/>
      <c r="C224" s="187"/>
      <c r="D224" s="187"/>
    </row>
    <row r="225" customHeight="1" spans="2:4">
      <c r="B225" s="187"/>
      <c r="C225" s="187"/>
      <c r="D225" s="187"/>
    </row>
    <row r="226" customHeight="1" spans="2:4">
      <c r="B226" s="187"/>
      <c r="C226" s="187"/>
      <c r="D226" s="187"/>
    </row>
    <row r="227" customHeight="1" spans="2:4">
      <c r="B227" s="187"/>
      <c r="C227" s="187"/>
      <c r="D227" s="187"/>
    </row>
    <row r="228" customHeight="1" spans="2:4">
      <c r="B228" s="187"/>
      <c r="C228" s="187"/>
      <c r="D228" s="187"/>
    </row>
    <row r="229" customHeight="1" spans="2:4">
      <c r="B229" s="187"/>
      <c r="C229" s="187"/>
      <c r="D229" s="187"/>
    </row>
    <row r="230" customHeight="1" spans="2:4">
      <c r="B230" s="187"/>
      <c r="C230" s="187"/>
      <c r="D230" s="187"/>
    </row>
    <row r="231" customHeight="1" spans="2:4">
      <c r="B231" s="187"/>
      <c r="C231" s="187"/>
      <c r="D231" s="187"/>
    </row>
    <row r="232" customHeight="1" spans="2:4">
      <c r="B232" s="187"/>
      <c r="C232" s="187"/>
      <c r="D232" s="187"/>
    </row>
    <row r="233" customHeight="1" spans="2:4">
      <c r="B233" s="187"/>
      <c r="C233" s="187"/>
      <c r="D233" s="187"/>
    </row>
    <row r="234" customHeight="1" spans="2:4">
      <c r="B234" s="187"/>
      <c r="C234" s="187"/>
      <c r="D234" s="187"/>
    </row>
    <row r="235" customHeight="1" spans="2:4">
      <c r="B235" s="187"/>
      <c r="C235" s="187"/>
      <c r="D235" s="187"/>
    </row>
    <row r="236" customHeight="1" spans="2:4">
      <c r="B236" s="187"/>
      <c r="C236" s="187"/>
      <c r="D236" s="187"/>
    </row>
    <row r="237" customHeight="1" spans="2:4">
      <c r="B237" s="187"/>
      <c r="C237" s="187"/>
      <c r="D237" s="187"/>
    </row>
    <row r="238" customHeight="1" spans="2:4">
      <c r="B238" s="187"/>
      <c r="C238" s="187"/>
      <c r="D238" s="187"/>
    </row>
    <row r="239" customHeight="1" spans="2:4">
      <c r="B239" s="187"/>
      <c r="C239" s="187"/>
      <c r="D239" s="187"/>
    </row>
    <row r="240" customHeight="1" spans="2:4">
      <c r="B240" s="187"/>
      <c r="C240" s="187"/>
      <c r="D240" s="187"/>
    </row>
    <row r="241" customHeight="1" spans="2:4">
      <c r="B241" s="187"/>
      <c r="C241" s="187"/>
      <c r="D241" s="187"/>
    </row>
    <row r="242" customHeight="1" spans="2:4">
      <c r="B242" s="187"/>
      <c r="C242" s="187"/>
      <c r="D242" s="187"/>
    </row>
    <row r="243" customHeight="1" spans="2:4">
      <c r="B243" s="187"/>
      <c r="C243" s="187"/>
      <c r="D243" s="187"/>
    </row>
    <row r="244" customHeight="1" spans="2:4">
      <c r="B244" s="187"/>
      <c r="C244" s="187"/>
      <c r="D244" s="187"/>
    </row>
    <row r="245" customHeight="1" spans="2:4">
      <c r="B245" s="187"/>
      <c r="C245" s="187"/>
      <c r="D245" s="187"/>
    </row>
    <row r="246" customHeight="1" spans="2:4">
      <c r="B246" s="187"/>
      <c r="C246" s="187"/>
      <c r="D246" s="187"/>
    </row>
    <row r="247" customHeight="1" spans="2:4">
      <c r="B247" s="187"/>
      <c r="C247" s="187"/>
      <c r="D247" s="187"/>
    </row>
    <row r="248" customHeight="1" spans="2:4">
      <c r="B248" s="187"/>
      <c r="C248" s="187"/>
      <c r="D248" s="187"/>
    </row>
  </sheetData>
  <mergeCells count="7">
    <mergeCell ref="B1:D1"/>
    <mergeCell ref="F1:Q1"/>
    <mergeCell ref="A2:D2"/>
    <mergeCell ref="H30:K30"/>
    <mergeCell ref="L30:Q30"/>
    <mergeCell ref="F31:N31"/>
    <mergeCell ref="F29:G30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opLeftCell="A7" workbookViewId="0">
      <selection activeCell="G33" sqref="G33"/>
    </sheetView>
  </sheetViews>
  <sheetFormatPr defaultColWidth="13.1333333333333" defaultRowHeight="20.1" customHeight="1"/>
  <cols>
    <col min="1" max="1" width="13.1333333333333" customWidth="1"/>
    <col min="12" max="12" width="16.3833333333333" customWidth="1"/>
    <col min="13" max="13" width="17.5" customWidth="1"/>
    <col min="14" max="14" width="20" customWidth="1"/>
  </cols>
  <sheetData>
    <row r="1" ht="30" customHeight="1" spans="1:11">
      <c r="A1" s="171" t="s">
        <v>99</v>
      </c>
      <c r="B1" s="171"/>
      <c r="C1" s="171"/>
      <c r="D1" s="171"/>
      <c r="E1" s="171"/>
      <c r="F1" s="171"/>
      <c r="G1" s="171"/>
      <c r="H1" s="171"/>
      <c r="K1" s="178"/>
    </row>
    <row r="2" ht="30" customHeight="1" spans="1:11">
      <c r="A2" s="171" t="s">
        <v>100</v>
      </c>
      <c r="B2" s="171" t="s">
        <v>101</v>
      </c>
      <c r="C2" s="171" t="s">
        <v>102</v>
      </c>
      <c r="D2" s="171" t="s">
        <v>103</v>
      </c>
      <c r="E2" s="171" t="s">
        <v>100</v>
      </c>
      <c r="F2" s="171" t="s">
        <v>101</v>
      </c>
      <c r="G2" s="171" t="s">
        <v>102</v>
      </c>
      <c r="H2" s="171" t="s">
        <v>103</v>
      </c>
      <c r="K2" s="179"/>
    </row>
    <row r="3" ht="30" customHeight="1" spans="1:8">
      <c r="A3" s="171"/>
      <c r="B3" s="171" t="s">
        <v>104</v>
      </c>
      <c r="C3" s="171" t="s">
        <v>105</v>
      </c>
      <c r="D3" s="171" t="s">
        <v>105</v>
      </c>
      <c r="E3" s="171"/>
      <c r="F3" s="171" t="s">
        <v>104</v>
      </c>
      <c r="G3" s="171" t="s">
        <v>105</v>
      </c>
      <c r="H3" s="171" t="s">
        <v>105</v>
      </c>
    </row>
    <row r="4" customHeight="1" spans="1:8">
      <c r="A4" s="172" t="s">
        <v>106</v>
      </c>
      <c r="B4" s="173" t="s">
        <v>107</v>
      </c>
      <c r="C4" s="174">
        <v>17.6</v>
      </c>
      <c r="D4" s="173">
        <v>32.2</v>
      </c>
      <c r="E4" s="172" t="s">
        <v>108</v>
      </c>
      <c r="F4" s="173" t="s">
        <v>107</v>
      </c>
      <c r="G4" s="172">
        <v>1065.5</v>
      </c>
      <c r="H4" s="173">
        <v>2161.5</v>
      </c>
    </row>
    <row r="5" customHeight="1" spans="1:8">
      <c r="A5" s="172" t="s">
        <v>92</v>
      </c>
      <c r="B5" s="173" t="s">
        <v>107</v>
      </c>
      <c r="C5" s="174" t="s">
        <v>109</v>
      </c>
      <c r="D5" s="173" t="s">
        <v>107</v>
      </c>
      <c r="E5" s="172" t="s">
        <v>110</v>
      </c>
      <c r="F5" s="173" t="s">
        <v>111</v>
      </c>
      <c r="G5" s="172" t="s">
        <v>112</v>
      </c>
      <c r="H5" s="173" t="s">
        <v>113</v>
      </c>
    </row>
    <row r="6" customHeight="1" spans="1:14">
      <c r="A6" s="172" t="s">
        <v>114</v>
      </c>
      <c r="B6" s="173" t="s">
        <v>115</v>
      </c>
      <c r="C6" s="174" t="s">
        <v>107</v>
      </c>
      <c r="D6" s="173" t="s">
        <v>116</v>
      </c>
      <c r="E6" s="172" t="s">
        <v>117</v>
      </c>
      <c r="F6" s="173" t="s">
        <v>118</v>
      </c>
      <c r="G6" s="172" t="s">
        <v>119</v>
      </c>
      <c r="H6" s="173" t="s">
        <v>120</v>
      </c>
      <c r="K6" s="180" t="s">
        <v>121</v>
      </c>
      <c r="L6" s="180" t="s">
        <v>122</v>
      </c>
      <c r="M6" s="180" t="s">
        <v>123</v>
      </c>
      <c r="N6" s="180" t="s">
        <v>124</v>
      </c>
    </row>
    <row r="7" customHeight="1" spans="1:14">
      <c r="A7" s="172" t="s">
        <v>87</v>
      </c>
      <c r="B7" s="173" t="s">
        <v>125</v>
      </c>
      <c r="C7" s="174" t="s">
        <v>126</v>
      </c>
      <c r="D7" s="173" t="s">
        <v>127</v>
      </c>
      <c r="E7" s="172" t="s">
        <v>128</v>
      </c>
      <c r="F7" s="173" t="s">
        <v>129</v>
      </c>
      <c r="G7" s="172" t="s">
        <v>130</v>
      </c>
      <c r="H7" s="173" t="s">
        <v>131</v>
      </c>
      <c r="K7" s="181">
        <v>2019</v>
      </c>
      <c r="L7" s="107">
        <v>31041</v>
      </c>
      <c r="M7" s="106">
        <v>54419</v>
      </c>
      <c r="N7" s="107">
        <v>3080</v>
      </c>
    </row>
    <row r="8" customHeight="1" spans="1:14">
      <c r="A8" s="172" t="s">
        <v>65</v>
      </c>
      <c r="B8" s="173" t="s">
        <v>132</v>
      </c>
      <c r="C8" s="174" t="s">
        <v>107</v>
      </c>
      <c r="D8" s="173" t="s">
        <v>133</v>
      </c>
      <c r="E8" s="172" t="s">
        <v>134</v>
      </c>
      <c r="F8" s="173" t="s">
        <v>135</v>
      </c>
      <c r="G8" s="172" t="s">
        <v>136</v>
      </c>
      <c r="H8" s="173" t="s">
        <v>137</v>
      </c>
      <c r="K8" s="181">
        <v>2020</v>
      </c>
      <c r="L8" s="107">
        <v>52704</v>
      </c>
      <c r="M8" s="106">
        <v>40650</v>
      </c>
      <c r="N8" s="107">
        <v>4161</v>
      </c>
    </row>
    <row r="9" customHeight="1" spans="1:14">
      <c r="A9" s="172" t="s">
        <v>138</v>
      </c>
      <c r="B9" s="173" t="s">
        <v>139</v>
      </c>
      <c r="C9" s="174" t="s">
        <v>140</v>
      </c>
      <c r="D9" s="173" t="s">
        <v>141</v>
      </c>
      <c r="E9" s="172" t="s">
        <v>85</v>
      </c>
      <c r="F9" s="173" t="s">
        <v>107</v>
      </c>
      <c r="G9" s="172" t="s">
        <v>142</v>
      </c>
      <c r="H9" s="173" t="s">
        <v>143</v>
      </c>
      <c r="K9" s="181">
        <v>2021</v>
      </c>
      <c r="L9" s="107">
        <v>67128</v>
      </c>
      <c r="M9" s="106">
        <v>44922</v>
      </c>
      <c r="N9" s="107">
        <v>4329</v>
      </c>
    </row>
    <row r="10" customHeight="1" spans="1:14">
      <c r="A10" s="172" t="s">
        <v>144</v>
      </c>
      <c r="B10" s="173" t="s">
        <v>145</v>
      </c>
      <c r="C10" s="174" t="s">
        <v>146</v>
      </c>
      <c r="D10" s="173" t="s">
        <v>147</v>
      </c>
      <c r="E10" s="172" t="s">
        <v>148</v>
      </c>
      <c r="F10" s="173" t="s">
        <v>149</v>
      </c>
      <c r="G10" s="172" t="s">
        <v>150</v>
      </c>
      <c r="H10" s="173" t="s">
        <v>151</v>
      </c>
      <c r="K10" s="181">
        <v>2022</v>
      </c>
      <c r="L10" s="107">
        <v>69995</v>
      </c>
      <c r="M10" s="106">
        <v>45256</v>
      </c>
      <c r="N10" s="107">
        <v>4390</v>
      </c>
    </row>
    <row r="11" customHeight="1" spans="1:14">
      <c r="A11" s="172" t="s">
        <v>152</v>
      </c>
      <c r="B11" s="173" t="s">
        <v>153</v>
      </c>
      <c r="C11" s="174" t="s">
        <v>154</v>
      </c>
      <c r="D11" s="173" t="s">
        <v>155</v>
      </c>
      <c r="E11" s="172" t="s">
        <v>156</v>
      </c>
      <c r="F11" s="173" t="s">
        <v>157</v>
      </c>
      <c r="G11" s="172" t="s">
        <v>158</v>
      </c>
      <c r="H11" s="173" t="s">
        <v>159</v>
      </c>
      <c r="K11" s="181">
        <v>2023</v>
      </c>
      <c r="L11" s="107">
        <v>72662</v>
      </c>
      <c r="M11" s="106">
        <v>43422</v>
      </c>
      <c r="N11" s="107">
        <v>4142</v>
      </c>
    </row>
    <row r="12" customHeight="1" spans="1:14">
      <c r="A12" s="172" t="s">
        <v>160</v>
      </c>
      <c r="B12" s="173" t="s">
        <v>107</v>
      </c>
      <c r="C12" s="174" t="s">
        <v>161</v>
      </c>
      <c r="D12" s="173" t="s">
        <v>107</v>
      </c>
      <c r="E12" s="172" t="s">
        <v>162</v>
      </c>
      <c r="F12" s="173" t="s">
        <v>163</v>
      </c>
      <c r="G12" s="172" t="s">
        <v>164</v>
      </c>
      <c r="H12" s="173" t="s">
        <v>165</v>
      </c>
      <c r="K12" s="181">
        <v>2024</v>
      </c>
      <c r="L12" s="107">
        <v>70256</v>
      </c>
      <c r="M12" s="106">
        <v>42743</v>
      </c>
      <c r="N12" s="107">
        <v>4078</v>
      </c>
    </row>
    <row r="13" customHeight="1" spans="1:14">
      <c r="A13" s="172" t="s">
        <v>166</v>
      </c>
      <c r="B13" s="173" t="s">
        <v>167</v>
      </c>
      <c r="C13" s="174" t="s">
        <v>168</v>
      </c>
      <c r="D13" s="173" t="s">
        <v>169</v>
      </c>
      <c r="E13" s="172" t="s">
        <v>91</v>
      </c>
      <c r="F13" s="173" t="s">
        <v>107</v>
      </c>
      <c r="G13" s="172" t="s">
        <v>170</v>
      </c>
      <c r="H13" s="173" t="s">
        <v>171</v>
      </c>
      <c r="K13" s="182">
        <v>2025</v>
      </c>
      <c r="L13" s="111">
        <v>71973</v>
      </c>
      <c r="M13" s="110">
        <v>42967</v>
      </c>
      <c r="N13" s="111">
        <v>3961</v>
      </c>
    </row>
    <row r="14" customHeight="1" spans="1:8">
      <c r="A14" s="172" t="s">
        <v>172</v>
      </c>
      <c r="B14" s="173" t="s">
        <v>107</v>
      </c>
      <c r="C14" s="174" t="s">
        <v>173</v>
      </c>
      <c r="D14" s="173" t="s">
        <v>174</v>
      </c>
      <c r="E14" s="172" t="s">
        <v>88</v>
      </c>
      <c r="F14" s="173" t="s">
        <v>175</v>
      </c>
      <c r="G14" s="172" t="s">
        <v>176</v>
      </c>
      <c r="H14" s="173" t="s">
        <v>177</v>
      </c>
    </row>
    <row r="15" customHeight="1" spans="1:8">
      <c r="A15" s="172" t="s">
        <v>178</v>
      </c>
      <c r="B15" s="173" t="s">
        <v>107</v>
      </c>
      <c r="C15" s="174" t="s">
        <v>179</v>
      </c>
      <c r="D15" s="173" t="s">
        <v>180</v>
      </c>
      <c r="E15" s="172" t="s">
        <v>181</v>
      </c>
      <c r="F15" s="173" t="s">
        <v>182</v>
      </c>
      <c r="G15" s="172" t="s">
        <v>183</v>
      </c>
      <c r="H15" s="173" t="s">
        <v>184</v>
      </c>
    </row>
    <row r="16" customHeight="1" spans="1:8">
      <c r="A16" s="172" t="s">
        <v>185</v>
      </c>
      <c r="B16" s="173" t="s">
        <v>186</v>
      </c>
      <c r="C16" s="174" t="s">
        <v>187</v>
      </c>
      <c r="D16" s="173" t="s">
        <v>188</v>
      </c>
      <c r="E16" s="172" t="s">
        <v>89</v>
      </c>
      <c r="F16" s="173" t="s">
        <v>189</v>
      </c>
      <c r="G16" s="172" t="s">
        <v>190</v>
      </c>
      <c r="H16" s="173" t="s">
        <v>191</v>
      </c>
    </row>
    <row r="17" customHeight="1" spans="1:8">
      <c r="A17" s="172" t="s">
        <v>192</v>
      </c>
      <c r="B17" s="173" t="s">
        <v>193</v>
      </c>
      <c r="C17" s="174" t="s">
        <v>194</v>
      </c>
      <c r="D17" s="173" t="s">
        <v>195</v>
      </c>
      <c r="E17" s="172" t="s">
        <v>196</v>
      </c>
      <c r="F17" s="173" t="s">
        <v>107</v>
      </c>
      <c r="G17" s="172" t="s">
        <v>107</v>
      </c>
      <c r="H17" s="173" t="s">
        <v>107</v>
      </c>
    </row>
    <row r="18" customHeight="1" spans="1:8">
      <c r="A18" s="172" t="s">
        <v>197</v>
      </c>
      <c r="B18" s="173" t="s">
        <v>198</v>
      </c>
      <c r="C18" s="174" t="s">
        <v>199</v>
      </c>
      <c r="D18" s="173" t="s">
        <v>200</v>
      </c>
      <c r="E18" s="172" t="s">
        <v>90</v>
      </c>
      <c r="F18" s="173" t="s">
        <v>107</v>
      </c>
      <c r="G18" s="172" t="s">
        <v>107</v>
      </c>
      <c r="H18" s="173" t="s">
        <v>107</v>
      </c>
    </row>
    <row r="19" customHeight="1" spans="1:8">
      <c r="A19" s="172" t="s">
        <v>201</v>
      </c>
      <c r="B19" s="173" t="s">
        <v>202</v>
      </c>
      <c r="C19" s="174" t="s">
        <v>203</v>
      </c>
      <c r="D19" s="173" t="s">
        <v>204</v>
      </c>
      <c r="E19" s="172" t="s">
        <v>107</v>
      </c>
      <c r="F19" s="173" t="s">
        <v>107</v>
      </c>
      <c r="G19" s="172" t="s">
        <v>107</v>
      </c>
      <c r="H19" s="173" t="s">
        <v>107</v>
      </c>
    </row>
    <row r="20" customHeight="1" spans="1:8">
      <c r="A20" s="175" t="s">
        <v>205</v>
      </c>
      <c r="B20" s="175"/>
      <c r="C20" s="175"/>
      <c r="D20" s="175"/>
      <c r="E20" s="175"/>
      <c r="F20" s="176"/>
      <c r="G20" s="177"/>
      <c r="H20" s="176"/>
    </row>
  </sheetData>
  <mergeCells count="2">
    <mergeCell ref="A1:H1"/>
    <mergeCell ref="A20:E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pane xSplit="1" ySplit="2" topLeftCell="B33" activePane="bottomRight" state="frozen"/>
      <selection/>
      <selection pane="topRight"/>
      <selection pane="bottomLeft"/>
      <selection pane="bottomRight" activeCell="I54" sqref="I54"/>
    </sheetView>
  </sheetViews>
  <sheetFormatPr defaultColWidth="13.1333333333333" defaultRowHeight="20.1" customHeight="1" outlineLevelCol="1"/>
  <cols>
    <col min="1" max="1" width="13.1333333333333" customWidth="1"/>
    <col min="2" max="2" width="15.6333333333333" customWidth="1"/>
    <col min="3" max="3" width="13.1333333333333" customWidth="1"/>
  </cols>
  <sheetData>
    <row r="1" ht="30" customHeight="1" spans="1:2">
      <c r="A1" s="169" t="s">
        <v>206</v>
      </c>
      <c r="B1" s="169"/>
    </row>
    <row r="2" ht="30" customHeight="1" spans="1:2">
      <c r="A2" s="163" t="s">
        <v>24</v>
      </c>
      <c r="B2" s="163" t="s">
        <v>207</v>
      </c>
    </row>
    <row r="3" customHeight="1" spans="1:2">
      <c r="A3" s="170" t="s">
        <v>208</v>
      </c>
      <c r="B3" s="170">
        <v>4290</v>
      </c>
    </row>
    <row r="4" customHeight="1" spans="1:2">
      <c r="A4" s="170" t="s">
        <v>209</v>
      </c>
      <c r="B4" s="170">
        <v>4264</v>
      </c>
    </row>
    <row r="5" customHeight="1" spans="1:2">
      <c r="A5" s="170" t="s">
        <v>210</v>
      </c>
      <c r="B5" s="170">
        <v>4348</v>
      </c>
    </row>
    <row r="6" customHeight="1" spans="1:2">
      <c r="A6" s="170" t="s">
        <v>211</v>
      </c>
      <c r="B6" s="170">
        <v>4472</v>
      </c>
    </row>
    <row r="7" customHeight="1" spans="1:2">
      <c r="A7" s="170" t="s">
        <v>212</v>
      </c>
      <c r="B7" s="170">
        <v>4269</v>
      </c>
    </row>
    <row r="8" customHeight="1" spans="1:2">
      <c r="A8" s="170" t="s">
        <v>213</v>
      </c>
      <c r="B8" s="170">
        <v>4189</v>
      </c>
    </row>
    <row r="9" customHeight="1" spans="1:2">
      <c r="A9" s="170" t="s">
        <v>214</v>
      </c>
      <c r="B9" s="170">
        <v>4226</v>
      </c>
    </row>
    <row r="10" customHeight="1" spans="1:2">
      <c r="A10" s="170" t="s">
        <v>215</v>
      </c>
      <c r="B10" s="170">
        <v>4261</v>
      </c>
    </row>
    <row r="11" customHeight="1" spans="1:2">
      <c r="A11" s="170" t="s">
        <v>216</v>
      </c>
      <c r="B11" s="170">
        <v>3801</v>
      </c>
    </row>
    <row r="12" customHeight="1" spans="1:2">
      <c r="A12" s="170" t="s">
        <v>217</v>
      </c>
      <c r="B12" s="170">
        <v>3442</v>
      </c>
    </row>
    <row r="13" customHeight="1" spans="1:2">
      <c r="A13" s="170" t="s">
        <v>218</v>
      </c>
      <c r="B13" s="170">
        <v>3000</v>
      </c>
    </row>
    <row r="14" customHeight="1" spans="1:2">
      <c r="A14" s="170" t="s">
        <v>219</v>
      </c>
      <c r="B14" s="170">
        <v>3080</v>
      </c>
    </row>
    <row r="15" customHeight="1" spans="1:2">
      <c r="A15" s="170" t="s">
        <v>220</v>
      </c>
      <c r="B15" s="170">
        <v>3381</v>
      </c>
    </row>
    <row r="16" customHeight="1" spans="1:2">
      <c r="A16" s="170" t="s">
        <v>221</v>
      </c>
      <c r="B16" s="170">
        <v>3629</v>
      </c>
    </row>
    <row r="17" customHeight="1" spans="1:2">
      <c r="A17" s="170" t="s">
        <v>222</v>
      </c>
      <c r="B17" s="170">
        <v>3822</v>
      </c>
    </row>
    <row r="18" customHeight="1" spans="1:2">
      <c r="A18" s="170" t="s">
        <v>223</v>
      </c>
      <c r="B18" s="170">
        <v>4161</v>
      </c>
    </row>
    <row r="19" customHeight="1" spans="1:2">
      <c r="A19" s="170" t="s">
        <v>224</v>
      </c>
      <c r="B19" s="170">
        <v>4318</v>
      </c>
    </row>
    <row r="20" customHeight="1" spans="1:2">
      <c r="A20" s="170" t="s">
        <v>225</v>
      </c>
      <c r="B20" s="170">
        <v>4564</v>
      </c>
    </row>
    <row r="21" customHeight="1" spans="1:2">
      <c r="A21" s="170" t="s">
        <v>226</v>
      </c>
      <c r="B21" s="170">
        <v>4459</v>
      </c>
    </row>
    <row r="22" customHeight="1" spans="1:2">
      <c r="A22" s="170" t="s">
        <v>227</v>
      </c>
      <c r="B22" s="170">
        <v>4329</v>
      </c>
    </row>
    <row r="23" customHeight="1" spans="1:2">
      <c r="A23" s="170" t="s">
        <v>228</v>
      </c>
      <c r="B23" s="170">
        <v>4185</v>
      </c>
    </row>
    <row r="24" customHeight="1" spans="1:2">
      <c r="A24" s="170" t="s">
        <v>229</v>
      </c>
      <c r="B24" s="170">
        <v>4277</v>
      </c>
    </row>
    <row r="25" customHeight="1" spans="1:2">
      <c r="A25" s="170" t="s">
        <v>230</v>
      </c>
      <c r="B25" s="170">
        <v>4362</v>
      </c>
    </row>
    <row r="26" ht="20" customHeight="1" spans="1:2">
      <c r="A26" s="170" t="s">
        <v>231</v>
      </c>
      <c r="B26" s="170">
        <v>4390</v>
      </c>
    </row>
    <row r="27" customHeight="1" spans="1:2">
      <c r="A27" s="170" t="s">
        <v>232</v>
      </c>
      <c r="B27" s="170">
        <v>4305</v>
      </c>
    </row>
    <row r="28" customHeight="1" spans="1:2">
      <c r="A28" s="170" t="s">
        <v>233</v>
      </c>
      <c r="B28" s="170">
        <v>4296</v>
      </c>
    </row>
    <row r="29" customHeight="1" spans="1:2">
      <c r="A29" s="170" t="s">
        <v>234</v>
      </c>
      <c r="B29" s="170">
        <v>4240</v>
      </c>
    </row>
    <row r="30" customHeight="1" spans="1:2">
      <c r="A30" s="170" t="s">
        <v>235</v>
      </c>
      <c r="B30" s="170">
        <v>4142</v>
      </c>
    </row>
    <row r="31" customHeight="1" spans="1:2">
      <c r="A31" s="170" t="s">
        <v>236</v>
      </c>
      <c r="B31" s="170">
        <v>3992</v>
      </c>
    </row>
    <row r="32" customHeight="1" spans="1:2">
      <c r="A32" s="170" t="s">
        <v>237</v>
      </c>
      <c r="B32" s="170">
        <v>4038</v>
      </c>
    </row>
    <row r="33" customHeight="1" spans="1:2">
      <c r="A33" s="170" t="s">
        <v>238</v>
      </c>
      <c r="B33" s="170">
        <v>4062</v>
      </c>
    </row>
    <row r="34" customHeight="1" spans="1:2">
      <c r="A34" s="170" t="s">
        <v>239</v>
      </c>
      <c r="B34" s="170">
        <v>4078</v>
      </c>
    </row>
    <row r="35" customHeight="1" spans="1:2">
      <c r="A35" s="170" t="s">
        <v>240</v>
      </c>
      <c r="B35" s="170">
        <v>4039</v>
      </c>
    </row>
    <row r="36" customHeight="1" spans="1:2">
      <c r="A36" s="170" t="s">
        <v>241</v>
      </c>
      <c r="B36" s="170">
        <v>4043</v>
      </c>
    </row>
    <row r="37" customHeight="1" spans="1:2">
      <c r="A37" s="170" t="s">
        <v>242</v>
      </c>
      <c r="B37" s="170">
        <v>4035</v>
      </c>
    </row>
    <row r="38" customHeight="1" spans="1:2">
      <c r="A38" s="170" t="s">
        <v>243</v>
      </c>
      <c r="B38" s="170">
        <v>3961</v>
      </c>
    </row>
    <row r="39" customHeight="1" spans="1:2">
      <c r="A39" s="170" t="s">
        <v>244</v>
      </c>
      <c r="B39" s="170">
        <v>3904</v>
      </c>
    </row>
    <row r="40" customHeight="1" spans="1:2">
      <c r="A40" s="170" t="s">
        <v>245</v>
      </c>
      <c r="B40" s="170">
        <v>3780</v>
      </c>
    </row>
  </sheetData>
  <mergeCells count="1">
    <mergeCell ref="A1:B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pane xSplit="1" ySplit="1" topLeftCell="B32" activePane="bottomRight" state="frozen"/>
      <selection/>
      <selection pane="topRight"/>
      <selection pane="bottomLeft"/>
      <selection pane="bottomRight" activeCell="I59" sqref="I59"/>
    </sheetView>
  </sheetViews>
  <sheetFormatPr defaultColWidth="13.1333333333333" defaultRowHeight="20.1" customHeight="1" outlineLevelCol="4"/>
  <cols>
    <col min="1" max="1" width="14.5" style="162" customWidth="1"/>
    <col min="2" max="16382" width="13.1333333333333" style="162" customWidth="1"/>
    <col min="16383" max="16384" width="13.1333333333333" style="162"/>
  </cols>
  <sheetData>
    <row r="1" ht="30" customHeight="1" spans="1:2">
      <c r="A1" s="163" t="s">
        <v>246</v>
      </c>
      <c r="B1" s="163" t="s">
        <v>247</v>
      </c>
    </row>
    <row r="2" customHeight="1" spans="1:2">
      <c r="A2" s="164" t="s">
        <v>208</v>
      </c>
      <c r="B2" s="164">
        <v>14149</v>
      </c>
    </row>
    <row r="3" customHeight="1" spans="1:2">
      <c r="A3" s="164" t="s">
        <v>248</v>
      </c>
      <c r="B3" s="164">
        <v>32183</v>
      </c>
    </row>
    <row r="4" customHeight="1" spans="1:2">
      <c r="A4" s="164" t="s">
        <v>249</v>
      </c>
      <c r="B4" s="164">
        <v>48224</v>
      </c>
    </row>
    <row r="5" customHeight="1" spans="1:2">
      <c r="A5" s="164" t="s">
        <v>250</v>
      </c>
      <c r="B5" s="164">
        <v>68861</v>
      </c>
    </row>
    <row r="6" customHeight="1" spans="1:2">
      <c r="A6" s="164" t="s">
        <v>212</v>
      </c>
      <c r="B6" s="164">
        <v>19983</v>
      </c>
    </row>
    <row r="7" customHeight="1" spans="1:2">
      <c r="A7" s="164" t="s">
        <v>251</v>
      </c>
      <c r="B7" s="164">
        <v>33422</v>
      </c>
    </row>
    <row r="8" customHeight="1" spans="1:2">
      <c r="A8" s="164" t="s">
        <v>252</v>
      </c>
      <c r="B8" s="164">
        <v>49579</v>
      </c>
    </row>
    <row r="9" customHeight="1" spans="1:2">
      <c r="A9" s="164" t="s">
        <v>253</v>
      </c>
      <c r="B9" s="164">
        <v>69382</v>
      </c>
    </row>
    <row r="10" customHeight="1" spans="1:2">
      <c r="A10" s="164" t="s">
        <v>216</v>
      </c>
      <c r="B10" s="164">
        <v>18842</v>
      </c>
    </row>
    <row r="11" customHeight="1" spans="1:2">
      <c r="A11" s="164" t="s">
        <v>254</v>
      </c>
      <c r="B11" s="164">
        <v>31346</v>
      </c>
    </row>
    <row r="12" customHeight="1" spans="1:2">
      <c r="A12" s="164" t="s">
        <v>255</v>
      </c>
      <c r="B12" s="164">
        <v>40978</v>
      </c>
    </row>
    <row r="13" customHeight="1" spans="1:5">
      <c r="A13" s="164" t="s">
        <v>256</v>
      </c>
      <c r="B13" s="164">
        <v>54419</v>
      </c>
      <c r="E13" s="165"/>
    </row>
    <row r="14" customHeight="1" spans="1:2">
      <c r="A14" s="164" t="s">
        <v>220</v>
      </c>
      <c r="B14" s="164">
        <v>13129</v>
      </c>
    </row>
    <row r="15" customHeight="1" spans="1:2">
      <c r="A15" s="164" t="s">
        <v>257</v>
      </c>
      <c r="B15" s="164">
        <v>25103</v>
      </c>
    </row>
    <row r="16" customHeight="1" spans="1:2">
      <c r="A16" s="164" t="s">
        <v>258</v>
      </c>
      <c r="B16" s="164">
        <v>36186</v>
      </c>
    </row>
    <row r="17" customHeight="1" spans="1:2">
      <c r="A17" s="164" t="s">
        <v>259</v>
      </c>
      <c r="B17" s="164">
        <v>52704</v>
      </c>
    </row>
    <row r="18" customHeight="1" spans="1:2">
      <c r="A18" s="164" t="s">
        <v>224</v>
      </c>
      <c r="B18" s="164">
        <v>17143</v>
      </c>
    </row>
    <row r="19" customHeight="1" spans="1:2">
      <c r="A19" s="164" t="s">
        <v>260</v>
      </c>
      <c r="B19" s="166">
        <v>33742</v>
      </c>
    </row>
    <row r="20" customHeight="1" spans="1:2">
      <c r="A20" s="167" t="s">
        <v>261</v>
      </c>
      <c r="B20" s="164">
        <v>49193</v>
      </c>
    </row>
    <row r="21" customHeight="1" spans="1:2">
      <c r="A21" s="167" t="s">
        <v>262</v>
      </c>
      <c r="B21" s="164">
        <v>67128</v>
      </c>
    </row>
    <row r="22" customHeight="1" spans="1:2">
      <c r="A22" s="167" t="s">
        <v>228</v>
      </c>
      <c r="B22" s="164">
        <v>19566</v>
      </c>
    </row>
    <row r="23" customHeight="1" spans="1:2">
      <c r="A23" s="167" t="s">
        <v>263</v>
      </c>
      <c r="B23" s="164">
        <v>36587</v>
      </c>
    </row>
    <row r="24" customHeight="1" spans="1:2">
      <c r="A24" s="168" t="s">
        <v>264</v>
      </c>
      <c r="B24" s="164">
        <v>52030</v>
      </c>
    </row>
    <row r="25" customHeight="1" spans="1:2">
      <c r="A25" s="168" t="s">
        <v>265</v>
      </c>
      <c r="B25" s="164">
        <v>69995</v>
      </c>
    </row>
    <row r="26" customHeight="1" spans="1:2">
      <c r="A26" s="167" t="s">
        <v>232</v>
      </c>
      <c r="B26" s="164">
        <v>19899</v>
      </c>
    </row>
    <row r="27" customHeight="1" spans="1:2">
      <c r="A27" s="167" t="s">
        <v>266</v>
      </c>
      <c r="B27" s="164">
        <v>37548</v>
      </c>
    </row>
    <row r="28" customHeight="1" spans="1:2">
      <c r="A28" s="167" t="s">
        <v>267</v>
      </c>
      <c r="B28" s="164">
        <v>53723</v>
      </c>
    </row>
    <row r="29" customHeight="1" spans="1:2">
      <c r="A29" s="167" t="s">
        <v>268</v>
      </c>
      <c r="B29" s="164">
        <v>72662</v>
      </c>
    </row>
    <row r="30" customHeight="1" spans="1:2">
      <c r="A30" s="167" t="s">
        <v>236</v>
      </c>
      <c r="B30" s="164">
        <v>19455</v>
      </c>
    </row>
    <row r="31" customHeight="1" spans="1:2">
      <c r="A31" s="167" t="s">
        <v>269</v>
      </c>
      <c r="B31" s="164">
        <v>36395</v>
      </c>
    </row>
    <row r="32" customHeight="1" spans="1:2">
      <c r="A32" s="167" t="s">
        <v>270</v>
      </c>
      <c r="B32" s="164">
        <v>52030</v>
      </c>
    </row>
    <row r="33" customHeight="1" spans="1:2">
      <c r="A33" s="167" t="s">
        <v>271</v>
      </c>
      <c r="B33" s="164">
        <v>70256</v>
      </c>
    </row>
    <row r="34" customHeight="1" spans="1:2">
      <c r="A34" s="167" t="s">
        <v>240</v>
      </c>
      <c r="B34" s="164">
        <v>19476</v>
      </c>
    </row>
    <row r="35" customHeight="1" spans="1:2">
      <c r="A35" s="167" t="s">
        <v>272</v>
      </c>
      <c r="B35" s="164">
        <v>36619</v>
      </c>
    </row>
    <row r="36" customHeight="1" spans="1:2">
      <c r="A36" s="167" t="s">
        <v>273</v>
      </c>
      <c r="B36" s="164">
        <v>52992</v>
      </c>
    </row>
    <row r="37" customHeight="1" spans="1:2">
      <c r="A37" s="167" t="s">
        <v>274</v>
      </c>
      <c r="B37" s="164">
        <v>71973</v>
      </c>
    </row>
    <row r="38" customHeight="1" spans="1:2">
      <c r="A38" s="167" t="s">
        <v>244</v>
      </c>
      <c r="B38" s="164">
        <v>20026</v>
      </c>
    </row>
    <row r="39" customHeight="1" spans="1:2">
      <c r="A39" s="167" t="s">
        <v>275</v>
      </c>
      <c r="B39" s="164">
        <v>37246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9"/>
  <sheetViews>
    <sheetView workbookViewId="0">
      <pane ySplit="1" topLeftCell="A148" activePane="bottomLeft" state="frozen"/>
      <selection/>
      <selection pane="bottomLeft" activeCell="H159" sqref="H159"/>
    </sheetView>
  </sheetViews>
  <sheetFormatPr defaultColWidth="13.1333333333333" defaultRowHeight="20.1" customHeight="1" outlineLevelCol="6"/>
  <cols>
    <col min="1" max="1" width="13.1333333333333" style="146" customWidth="1"/>
    <col min="2" max="2" width="13.1333333333333" style="147" customWidth="1"/>
    <col min="3" max="3" width="13.1333333333333" customWidth="1"/>
  </cols>
  <sheetData>
    <row r="1" ht="30" customHeight="1" spans="1:3">
      <c r="A1" s="105" t="s">
        <v>62</v>
      </c>
      <c r="B1" s="148" t="s">
        <v>276</v>
      </c>
      <c r="C1" s="149"/>
    </row>
    <row r="2" customHeight="1" spans="1:3">
      <c r="A2" s="130">
        <v>39844</v>
      </c>
      <c r="B2" s="128">
        <v>45616</v>
      </c>
      <c r="C2" s="150"/>
    </row>
    <row r="3" customHeight="1" spans="1:3">
      <c r="A3" s="135">
        <v>39872</v>
      </c>
      <c r="B3" s="134">
        <v>44594</v>
      </c>
      <c r="C3" s="151"/>
    </row>
    <row r="4" customHeight="1" spans="1:3">
      <c r="A4" s="135">
        <v>39903</v>
      </c>
      <c r="B4" s="134">
        <v>44861</v>
      </c>
      <c r="C4" s="151"/>
    </row>
    <row r="5" customHeight="1" spans="1:3">
      <c r="A5" s="135">
        <v>39933</v>
      </c>
      <c r="B5" s="134">
        <v>45489</v>
      </c>
      <c r="C5" s="151"/>
    </row>
    <row r="6" customHeight="1" spans="1:3">
      <c r="A6" s="135">
        <v>39964</v>
      </c>
      <c r="B6" s="134">
        <v>45325</v>
      </c>
      <c r="C6" s="151"/>
    </row>
    <row r="7" customHeight="1" spans="1:3">
      <c r="A7" s="135">
        <v>39994</v>
      </c>
      <c r="B7" s="134">
        <v>44720</v>
      </c>
      <c r="C7" s="151"/>
    </row>
    <row r="8" customHeight="1" spans="1:3">
      <c r="A8" s="135">
        <v>40025</v>
      </c>
      <c r="B8" s="134">
        <v>45006</v>
      </c>
      <c r="C8" s="151"/>
    </row>
    <row r="9" customHeight="1" spans="1:3">
      <c r="A9" s="135">
        <v>40056</v>
      </c>
      <c r="B9" s="134">
        <v>45816</v>
      </c>
      <c r="C9" s="151"/>
    </row>
    <row r="10" customHeight="1" spans="1:3">
      <c r="A10" s="135">
        <v>40086</v>
      </c>
      <c r="B10" s="134">
        <v>46516</v>
      </c>
      <c r="C10" s="151"/>
    </row>
    <row r="11" customHeight="1" spans="1:3">
      <c r="A11" s="135">
        <v>40117</v>
      </c>
      <c r="B11" s="134">
        <v>46921</v>
      </c>
      <c r="C11" s="151"/>
    </row>
    <row r="12" customHeight="1" spans="1:3">
      <c r="A12" s="135">
        <v>40147</v>
      </c>
      <c r="B12" s="134">
        <v>46590</v>
      </c>
      <c r="C12" s="151"/>
    </row>
    <row r="13" customHeight="1" spans="1:3">
      <c r="A13" s="135">
        <v>40178</v>
      </c>
      <c r="B13" s="134">
        <v>46900</v>
      </c>
      <c r="C13" s="151"/>
    </row>
    <row r="14" customHeight="1" spans="1:3">
      <c r="A14" s="135">
        <v>40209</v>
      </c>
      <c r="B14" s="134">
        <v>45500</v>
      </c>
      <c r="C14" s="151"/>
    </row>
    <row r="15" customHeight="1" spans="1:3">
      <c r="A15" s="135">
        <v>40237</v>
      </c>
      <c r="B15" s="134">
        <v>44330</v>
      </c>
      <c r="C15" s="151"/>
    </row>
    <row r="16" customHeight="1" spans="1:3">
      <c r="A16" s="135">
        <v>40268</v>
      </c>
      <c r="B16" s="134">
        <v>44130</v>
      </c>
      <c r="C16" s="151"/>
    </row>
    <row r="17" customHeight="1" spans="1:3">
      <c r="A17" s="135">
        <v>40298</v>
      </c>
      <c r="B17" s="134">
        <v>43600</v>
      </c>
      <c r="C17" s="151"/>
    </row>
    <row r="18" customHeight="1" spans="1:3">
      <c r="A18" s="135">
        <v>40329</v>
      </c>
      <c r="B18" s="134">
        <v>43370</v>
      </c>
      <c r="C18" s="151"/>
    </row>
    <row r="19" customHeight="1" spans="1:3">
      <c r="A19" s="135">
        <v>40359</v>
      </c>
      <c r="B19" s="134">
        <v>43670</v>
      </c>
      <c r="C19" s="151"/>
    </row>
    <row r="20" customHeight="1" spans="1:3">
      <c r="A20" s="135">
        <v>40390</v>
      </c>
      <c r="B20" s="134">
        <v>44000</v>
      </c>
      <c r="C20" s="151"/>
    </row>
    <row r="21" customHeight="1" spans="1:3">
      <c r="A21" s="135">
        <v>40421</v>
      </c>
      <c r="B21" s="134">
        <v>44180</v>
      </c>
      <c r="C21" s="151"/>
    </row>
    <row r="22" customHeight="1" spans="1:3">
      <c r="A22" s="135">
        <v>40451</v>
      </c>
      <c r="B22" s="134">
        <v>45450</v>
      </c>
      <c r="C22" s="151"/>
    </row>
    <row r="23" customHeight="1" spans="1:3">
      <c r="A23" s="135">
        <v>40482</v>
      </c>
      <c r="B23" s="134">
        <v>45440</v>
      </c>
      <c r="C23" s="151"/>
    </row>
    <row r="24" customHeight="1" spans="1:3">
      <c r="A24" s="135">
        <v>40512</v>
      </c>
      <c r="B24" s="134">
        <v>45470</v>
      </c>
      <c r="C24" s="151"/>
    </row>
    <row r="25" customHeight="1" spans="1:3">
      <c r="A25" s="135">
        <v>40543</v>
      </c>
      <c r="B25" s="134">
        <v>45380</v>
      </c>
      <c r="C25" s="151"/>
    </row>
    <row r="26" customHeight="1" spans="1:3">
      <c r="A26" s="135">
        <v>40574</v>
      </c>
      <c r="B26" s="134">
        <v>44510</v>
      </c>
      <c r="C26" s="151"/>
    </row>
    <row r="27" customHeight="1" spans="1:3">
      <c r="A27" s="135">
        <v>40602</v>
      </c>
      <c r="B27" s="134">
        <v>44410</v>
      </c>
      <c r="C27" s="151"/>
    </row>
    <row r="28" customHeight="1" spans="1:3">
      <c r="A28" s="135">
        <v>40633</v>
      </c>
      <c r="B28" s="134">
        <v>44750</v>
      </c>
      <c r="C28" s="151"/>
    </row>
    <row r="29" customHeight="1" spans="1:3">
      <c r="A29" s="135">
        <v>40663</v>
      </c>
      <c r="B29" s="134">
        <v>44920</v>
      </c>
      <c r="C29" s="151"/>
    </row>
    <row r="30" customHeight="1" spans="1:3">
      <c r="A30" s="135">
        <v>40694</v>
      </c>
      <c r="B30" s="134">
        <v>45280</v>
      </c>
      <c r="C30" s="151"/>
    </row>
    <row r="31" customHeight="1" spans="1:3">
      <c r="A31" s="135">
        <v>40724</v>
      </c>
      <c r="B31" s="134">
        <v>45640</v>
      </c>
      <c r="C31" s="151"/>
    </row>
    <row r="32" customHeight="1" spans="1:3">
      <c r="A32" s="135">
        <v>40755</v>
      </c>
      <c r="B32" s="134">
        <v>46142</v>
      </c>
      <c r="C32" s="151"/>
    </row>
    <row r="33" customHeight="1" spans="1:3">
      <c r="A33" s="135">
        <v>40786</v>
      </c>
      <c r="B33" s="134">
        <v>46557</v>
      </c>
      <c r="C33" s="151"/>
    </row>
    <row r="34" customHeight="1" spans="1:3">
      <c r="A34" s="135">
        <v>40816</v>
      </c>
      <c r="B34" s="134">
        <v>47158</v>
      </c>
      <c r="C34" s="151"/>
    </row>
    <row r="35" customHeight="1" spans="1:3">
      <c r="A35" s="135">
        <v>40847</v>
      </c>
      <c r="B35" s="134">
        <v>47516</v>
      </c>
      <c r="C35" s="151"/>
    </row>
    <row r="36" customHeight="1" spans="1:3">
      <c r="A36" s="135">
        <v>40877</v>
      </c>
      <c r="B36" s="134">
        <v>47625</v>
      </c>
      <c r="C36" s="151"/>
    </row>
    <row r="37" customHeight="1" spans="1:3">
      <c r="A37" s="135">
        <v>40908</v>
      </c>
      <c r="B37" s="134">
        <v>47334</v>
      </c>
      <c r="C37" s="151"/>
    </row>
    <row r="38" customHeight="1" spans="1:3">
      <c r="A38" s="135">
        <v>40939</v>
      </c>
      <c r="B38" s="134">
        <v>46467</v>
      </c>
      <c r="C38" s="151"/>
    </row>
    <row r="39" customHeight="1" spans="1:3">
      <c r="A39" s="135">
        <v>40968</v>
      </c>
      <c r="B39" s="134">
        <v>45846</v>
      </c>
      <c r="C39" s="151"/>
    </row>
    <row r="40" customHeight="1" spans="1:3">
      <c r="A40" s="135">
        <v>40999</v>
      </c>
      <c r="B40" s="134">
        <v>46167</v>
      </c>
      <c r="C40" s="151"/>
    </row>
    <row r="41" customHeight="1" spans="1:3">
      <c r="A41" s="135">
        <v>41029</v>
      </c>
      <c r="B41" s="134">
        <v>46306</v>
      </c>
      <c r="C41" s="151"/>
    </row>
    <row r="42" customHeight="1" spans="1:3">
      <c r="A42" s="135">
        <v>41060</v>
      </c>
      <c r="B42" s="134">
        <v>46121</v>
      </c>
      <c r="C42" s="151"/>
    </row>
    <row r="43" customHeight="1" spans="1:3">
      <c r="A43" s="135">
        <v>41090</v>
      </c>
      <c r="B43" s="134">
        <v>46213</v>
      </c>
      <c r="C43" s="151"/>
    </row>
    <row r="44" customHeight="1" spans="1:3">
      <c r="A44" s="135">
        <v>41121</v>
      </c>
      <c r="B44" s="134">
        <v>46213</v>
      </c>
      <c r="C44" s="151"/>
    </row>
    <row r="45" customHeight="1" spans="1:3">
      <c r="A45" s="135">
        <v>41152</v>
      </c>
      <c r="B45" s="134">
        <v>46629</v>
      </c>
      <c r="C45" s="151"/>
    </row>
    <row r="46" customHeight="1" spans="1:3">
      <c r="A46" s="135">
        <v>41182</v>
      </c>
      <c r="B46" s="134">
        <v>47235</v>
      </c>
      <c r="C46" s="151"/>
    </row>
    <row r="47" customHeight="1" spans="1:3">
      <c r="A47" s="135">
        <v>41213</v>
      </c>
      <c r="B47" s="134">
        <v>47282</v>
      </c>
      <c r="C47" s="151"/>
    </row>
    <row r="48" customHeight="1" spans="1:3">
      <c r="A48" s="135">
        <v>41243</v>
      </c>
      <c r="B48" s="134">
        <v>46904</v>
      </c>
      <c r="C48" s="151"/>
    </row>
    <row r="49" customHeight="1" spans="1:3">
      <c r="A49" s="135">
        <v>41274</v>
      </c>
      <c r="B49" s="134">
        <v>46294</v>
      </c>
      <c r="C49" s="151"/>
    </row>
    <row r="50" customHeight="1" spans="1:3">
      <c r="A50" s="135">
        <v>41305</v>
      </c>
      <c r="B50" s="134">
        <v>44813</v>
      </c>
      <c r="C50" s="151"/>
    </row>
    <row r="51" customHeight="1" spans="1:3">
      <c r="A51" s="135">
        <v>41333</v>
      </c>
      <c r="B51" s="134">
        <v>43962</v>
      </c>
      <c r="C51" s="151"/>
    </row>
    <row r="52" customHeight="1" spans="1:3">
      <c r="A52" s="135">
        <v>41364</v>
      </c>
      <c r="B52" s="134">
        <v>44358</v>
      </c>
      <c r="C52" s="151"/>
    </row>
    <row r="53" customHeight="1" spans="1:3">
      <c r="A53" s="135">
        <v>41394</v>
      </c>
      <c r="B53" s="134">
        <v>44669</v>
      </c>
      <c r="C53" s="151"/>
    </row>
    <row r="54" customHeight="1" spans="1:3">
      <c r="A54" s="135">
        <v>41425</v>
      </c>
      <c r="B54" s="134">
        <v>44758</v>
      </c>
      <c r="C54" s="151"/>
    </row>
    <row r="55" customHeight="1" spans="1:3">
      <c r="A55" s="135">
        <v>41455</v>
      </c>
      <c r="B55" s="134">
        <v>45206</v>
      </c>
      <c r="C55" s="151"/>
    </row>
    <row r="56" customHeight="1" spans="1:3">
      <c r="A56" s="135">
        <v>41486</v>
      </c>
      <c r="B56" s="134">
        <v>45748</v>
      </c>
      <c r="C56" s="151"/>
    </row>
    <row r="57" customHeight="1" spans="1:3">
      <c r="A57" s="135">
        <v>41517</v>
      </c>
      <c r="B57" s="134">
        <v>46160</v>
      </c>
      <c r="C57" s="151"/>
    </row>
    <row r="58" customHeight="1" spans="1:3">
      <c r="A58" s="135">
        <v>41547</v>
      </c>
      <c r="B58" s="134">
        <v>46483</v>
      </c>
      <c r="C58" s="151"/>
    </row>
    <row r="59" customHeight="1" spans="1:3">
      <c r="A59" s="135">
        <v>41578</v>
      </c>
      <c r="B59" s="134">
        <v>46762</v>
      </c>
      <c r="C59" s="151"/>
    </row>
    <row r="60" customHeight="1" spans="1:3">
      <c r="A60" s="135">
        <v>41608</v>
      </c>
      <c r="B60" s="134">
        <v>46856</v>
      </c>
      <c r="C60" s="151"/>
    </row>
    <row r="61" customHeight="1" spans="1:3">
      <c r="A61" s="135">
        <v>41639</v>
      </c>
      <c r="B61" s="134">
        <v>45731</v>
      </c>
      <c r="C61" s="151"/>
    </row>
    <row r="62" customHeight="1" spans="1:3">
      <c r="A62" s="135">
        <v>41670</v>
      </c>
      <c r="B62" s="134">
        <v>43810</v>
      </c>
      <c r="C62" s="151"/>
    </row>
    <row r="63" customHeight="1" spans="1:3">
      <c r="A63" s="135">
        <v>41698</v>
      </c>
      <c r="B63" s="134">
        <v>43416</v>
      </c>
      <c r="C63" s="151"/>
    </row>
    <row r="64" customHeight="1" spans="1:3">
      <c r="A64" s="135">
        <v>41729</v>
      </c>
      <c r="B64" s="134">
        <v>43416</v>
      </c>
      <c r="C64" s="151"/>
    </row>
    <row r="65" customHeight="1" spans="1:3">
      <c r="A65" s="135">
        <v>41759</v>
      </c>
      <c r="B65" s="134">
        <v>42852</v>
      </c>
      <c r="C65" s="151"/>
    </row>
    <row r="66" customHeight="1" spans="1:3">
      <c r="A66" s="135">
        <v>41790</v>
      </c>
      <c r="B66" s="134">
        <v>42809</v>
      </c>
      <c r="C66" s="151"/>
    </row>
    <row r="67" customHeight="1" spans="1:3">
      <c r="A67" s="135">
        <v>41820</v>
      </c>
      <c r="B67" s="134">
        <v>42895</v>
      </c>
      <c r="C67" s="151"/>
    </row>
    <row r="68" customHeight="1" spans="1:3">
      <c r="A68" s="135">
        <v>41851</v>
      </c>
      <c r="B68" s="134">
        <v>43024</v>
      </c>
      <c r="C68" s="151"/>
    </row>
    <row r="69" customHeight="1" spans="1:3">
      <c r="A69" s="135">
        <v>41882</v>
      </c>
      <c r="B69" s="134">
        <v>43282</v>
      </c>
      <c r="C69" s="151"/>
    </row>
    <row r="70" customHeight="1" spans="1:3">
      <c r="A70" s="135">
        <v>41912</v>
      </c>
      <c r="B70" s="134">
        <v>43628</v>
      </c>
      <c r="C70" s="151"/>
    </row>
    <row r="71" customHeight="1" spans="1:3">
      <c r="A71" s="135">
        <v>41943</v>
      </c>
      <c r="B71" s="134">
        <v>43541</v>
      </c>
      <c r="C71" s="151"/>
    </row>
    <row r="72" customHeight="1" spans="1:3">
      <c r="A72" s="135">
        <v>41973</v>
      </c>
      <c r="B72" s="134">
        <v>43149</v>
      </c>
      <c r="C72" s="151"/>
    </row>
    <row r="73" customHeight="1" spans="1:3">
      <c r="A73" s="135">
        <v>42004</v>
      </c>
      <c r="B73" s="134">
        <v>42157</v>
      </c>
      <c r="C73" s="151"/>
    </row>
    <row r="74" customHeight="1" spans="1:3">
      <c r="A74" s="135">
        <v>42035</v>
      </c>
      <c r="B74" s="134">
        <v>40555</v>
      </c>
      <c r="C74" s="151"/>
    </row>
    <row r="75" customHeight="1" spans="1:3">
      <c r="A75" s="135">
        <v>42063</v>
      </c>
      <c r="B75" s="134">
        <v>38973</v>
      </c>
      <c r="C75" s="151"/>
    </row>
    <row r="76" customHeight="1" spans="1:3">
      <c r="A76" s="135">
        <v>42094</v>
      </c>
      <c r="B76" s="134">
        <v>38700</v>
      </c>
      <c r="C76" s="151"/>
    </row>
    <row r="77" customHeight="1" spans="1:3">
      <c r="A77" s="135">
        <v>42124</v>
      </c>
      <c r="B77" s="134">
        <v>38692</v>
      </c>
      <c r="C77" s="151"/>
    </row>
    <row r="78" customHeight="1" spans="1:3">
      <c r="A78" s="135">
        <v>42155</v>
      </c>
      <c r="B78" s="134">
        <v>38615</v>
      </c>
      <c r="C78" s="151"/>
    </row>
    <row r="79" customHeight="1" spans="1:3">
      <c r="A79" s="135">
        <v>42185</v>
      </c>
      <c r="B79" s="134">
        <v>38461</v>
      </c>
      <c r="C79" s="151"/>
    </row>
    <row r="80" customHeight="1" spans="1:3">
      <c r="A80" s="135">
        <v>42216</v>
      </c>
      <c r="B80" s="134">
        <v>38538</v>
      </c>
      <c r="C80" s="151"/>
    </row>
    <row r="81" customHeight="1" spans="1:3">
      <c r="A81" s="135">
        <v>42247</v>
      </c>
      <c r="B81" s="134">
        <v>38731</v>
      </c>
      <c r="C81" s="151"/>
    </row>
    <row r="82" customHeight="1" spans="1:3">
      <c r="A82" s="135">
        <v>42277</v>
      </c>
      <c r="B82" s="134">
        <v>38963</v>
      </c>
      <c r="C82" s="151"/>
    </row>
    <row r="83" customHeight="1" spans="1:3">
      <c r="A83" s="135">
        <v>42308</v>
      </c>
      <c r="B83" s="134">
        <v>39080</v>
      </c>
      <c r="C83" s="151"/>
    </row>
    <row r="84" customHeight="1" spans="1:3">
      <c r="A84" s="135">
        <v>42338</v>
      </c>
      <c r="B84" s="134">
        <v>38806</v>
      </c>
      <c r="C84" s="151"/>
    </row>
    <row r="85" customHeight="1" spans="1:3">
      <c r="A85" s="135">
        <v>42369</v>
      </c>
      <c r="B85" s="134">
        <v>38379</v>
      </c>
      <c r="C85" s="151"/>
    </row>
    <row r="86" customHeight="1" spans="1:3">
      <c r="A86" s="135">
        <v>42400</v>
      </c>
      <c r="B86" s="134">
        <v>37343</v>
      </c>
      <c r="C86" s="151"/>
    </row>
    <row r="87" customHeight="1" spans="1:3">
      <c r="A87" s="135">
        <v>42429</v>
      </c>
      <c r="B87" s="134">
        <v>36671</v>
      </c>
      <c r="C87" s="151"/>
    </row>
    <row r="88" customHeight="1" spans="1:3">
      <c r="A88" s="135">
        <v>42460</v>
      </c>
      <c r="B88" s="134">
        <v>37001</v>
      </c>
      <c r="C88" s="151"/>
    </row>
    <row r="89" customHeight="1" spans="1:3">
      <c r="A89" s="135">
        <v>42490</v>
      </c>
      <c r="B89" s="134">
        <v>37223</v>
      </c>
      <c r="C89" s="151"/>
    </row>
    <row r="90" customHeight="1" spans="1:3">
      <c r="A90" s="135">
        <v>42521</v>
      </c>
      <c r="B90" s="134">
        <v>37372</v>
      </c>
      <c r="C90" s="151"/>
    </row>
    <row r="91" customHeight="1" spans="1:3">
      <c r="A91" s="135">
        <v>42551</v>
      </c>
      <c r="B91" s="134">
        <v>37634</v>
      </c>
      <c r="C91" s="151"/>
    </row>
    <row r="92" customHeight="1" spans="1:3">
      <c r="A92" s="135">
        <v>42582</v>
      </c>
      <c r="B92" s="134">
        <v>37596</v>
      </c>
      <c r="C92" s="151"/>
    </row>
    <row r="93" customHeight="1" spans="1:3">
      <c r="A93" s="135">
        <v>42613</v>
      </c>
      <c r="B93" s="134">
        <v>37671</v>
      </c>
      <c r="C93" s="151"/>
    </row>
    <row r="94" customHeight="1" spans="1:3">
      <c r="A94" s="135">
        <v>42643</v>
      </c>
      <c r="B94" s="134">
        <v>37709</v>
      </c>
      <c r="C94" s="151"/>
    </row>
    <row r="95" customHeight="1" spans="1:3">
      <c r="A95" s="135">
        <v>42674</v>
      </c>
      <c r="B95" s="134">
        <v>37709</v>
      </c>
      <c r="C95" s="151"/>
    </row>
    <row r="96" customHeight="1" spans="1:3">
      <c r="A96" s="135">
        <v>42704</v>
      </c>
      <c r="B96" s="134">
        <v>37483</v>
      </c>
      <c r="C96" s="151"/>
    </row>
    <row r="97" customHeight="1" spans="1:3">
      <c r="A97" s="135">
        <v>42735</v>
      </c>
      <c r="B97" s="134">
        <v>36733</v>
      </c>
      <c r="C97" s="151"/>
    </row>
    <row r="98" customHeight="1" spans="1:3">
      <c r="A98" s="135">
        <v>42766</v>
      </c>
      <c r="B98" s="134">
        <v>35668</v>
      </c>
      <c r="C98" s="151"/>
    </row>
    <row r="99" customHeight="1" spans="1:3">
      <c r="A99" s="135">
        <v>42794</v>
      </c>
      <c r="B99" s="134">
        <v>35597</v>
      </c>
      <c r="C99" s="151"/>
    </row>
    <row r="100" customHeight="1" spans="1:3">
      <c r="A100" s="135">
        <v>42825</v>
      </c>
      <c r="B100" s="134">
        <v>35953</v>
      </c>
      <c r="C100" s="151"/>
    </row>
    <row r="101" customHeight="1" spans="1:3">
      <c r="A101" s="135">
        <v>42855</v>
      </c>
      <c r="B101" s="134">
        <v>36097</v>
      </c>
      <c r="C101" s="151"/>
    </row>
    <row r="102" customHeight="1" spans="1:3">
      <c r="A102" s="135">
        <v>42886</v>
      </c>
      <c r="B102" s="134">
        <v>35556</v>
      </c>
      <c r="C102" s="151"/>
    </row>
    <row r="103" customHeight="1" spans="1:3">
      <c r="A103" s="135">
        <v>42916</v>
      </c>
      <c r="B103" s="134">
        <v>35485</v>
      </c>
      <c r="C103" s="151"/>
    </row>
    <row r="104" customHeight="1" spans="1:3">
      <c r="A104" s="135">
        <v>42947</v>
      </c>
      <c r="B104" s="134">
        <v>35237</v>
      </c>
      <c r="C104" s="151"/>
    </row>
    <row r="105" customHeight="1" spans="1:3">
      <c r="A105" s="135">
        <v>42978</v>
      </c>
      <c r="B105" s="134">
        <v>35061</v>
      </c>
      <c r="C105" s="151"/>
    </row>
    <row r="106" customHeight="1" spans="1:3">
      <c r="A106" s="135">
        <v>43008</v>
      </c>
      <c r="B106" s="134">
        <v>34991</v>
      </c>
      <c r="C106" s="151"/>
    </row>
    <row r="107" customHeight="1" spans="1:3">
      <c r="A107" s="135">
        <v>43039</v>
      </c>
      <c r="B107" s="134">
        <v>34921</v>
      </c>
      <c r="C107" s="151"/>
    </row>
    <row r="108" customHeight="1" spans="1:3">
      <c r="A108" s="135">
        <v>43069</v>
      </c>
      <c r="B108" s="134">
        <v>34886</v>
      </c>
      <c r="C108" s="151"/>
    </row>
    <row r="109" customHeight="1" spans="1:3">
      <c r="A109" s="135">
        <v>43100</v>
      </c>
      <c r="B109" s="134">
        <v>34153</v>
      </c>
      <c r="C109" s="151"/>
    </row>
    <row r="110" customHeight="1" spans="1:3">
      <c r="A110" s="135">
        <v>43131</v>
      </c>
      <c r="B110" s="134">
        <v>33743</v>
      </c>
      <c r="C110" s="151"/>
    </row>
    <row r="111" customHeight="1" spans="1:3">
      <c r="A111" s="135">
        <v>43159</v>
      </c>
      <c r="B111" s="134">
        <v>33439</v>
      </c>
      <c r="C111" s="151"/>
    </row>
    <row r="112" customHeight="1" spans="1:3">
      <c r="A112" s="135">
        <v>43190</v>
      </c>
      <c r="B112" s="134">
        <v>33907</v>
      </c>
      <c r="C112" s="151"/>
    </row>
    <row r="113" customHeight="1" spans="1:3">
      <c r="A113" s="135">
        <v>43220</v>
      </c>
      <c r="B113" s="134">
        <v>33636</v>
      </c>
      <c r="C113" s="151"/>
    </row>
    <row r="114" customHeight="1" spans="1:3">
      <c r="A114" s="135">
        <v>43251</v>
      </c>
      <c r="B114" s="134">
        <v>32997</v>
      </c>
      <c r="C114" s="151"/>
    </row>
    <row r="115" customHeight="1" spans="1:3">
      <c r="A115" s="135">
        <v>43281</v>
      </c>
      <c r="B115" s="134">
        <v>32601</v>
      </c>
      <c r="C115" s="151"/>
    </row>
    <row r="116" customHeight="1" spans="1:3">
      <c r="A116" s="135">
        <v>43312</v>
      </c>
      <c r="B116" s="134">
        <v>32340</v>
      </c>
      <c r="C116" s="151"/>
    </row>
    <row r="117" customHeight="1" spans="1:3">
      <c r="A117" s="135">
        <v>43343</v>
      </c>
      <c r="B117" s="134">
        <v>32243</v>
      </c>
      <c r="C117" s="151"/>
    </row>
    <row r="118" customHeight="1" spans="1:3">
      <c r="A118" s="135">
        <v>43373</v>
      </c>
      <c r="B118" s="134">
        <v>32501</v>
      </c>
      <c r="C118" s="151"/>
    </row>
    <row r="119" customHeight="1" spans="1:3">
      <c r="A119" s="135">
        <v>43404</v>
      </c>
      <c r="B119" s="134">
        <v>32534</v>
      </c>
      <c r="C119" s="151"/>
    </row>
    <row r="120" customHeight="1" spans="1:3">
      <c r="A120" s="135">
        <v>43434</v>
      </c>
      <c r="B120" s="134">
        <v>32306</v>
      </c>
      <c r="C120" s="151"/>
    </row>
    <row r="121" customHeight="1" spans="1:3">
      <c r="A121" s="135">
        <v>43465</v>
      </c>
      <c r="B121" s="134">
        <v>31111</v>
      </c>
      <c r="C121" s="151"/>
    </row>
    <row r="122" customHeight="1" spans="1:3">
      <c r="A122" s="135">
        <v>43496</v>
      </c>
      <c r="B122" s="134">
        <v>29338</v>
      </c>
      <c r="C122" s="151"/>
    </row>
    <row r="123" customHeight="1" spans="1:3">
      <c r="A123" s="135">
        <v>43524</v>
      </c>
      <c r="B123" s="134">
        <v>27754</v>
      </c>
      <c r="C123" s="151"/>
    </row>
    <row r="124" customHeight="1" spans="1:3">
      <c r="A124" s="135">
        <v>43555</v>
      </c>
      <c r="B124" s="134">
        <v>27420</v>
      </c>
      <c r="C124" s="151"/>
    </row>
    <row r="125" customHeight="1" spans="1:3">
      <c r="A125" s="135">
        <v>43585</v>
      </c>
      <c r="B125" s="134">
        <v>26640</v>
      </c>
      <c r="C125" s="151"/>
    </row>
    <row r="126" customHeight="1" spans="1:3">
      <c r="A126" s="135">
        <v>43616</v>
      </c>
      <c r="B126" s="134">
        <v>25441</v>
      </c>
      <c r="C126" s="151"/>
    </row>
    <row r="127" customHeight="1" spans="1:3">
      <c r="A127" s="135">
        <v>43646</v>
      </c>
      <c r="B127" s="134">
        <v>24207</v>
      </c>
      <c r="C127" s="151"/>
    </row>
    <row r="128" customHeight="1" spans="1:3">
      <c r="A128" s="135">
        <v>43677</v>
      </c>
      <c r="B128" s="134">
        <v>21932</v>
      </c>
      <c r="C128" s="151"/>
    </row>
    <row r="129" customHeight="1" spans="1:3">
      <c r="A129" s="135">
        <v>43708</v>
      </c>
      <c r="B129" s="134">
        <f>B128*(1+C129)</f>
        <v>19782.664</v>
      </c>
      <c r="C129" s="152">
        <v>-0.098</v>
      </c>
    </row>
    <row r="130" customHeight="1" spans="1:3">
      <c r="A130" s="135">
        <v>43738</v>
      </c>
      <c r="B130" s="134">
        <f>B129*(1+C130)</f>
        <v>19189.18408</v>
      </c>
      <c r="C130" s="152">
        <v>-0.03</v>
      </c>
    </row>
    <row r="131" customHeight="1" spans="1:3">
      <c r="A131" s="135">
        <v>43769</v>
      </c>
      <c r="B131" s="134">
        <f>B130*(1+C131)</f>
        <v>19074.04897552</v>
      </c>
      <c r="C131" s="152">
        <v>-0.006</v>
      </c>
    </row>
    <row r="132" customHeight="1" spans="1:3">
      <c r="A132" s="135">
        <v>43799</v>
      </c>
      <c r="B132" s="134">
        <f>B131*(1+C132)</f>
        <v>19455.5299550304</v>
      </c>
      <c r="C132" s="152">
        <v>0.02</v>
      </c>
    </row>
    <row r="133" customHeight="1" spans="1:3">
      <c r="A133" s="138">
        <v>43830</v>
      </c>
      <c r="B133" s="153">
        <f>B132*(1+C133)</f>
        <v>19883.5516140411</v>
      </c>
      <c r="C133" s="154">
        <v>0.022</v>
      </c>
    </row>
    <row r="134" customHeight="1" spans="4:7">
      <c r="D134" s="155" t="s">
        <v>220</v>
      </c>
      <c r="E134" s="156">
        <v>32120</v>
      </c>
      <c r="F134" s="157" t="s">
        <v>277</v>
      </c>
      <c r="G134" s="158"/>
    </row>
    <row r="135" customHeight="1" spans="4:7">
      <c r="D135" s="155" t="s">
        <v>221</v>
      </c>
      <c r="E135" s="156">
        <v>33996</v>
      </c>
      <c r="F135" s="159"/>
      <c r="G135" s="158"/>
    </row>
    <row r="136" customHeight="1" spans="4:7">
      <c r="D136" s="155" t="s">
        <v>222</v>
      </c>
      <c r="E136" s="156">
        <v>37039</v>
      </c>
      <c r="F136" s="159"/>
      <c r="G136" s="158"/>
    </row>
    <row r="137" customHeight="1" spans="4:7">
      <c r="D137" s="155" t="s">
        <v>223</v>
      </c>
      <c r="E137" s="156">
        <v>40650</v>
      </c>
      <c r="F137" s="159"/>
      <c r="G137" s="158"/>
    </row>
    <row r="138" customHeight="1" spans="4:7">
      <c r="D138" s="160" t="s">
        <v>224</v>
      </c>
      <c r="E138" s="156">
        <v>41595</v>
      </c>
      <c r="F138" s="159"/>
      <c r="G138" s="158"/>
    </row>
    <row r="139" customHeight="1" spans="4:7">
      <c r="D139" s="160" t="s">
        <v>225</v>
      </c>
      <c r="E139" s="156">
        <v>43911</v>
      </c>
      <c r="F139" s="159"/>
      <c r="G139" s="158"/>
    </row>
    <row r="140" customHeight="1" spans="4:7">
      <c r="D140" s="160" t="s">
        <v>226</v>
      </c>
      <c r="E140" s="156">
        <v>43764</v>
      </c>
      <c r="F140" s="159"/>
      <c r="G140" s="158"/>
    </row>
    <row r="141" customHeight="1" spans="4:7">
      <c r="D141" s="160" t="s">
        <v>227</v>
      </c>
      <c r="E141" s="156">
        <v>44922</v>
      </c>
      <c r="F141" s="159"/>
      <c r="G141" s="158"/>
    </row>
    <row r="142" customHeight="1" spans="4:7">
      <c r="D142" s="160" t="s">
        <v>228</v>
      </c>
      <c r="E142" s="156">
        <v>42253</v>
      </c>
      <c r="F142" s="159"/>
      <c r="G142" s="158"/>
    </row>
    <row r="143" customHeight="1" spans="4:7">
      <c r="D143" s="160" t="s">
        <v>229</v>
      </c>
      <c r="E143" s="156">
        <v>43057</v>
      </c>
      <c r="F143" s="159"/>
      <c r="G143" s="158"/>
    </row>
    <row r="144" customHeight="1" spans="4:7">
      <c r="D144" s="160" t="s">
        <v>230</v>
      </c>
      <c r="E144" s="156">
        <v>44394</v>
      </c>
      <c r="F144" s="159"/>
      <c r="G144" s="158"/>
    </row>
    <row r="145" customHeight="1" spans="4:7">
      <c r="D145" s="160" t="s">
        <v>231</v>
      </c>
      <c r="E145" s="156">
        <v>45256</v>
      </c>
      <c r="F145" s="159"/>
      <c r="G145" s="158"/>
    </row>
    <row r="146" customHeight="1" spans="4:7">
      <c r="D146" s="160" t="s">
        <v>232</v>
      </c>
      <c r="E146" s="156">
        <v>43094</v>
      </c>
      <c r="F146" s="159"/>
      <c r="G146" s="158"/>
    </row>
    <row r="147" customHeight="1" spans="4:7">
      <c r="D147" s="160" t="s">
        <v>233</v>
      </c>
      <c r="E147" s="156">
        <v>43517</v>
      </c>
      <c r="F147" s="159"/>
      <c r="G147" s="158"/>
    </row>
    <row r="148" customHeight="1" spans="4:7">
      <c r="D148" s="160" t="s">
        <v>234</v>
      </c>
      <c r="E148" s="156">
        <v>44229</v>
      </c>
      <c r="F148" s="159"/>
      <c r="G148" s="158"/>
    </row>
    <row r="149" customHeight="1" spans="4:7">
      <c r="D149" s="160" t="s">
        <v>235</v>
      </c>
      <c r="E149" s="156">
        <v>43422</v>
      </c>
      <c r="F149" s="159"/>
      <c r="G149" s="158"/>
    </row>
    <row r="150" customHeight="1" spans="4:7">
      <c r="D150" s="160" t="s">
        <v>236</v>
      </c>
      <c r="E150" s="156">
        <v>40850</v>
      </c>
      <c r="F150" s="159"/>
      <c r="G150" s="158"/>
    </row>
    <row r="151" customHeight="1" spans="4:7">
      <c r="D151" s="160" t="s">
        <v>237</v>
      </c>
      <c r="E151" s="156">
        <v>41533</v>
      </c>
      <c r="F151" s="159"/>
      <c r="G151" s="158"/>
    </row>
    <row r="152" customHeight="1" spans="4:7">
      <c r="D152" s="160" t="s">
        <v>238</v>
      </c>
      <c r="E152" s="156">
        <v>42694</v>
      </c>
      <c r="F152" s="159"/>
      <c r="G152" s="158"/>
    </row>
    <row r="153" customHeight="1" spans="4:7">
      <c r="D153" s="160" t="s">
        <v>239</v>
      </c>
      <c r="E153" s="156">
        <v>42743</v>
      </c>
      <c r="F153" s="159"/>
      <c r="G153" s="158"/>
    </row>
    <row r="154" customHeight="1" spans="4:6">
      <c r="D154" s="160" t="s">
        <v>240</v>
      </c>
      <c r="E154" s="156">
        <v>41731</v>
      </c>
      <c r="F154" s="159"/>
    </row>
    <row r="155" customHeight="1" spans="4:6">
      <c r="D155" s="160" t="s">
        <v>241</v>
      </c>
      <c r="E155" s="156">
        <v>42447</v>
      </c>
      <c r="F155" s="159"/>
    </row>
    <row r="156" customHeight="1" spans="4:6">
      <c r="D156" s="160" t="s">
        <v>242</v>
      </c>
      <c r="E156" s="156">
        <v>43680</v>
      </c>
      <c r="F156" s="159"/>
    </row>
    <row r="157" customHeight="1" spans="4:6">
      <c r="D157" s="160" t="s">
        <v>243</v>
      </c>
      <c r="E157" s="156">
        <v>42967</v>
      </c>
      <c r="F157" s="159"/>
    </row>
    <row r="158" customHeight="1" spans="4:6">
      <c r="D158" s="160" t="s">
        <v>244</v>
      </c>
      <c r="E158" s="156">
        <v>42358</v>
      </c>
      <c r="F158" s="159"/>
    </row>
    <row r="159" customHeight="1" spans="4:6">
      <c r="D159" s="160" t="s">
        <v>245</v>
      </c>
      <c r="E159" s="156">
        <v>42491</v>
      </c>
      <c r="F159" s="161"/>
    </row>
  </sheetData>
  <mergeCells count="1">
    <mergeCell ref="F134:F159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4"/>
  <sheetViews>
    <sheetView topLeftCell="C1" workbookViewId="0">
      <pane ySplit="2" topLeftCell="A3" activePane="bottomLeft" state="frozen"/>
      <selection/>
      <selection pane="bottomLeft" activeCell="T19" sqref="T19"/>
    </sheetView>
  </sheetViews>
  <sheetFormatPr defaultColWidth="13.1333333333333" defaultRowHeight="20.1" customHeight="1"/>
  <cols>
    <col min="1" max="1" width="13.1333333333333" customWidth="1"/>
    <col min="2" max="2" width="13.6333333333333" style="122" customWidth="1"/>
    <col min="3" max="3" width="5.5" style="123" customWidth="1"/>
    <col min="4" max="4" width="8.63333333333333" customWidth="1"/>
    <col min="5" max="18" width="12.3833333333333" customWidth="1"/>
  </cols>
  <sheetData>
    <row r="1" ht="30" customHeight="1" spans="1:2">
      <c r="A1" s="124" t="s">
        <v>278</v>
      </c>
      <c r="B1" s="124"/>
    </row>
    <row r="2" s="94" customFormat="1" ht="30" customHeight="1" spans="1:20">
      <c r="A2" s="125" t="s">
        <v>246</v>
      </c>
      <c r="B2" s="125" t="s">
        <v>279</v>
      </c>
      <c r="C2" s="126"/>
      <c r="D2" s="105" t="s">
        <v>62</v>
      </c>
      <c r="E2" s="105" t="s">
        <v>280</v>
      </c>
      <c r="F2" s="105" t="s">
        <v>281</v>
      </c>
      <c r="G2" s="105" t="s">
        <v>282</v>
      </c>
      <c r="H2" s="105" t="s">
        <v>283</v>
      </c>
      <c r="I2" s="105" t="s">
        <v>284</v>
      </c>
      <c r="J2" s="105" t="s">
        <v>285</v>
      </c>
      <c r="K2" s="105" t="s">
        <v>286</v>
      </c>
      <c r="L2" s="105" t="s">
        <v>287</v>
      </c>
      <c r="M2" s="105" t="s">
        <v>288</v>
      </c>
      <c r="N2" s="105" t="s">
        <v>289</v>
      </c>
      <c r="O2" s="105" t="s">
        <v>290</v>
      </c>
      <c r="P2" s="105" t="s">
        <v>291</v>
      </c>
      <c r="Q2" s="105" t="s">
        <v>292</v>
      </c>
      <c r="R2" s="105" t="s">
        <v>293</v>
      </c>
      <c r="S2" s="105" t="s">
        <v>294</v>
      </c>
      <c r="T2" s="105" t="s">
        <v>295</v>
      </c>
    </row>
    <row r="3" customHeight="1" spans="1:20">
      <c r="A3" s="127">
        <v>39813</v>
      </c>
      <c r="B3" s="128">
        <v>1728.9</v>
      </c>
      <c r="C3" s="129"/>
      <c r="D3" s="130" t="s">
        <v>296</v>
      </c>
      <c r="E3" s="131">
        <v>2468.9</v>
      </c>
      <c r="F3" s="132">
        <v>2014.2</v>
      </c>
      <c r="G3" s="131">
        <v>2233.8</v>
      </c>
      <c r="H3" s="132">
        <v>2387.02</v>
      </c>
      <c r="I3" s="131">
        <v>2198.37</v>
      </c>
      <c r="J3" s="132">
        <v>2337.43</v>
      </c>
      <c r="K3" s="131">
        <v>2075.44</v>
      </c>
      <c r="L3" s="132">
        <v>2289.21</v>
      </c>
      <c r="M3" s="131">
        <v>2434.01</v>
      </c>
      <c r="N3" s="132">
        <v>1509.34</v>
      </c>
      <c r="O3" s="131">
        <v>1951.71</v>
      </c>
      <c r="P3" s="132">
        <v>2847</v>
      </c>
      <c r="Q3" s="131">
        <v>2897</v>
      </c>
      <c r="R3" s="131">
        <v>3725</v>
      </c>
      <c r="S3" s="131">
        <v>3816</v>
      </c>
      <c r="T3" s="131">
        <v>4404</v>
      </c>
    </row>
    <row r="4" customHeight="1" spans="1:20">
      <c r="A4" s="133">
        <v>39844</v>
      </c>
      <c r="B4" s="134">
        <v>1770.4</v>
      </c>
      <c r="C4" s="129"/>
      <c r="D4" s="135" t="s">
        <v>297</v>
      </c>
      <c r="E4" s="136">
        <v>1317.9</v>
      </c>
      <c r="F4" s="137">
        <v>1473.3</v>
      </c>
      <c r="G4" s="136">
        <v>1489.2</v>
      </c>
      <c r="H4" s="137">
        <v>1392.33</v>
      </c>
      <c r="I4" s="136">
        <v>1809.29</v>
      </c>
      <c r="J4" s="137">
        <v>1676.21</v>
      </c>
      <c r="K4" s="136">
        <v>1274.45</v>
      </c>
      <c r="L4" s="137">
        <v>1748.39</v>
      </c>
      <c r="M4" s="136">
        <v>1292.88</v>
      </c>
      <c r="N4" s="137">
        <v>832.09</v>
      </c>
      <c r="O4" s="136">
        <v>1424</v>
      </c>
      <c r="P4" s="137">
        <v>1568</v>
      </c>
      <c r="Q4" s="136">
        <v>2260</v>
      </c>
      <c r="R4" s="136">
        <v>2104</v>
      </c>
      <c r="S4" s="136">
        <v>2177</v>
      </c>
      <c r="T4" s="136">
        <v>3177</v>
      </c>
    </row>
    <row r="5" customHeight="1" spans="1:20">
      <c r="A5" s="133">
        <v>39872</v>
      </c>
      <c r="B5" s="134">
        <v>1259.3</v>
      </c>
      <c r="C5" s="129"/>
      <c r="D5" s="135" t="s">
        <v>298</v>
      </c>
      <c r="E5" s="136">
        <v>1694.4</v>
      </c>
      <c r="F5" s="137">
        <v>1783.1</v>
      </c>
      <c r="G5" s="136">
        <v>1774.8</v>
      </c>
      <c r="H5" s="137">
        <v>2048.65</v>
      </c>
      <c r="I5" s="136">
        <v>1658.33</v>
      </c>
      <c r="J5" s="137">
        <v>1511.39</v>
      </c>
      <c r="K5" s="136">
        <v>1719.18</v>
      </c>
      <c r="L5" s="137">
        <v>1917</v>
      </c>
      <c r="M5" s="136">
        <v>1855.72</v>
      </c>
      <c r="N5" s="137">
        <v>1171.3</v>
      </c>
      <c r="O5" s="136">
        <v>1508.7</v>
      </c>
      <c r="P5" s="137">
        <v>2590</v>
      </c>
      <c r="Q5" s="136">
        <v>2669</v>
      </c>
      <c r="R5" s="136">
        <v>2545</v>
      </c>
      <c r="S5" s="136">
        <v>3063</v>
      </c>
      <c r="T5" s="136">
        <v>3514</v>
      </c>
    </row>
    <row r="6" customHeight="1" spans="1:20">
      <c r="A6" s="133">
        <v>39903</v>
      </c>
      <c r="B6" s="134">
        <v>1562.8</v>
      </c>
      <c r="C6" s="129"/>
      <c r="D6" s="135" t="s">
        <v>299</v>
      </c>
      <c r="E6" s="136">
        <v>1760.2</v>
      </c>
      <c r="F6" s="137">
        <v>1813.9</v>
      </c>
      <c r="G6" s="136">
        <v>1962.3</v>
      </c>
      <c r="H6" s="137">
        <v>2187.63</v>
      </c>
      <c r="I6" s="136">
        <v>1735.06</v>
      </c>
      <c r="J6" s="137">
        <v>1556.82</v>
      </c>
      <c r="K6" s="136">
        <v>1736.76</v>
      </c>
      <c r="L6" s="137">
        <v>2116.09</v>
      </c>
      <c r="M6" s="136">
        <v>1840.63</v>
      </c>
      <c r="N6" s="137">
        <v>1270.24</v>
      </c>
      <c r="O6" s="136">
        <v>1804.53</v>
      </c>
      <c r="P6" s="137">
        <v>2738</v>
      </c>
      <c r="Q6" s="136">
        <v>2863</v>
      </c>
      <c r="R6" s="136">
        <v>2563</v>
      </c>
      <c r="S6" s="136">
        <v>3077</v>
      </c>
      <c r="T6" s="136">
        <v>3898</v>
      </c>
    </row>
    <row r="7" customHeight="1" spans="1:20">
      <c r="A7" s="133">
        <v>39933</v>
      </c>
      <c r="B7" s="134">
        <v>1672.5</v>
      </c>
      <c r="C7" s="129"/>
      <c r="D7" s="135" t="s">
        <v>300</v>
      </c>
      <c r="E7" s="136">
        <v>1752.8</v>
      </c>
      <c r="F7" s="137">
        <v>1827.1</v>
      </c>
      <c r="G7" s="136">
        <v>2039.8</v>
      </c>
      <c r="H7" s="137">
        <v>1991.2</v>
      </c>
      <c r="I7" s="136">
        <v>1695.06</v>
      </c>
      <c r="J7" s="137">
        <v>1495.46</v>
      </c>
      <c r="K7" s="136">
        <v>1851.21</v>
      </c>
      <c r="L7" s="137">
        <v>2136.203</v>
      </c>
      <c r="M7" s="136">
        <v>1915.35</v>
      </c>
      <c r="N7" s="137">
        <v>1385.21</v>
      </c>
      <c r="O7" s="136">
        <v>1995.65</v>
      </c>
      <c r="P7" s="137">
        <v>2530</v>
      </c>
      <c r="Q7" s="136">
        <v>2807</v>
      </c>
      <c r="R7" s="136">
        <v>2666</v>
      </c>
      <c r="S7" s="136">
        <v>3216</v>
      </c>
      <c r="T7" s="136">
        <v>3912</v>
      </c>
    </row>
    <row r="8" customHeight="1" spans="1:20">
      <c r="A8" s="133">
        <v>39964</v>
      </c>
      <c r="B8" s="134">
        <v>1717.5</v>
      </c>
      <c r="C8" s="129"/>
      <c r="D8" s="135" t="s">
        <v>301</v>
      </c>
      <c r="E8" s="136">
        <v>1634.9</v>
      </c>
      <c r="F8" s="137">
        <v>1800.5</v>
      </c>
      <c r="G8" s="136">
        <v>1905.2</v>
      </c>
      <c r="H8" s="137">
        <v>1866.9</v>
      </c>
      <c r="I8" s="136">
        <v>1589.91</v>
      </c>
      <c r="J8" s="137">
        <v>1437.11</v>
      </c>
      <c r="K8" s="136">
        <v>1774.96</v>
      </c>
      <c r="L8" s="137">
        <v>1957.83</v>
      </c>
      <c r="M8" s="136">
        <v>1758.24</v>
      </c>
      <c r="N8" s="137">
        <v>1309.4</v>
      </c>
      <c r="O8" s="136">
        <v>2200</v>
      </c>
      <c r="P8" s="137">
        <v>2413</v>
      </c>
      <c r="Q8" s="136">
        <v>2647</v>
      </c>
      <c r="R8" s="136">
        <v>2431</v>
      </c>
      <c r="S8" s="136">
        <v>3006</v>
      </c>
      <c r="T8" s="136">
        <v>3820</v>
      </c>
    </row>
    <row r="9" customHeight="1" spans="1:20">
      <c r="A9" s="133">
        <v>39994</v>
      </c>
      <c r="B9" s="134">
        <v>1741.5</v>
      </c>
      <c r="C9" s="129"/>
      <c r="D9" s="135" t="s">
        <v>302</v>
      </c>
      <c r="E9" s="136">
        <v>1601.3</v>
      </c>
      <c r="F9" s="137">
        <v>1757.5</v>
      </c>
      <c r="G9" s="136">
        <v>1874.7</v>
      </c>
      <c r="H9" s="137">
        <v>1824.7</v>
      </c>
      <c r="I9" s="136">
        <v>1491.95</v>
      </c>
      <c r="J9" s="137">
        <v>1510.18</v>
      </c>
      <c r="K9" s="136">
        <v>1807.015</v>
      </c>
      <c r="L9" s="137">
        <v>1951.34</v>
      </c>
      <c r="M9" s="136">
        <v>1730.34</v>
      </c>
      <c r="N9" s="137">
        <v>1171.21</v>
      </c>
      <c r="O9" s="136">
        <v>2195</v>
      </c>
      <c r="P9" s="137">
        <v>2119</v>
      </c>
      <c r="Q9" s="136">
        <v>2684</v>
      </c>
      <c r="R9" s="136">
        <v>2428</v>
      </c>
      <c r="S9" s="136">
        <v>3166</v>
      </c>
      <c r="T9" s="142">
        <v>3610</v>
      </c>
    </row>
    <row r="10" customHeight="1" spans="1:20">
      <c r="A10" s="133">
        <v>40025</v>
      </c>
      <c r="B10" s="134">
        <v>1716.9</v>
      </c>
      <c r="C10" s="129"/>
      <c r="D10" s="135" t="s">
        <v>303</v>
      </c>
      <c r="E10" s="136">
        <v>1676.8</v>
      </c>
      <c r="F10" s="137">
        <v>1844.8</v>
      </c>
      <c r="G10" s="136">
        <v>1876.3</v>
      </c>
      <c r="H10" s="137">
        <v>1852.79</v>
      </c>
      <c r="I10" s="136">
        <v>1500.26</v>
      </c>
      <c r="J10" s="137">
        <v>1659.7</v>
      </c>
      <c r="K10" s="136">
        <v>1826.35</v>
      </c>
      <c r="L10" s="137">
        <v>1966.861</v>
      </c>
      <c r="M10" s="136">
        <v>1463.36</v>
      </c>
      <c r="N10" s="137">
        <v>1178.92</v>
      </c>
      <c r="O10" s="136">
        <v>2329</v>
      </c>
      <c r="P10" s="137">
        <v>2167</v>
      </c>
      <c r="Q10" s="136">
        <v>2645</v>
      </c>
      <c r="R10" s="136">
        <v>2442</v>
      </c>
      <c r="S10" s="136">
        <v>3350</v>
      </c>
      <c r="T10" s="136"/>
    </row>
    <row r="11" customHeight="1" spans="1:20">
      <c r="A11" s="133">
        <v>40056</v>
      </c>
      <c r="B11" s="134">
        <v>1739.2</v>
      </c>
      <c r="C11" s="129"/>
      <c r="D11" s="135" t="s">
        <v>304</v>
      </c>
      <c r="E11" s="136">
        <v>1726.8</v>
      </c>
      <c r="F11" s="137">
        <v>1917.3</v>
      </c>
      <c r="G11" s="136">
        <v>1935.7</v>
      </c>
      <c r="H11" s="137">
        <v>1872.37</v>
      </c>
      <c r="I11" s="136">
        <v>1703.22</v>
      </c>
      <c r="J11" s="137">
        <v>1710.78</v>
      </c>
      <c r="K11" s="136">
        <v>1871.13</v>
      </c>
      <c r="L11" s="137">
        <v>1923</v>
      </c>
      <c r="M11" s="136">
        <v>1233.72</v>
      </c>
      <c r="N11" s="137">
        <v>1285.2</v>
      </c>
      <c r="O11" s="136">
        <v>2509</v>
      </c>
      <c r="P11" s="137">
        <v>2109</v>
      </c>
      <c r="Q11" s="136">
        <v>2775</v>
      </c>
      <c r="R11" s="136">
        <v>2640</v>
      </c>
      <c r="S11" s="136">
        <v>3584</v>
      </c>
      <c r="T11" s="136"/>
    </row>
    <row r="12" customHeight="1" spans="1:20">
      <c r="A12" s="133">
        <v>40086</v>
      </c>
      <c r="B12" s="134">
        <v>1816.1</v>
      </c>
      <c r="C12" s="129"/>
      <c r="D12" s="135" t="s">
        <v>305</v>
      </c>
      <c r="E12" s="136">
        <v>1754.5</v>
      </c>
      <c r="F12" s="137">
        <v>1883.9</v>
      </c>
      <c r="G12" s="136">
        <v>1923.5</v>
      </c>
      <c r="H12" s="137">
        <v>1909.87</v>
      </c>
      <c r="I12" s="136">
        <v>1817.34</v>
      </c>
      <c r="J12" s="137">
        <v>1791.47</v>
      </c>
      <c r="K12" s="136">
        <v>1916.38</v>
      </c>
      <c r="L12" s="137">
        <v>1950.95</v>
      </c>
      <c r="M12" s="136">
        <v>1053.1</v>
      </c>
      <c r="N12" s="137">
        <v>1433.27</v>
      </c>
      <c r="O12" s="136">
        <v>3023</v>
      </c>
      <c r="P12" s="137">
        <v>2097</v>
      </c>
      <c r="Q12" s="136">
        <v>2867</v>
      </c>
      <c r="R12" s="136">
        <v>2876</v>
      </c>
      <c r="S12" s="136">
        <v>3834</v>
      </c>
      <c r="T12" s="136"/>
    </row>
    <row r="13" customHeight="1" spans="1:20">
      <c r="A13" s="133">
        <v>40117</v>
      </c>
      <c r="B13" s="134">
        <v>1832.3</v>
      </c>
      <c r="C13" s="129"/>
      <c r="D13" s="135" t="s">
        <v>306</v>
      </c>
      <c r="E13" s="136">
        <v>1842.7</v>
      </c>
      <c r="F13" s="137">
        <v>1956.8</v>
      </c>
      <c r="G13" s="136">
        <v>1988.4</v>
      </c>
      <c r="H13" s="137">
        <v>1971.54</v>
      </c>
      <c r="I13" s="136">
        <v>1891.51</v>
      </c>
      <c r="J13" s="137">
        <v>1912.94</v>
      </c>
      <c r="K13" s="136">
        <v>2006.43</v>
      </c>
      <c r="L13" s="137">
        <v>2006.51</v>
      </c>
      <c r="M13" s="136">
        <v>1085.64</v>
      </c>
      <c r="N13" s="137">
        <v>1626.24</v>
      </c>
      <c r="O13" s="136">
        <v>2649</v>
      </c>
      <c r="P13" s="137">
        <v>2269</v>
      </c>
      <c r="Q13" s="136">
        <v>3280</v>
      </c>
      <c r="R13" s="136">
        <v>3190</v>
      </c>
      <c r="S13" s="136">
        <v>3957</v>
      </c>
      <c r="T13" s="136"/>
    </row>
    <row r="14" customHeight="1" spans="1:20">
      <c r="A14" s="133">
        <v>40147</v>
      </c>
      <c r="B14" s="134">
        <v>1886.9</v>
      </c>
      <c r="C14" s="129"/>
      <c r="D14" s="138" t="s">
        <v>307</v>
      </c>
      <c r="E14" s="139">
        <v>2232.8</v>
      </c>
      <c r="F14" s="140">
        <v>2212.6</v>
      </c>
      <c r="G14" s="139">
        <v>2310.5</v>
      </c>
      <c r="H14" s="140">
        <v>2312.51</v>
      </c>
      <c r="I14" s="139">
        <v>2293.16</v>
      </c>
      <c r="J14" s="140">
        <v>2271.23</v>
      </c>
      <c r="K14" s="139">
        <v>2324.54</v>
      </c>
      <c r="L14" s="140">
        <v>2288.35</v>
      </c>
      <c r="M14" s="139">
        <v>1452.77</v>
      </c>
      <c r="N14" s="140">
        <v>2060.35</v>
      </c>
      <c r="O14" s="139">
        <v>2896</v>
      </c>
      <c r="P14" s="140">
        <v>3090</v>
      </c>
      <c r="Q14" s="139">
        <v>3978</v>
      </c>
      <c r="R14" s="139">
        <v>4162</v>
      </c>
      <c r="S14" s="139">
        <v>4891</v>
      </c>
      <c r="T14" s="143"/>
    </row>
    <row r="15" customHeight="1" spans="1:3">
      <c r="A15" s="133">
        <v>40178</v>
      </c>
      <c r="B15" s="134">
        <v>2109.6</v>
      </c>
      <c r="C15" s="141"/>
    </row>
    <row r="16" customHeight="1" spans="1:3">
      <c r="A16" s="133">
        <v>40209</v>
      </c>
      <c r="B16" s="134">
        <v>2128.2</v>
      </c>
      <c r="C16" s="141"/>
    </row>
    <row r="17" customHeight="1" spans="1:3">
      <c r="A17" s="133">
        <v>40237</v>
      </c>
      <c r="B17" s="134">
        <v>1595.5</v>
      </c>
      <c r="C17" s="141"/>
    </row>
    <row r="18" customHeight="1" spans="1:3">
      <c r="A18" s="133">
        <v>40268</v>
      </c>
      <c r="B18" s="134">
        <v>1774.4</v>
      </c>
      <c r="C18" s="141"/>
    </row>
    <row r="19" customHeight="1" spans="1:3">
      <c r="A19" s="133">
        <v>40298</v>
      </c>
      <c r="B19" s="134">
        <v>1933.1</v>
      </c>
      <c r="C19" s="141"/>
    </row>
    <row r="20" customHeight="1" spans="1:3">
      <c r="A20" s="133">
        <v>40329</v>
      </c>
      <c r="B20" s="134">
        <v>1935.1</v>
      </c>
      <c r="C20" s="141"/>
    </row>
    <row r="21" customHeight="1" spans="1:3">
      <c r="A21" s="133">
        <v>40359</v>
      </c>
      <c r="B21" s="134">
        <v>1882.5</v>
      </c>
      <c r="C21" s="141"/>
    </row>
    <row r="22" customHeight="1" spans="1:3">
      <c r="A22" s="133">
        <v>40390</v>
      </c>
      <c r="B22" s="134">
        <v>1775.2</v>
      </c>
      <c r="C22" s="141"/>
    </row>
    <row r="23" customHeight="1" spans="1:3">
      <c r="A23" s="133">
        <v>40421</v>
      </c>
      <c r="B23" s="134">
        <v>1779.3</v>
      </c>
      <c r="C23" s="141"/>
    </row>
    <row r="24" customHeight="1" spans="1:3">
      <c r="A24" s="133">
        <v>40451</v>
      </c>
      <c r="B24" s="134">
        <v>1897.4</v>
      </c>
      <c r="C24" s="141"/>
    </row>
    <row r="25" customHeight="1" spans="1:3">
      <c r="A25" s="133">
        <v>40482</v>
      </c>
      <c r="B25" s="134">
        <v>1891.9</v>
      </c>
      <c r="C25" s="141"/>
    </row>
    <row r="26" customHeight="1" spans="1:3">
      <c r="A26" s="133">
        <v>40512</v>
      </c>
      <c r="B26" s="134">
        <v>1944.5</v>
      </c>
      <c r="C26" s="141"/>
    </row>
    <row r="27" customHeight="1" spans="1:3">
      <c r="A27" s="133">
        <v>40543</v>
      </c>
      <c r="B27" s="134">
        <v>2212.3</v>
      </c>
      <c r="C27" s="141"/>
    </row>
    <row r="28" customHeight="1" spans="1:3">
      <c r="A28" s="133">
        <v>40574</v>
      </c>
      <c r="B28" s="134">
        <v>2468.9</v>
      </c>
      <c r="C28" s="141"/>
    </row>
    <row r="29" customHeight="1" spans="1:3">
      <c r="A29" s="133">
        <v>40602</v>
      </c>
      <c r="B29" s="134">
        <v>1317.9</v>
      </c>
      <c r="C29" s="141"/>
    </row>
    <row r="30" customHeight="1" spans="1:3">
      <c r="A30" s="133">
        <v>40633</v>
      </c>
      <c r="B30" s="134">
        <v>1694.4</v>
      </c>
      <c r="C30" s="141"/>
    </row>
    <row r="31" customHeight="1" spans="1:3">
      <c r="A31" s="133">
        <v>40663</v>
      </c>
      <c r="B31" s="134">
        <v>1760.2</v>
      </c>
      <c r="C31" s="141"/>
    </row>
    <row r="32" customHeight="1" spans="1:3">
      <c r="A32" s="133">
        <v>40694</v>
      </c>
      <c r="B32" s="134">
        <v>1752.8</v>
      </c>
      <c r="C32" s="141"/>
    </row>
    <row r="33" customHeight="1" spans="1:3">
      <c r="A33" s="133">
        <v>40724</v>
      </c>
      <c r="B33" s="134">
        <v>1634.9</v>
      </c>
      <c r="C33" s="141"/>
    </row>
    <row r="34" customHeight="1" spans="1:3">
      <c r="A34" s="133">
        <v>40755</v>
      </c>
      <c r="B34" s="134">
        <v>1601.3</v>
      </c>
      <c r="C34" s="141"/>
    </row>
    <row r="35" customHeight="1" spans="1:3">
      <c r="A35" s="133">
        <v>40786</v>
      </c>
      <c r="B35" s="134">
        <v>1676.8</v>
      </c>
      <c r="C35" s="141"/>
    </row>
    <row r="36" customHeight="1" spans="1:3">
      <c r="A36" s="133">
        <v>40816</v>
      </c>
      <c r="B36" s="134">
        <v>1726.8</v>
      </c>
      <c r="C36" s="141"/>
    </row>
    <row r="37" customHeight="1" spans="1:3">
      <c r="A37" s="133">
        <v>40847</v>
      </c>
      <c r="B37" s="134">
        <v>1754.5</v>
      </c>
      <c r="C37" s="141"/>
    </row>
    <row r="38" customHeight="1" spans="1:3">
      <c r="A38" s="133">
        <v>40877</v>
      </c>
      <c r="B38" s="134">
        <v>1842.7</v>
      </c>
      <c r="C38" s="141"/>
    </row>
    <row r="39" customHeight="1" spans="1:3">
      <c r="A39" s="133">
        <v>40908</v>
      </c>
      <c r="B39" s="134">
        <v>2232.8</v>
      </c>
      <c r="C39" s="141"/>
    </row>
    <row r="40" customHeight="1" spans="1:3">
      <c r="A40" s="133">
        <v>40939</v>
      </c>
      <c r="B40" s="134">
        <v>2014.2</v>
      </c>
      <c r="C40" s="141"/>
    </row>
    <row r="41" customHeight="1" spans="1:3">
      <c r="A41" s="133">
        <v>40968</v>
      </c>
      <c r="B41" s="134">
        <v>1473.3</v>
      </c>
      <c r="C41" s="141"/>
    </row>
    <row r="42" customHeight="1" spans="1:3">
      <c r="A42" s="133">
        <v>40999</v>
      </c>
      <c r="B42" s="134">
        <v>1783.1</v>
      </c>
      <c r="C42" s="141"/>
    </row>
    <row r="43" customHeight="1" spans="1:3">
      <c r="A43" s="133">
        <v>41029</v>
      </c>
      <c r="B43" s="134">
        <v>1813.9</v>
      </c>
      <c r="C43" s="141"/>
    </row>
    <row r="44" customHeight="1" spans="1:3">
      <c r="A44" s="133">
        <v>41060</v>
      </c>
      <c r="B44" s="134">
        <v>1827.1</v>
      </c>
      <c r="C44" s="141"/>
    </row>
    <row r="45" customHeight="1" spans="1:3">
      <c r="A45" s="133">
        <v>41090</v>
      </c>
      <c r="B45" s="134">
        <v>1800.5</v>
      </c>
      <c r="C45" s="141"/>
    </row>
    <row r="46" customHeight="1" spans="1:3">
      <c r="A46" s="133">
        <v>41121</v>
      </c>
      <c r="B46" s="134">
        <v>1757.5</v>
      </c>
      <c r="C46" s="141"/>
    </row>
    <row r="47" customHeight="1" spans="1:3">
      <c r="A47" s="133">
        <v>41152</v>
      </c>
      <c r="B47" s="134">
        <v>1844.8</v>
      </c>
      <c r="C47" s="141"/>
    </row>
    <row r="48" customHeight="1" spans="1:3">
      <c r="A48" s="133">
        <v>41182</v>
      </c>
      <c r="B48" s="134">
        <v>1917.3</v>
      </c>
      <c r="C48" s="141"/>
    </row>
    <row r="49" customHeight="1" spans="1:3">
      <c r="A49" s="133">
        <v>41213</v>
      </c>
      <c r="B49" s="134">
        <v>1883.9</v>
      </c>
      <c r="C49" s="141"/>
    </row>
    <row r="50" customHeight="1" spans="1:3">
      <c r="A50" s="133">
        <v>41243</v>
      </c>
      <c r="B50" s="134">
        <v>1956.8</v>
      </c>
      <c r="C50" s="141"/>
    </row>
    <row r="51" customHeight="1" spans="1:3">
      <c r="A51" s="133">
        <v>41274</v>
      </c>
      <c r="B51" s="134">
        <v>2212.6</v>
      </c>
      <c r="C51" s="141"/>
    </row>
    <row r="52" customHeight="1" spans="1:3">
      <c r="A52" s="133">
        <v>41305</v>
      </c>
      <c r="B52" s="134">
        <v>2233.8</v>
      </c>
      <c r="C52" s="141"/>
    </row>
    <row r="53" customHeight="1" spans="1:3">
      <c r="A53" s="133">
        <v>41333</v>
      </c>
      <c r="B53" s="134">
        <v>1489.2</v>
      </c>
      <c r="C53" s="141"/>
    </row>
    <row r="54" customHeight="1" spans="1:3">
      <c r="A54" s="133">
        <v>41364</v>
      </c>
      <c r="B54" s="134">
        <v>1774.8</v>
      </c>
      <c r="C54" s="141"/>
    </row>
    <row r="55" customHeight="1" spans="1:3">
      <c r="A55" s="133">
        <v>41394</v>
      </c>
      <c r="B55" s="134">
        <v>1962.3</v>
      </c>
      <c r="C55" s="141"/>
    </row>
    <row r="56" customHeight="1" spans="1:3">
      <c r="A56" s="133">
        <v>41425</v>
      </c>
      <c r="B56" s="134">
        <v>2039.8</v>
      </c>
      <c r="C56" s="141"/>
    </row>
    <row r="57" customHeight="1" spans="1:3">
      <c r="A57" s="133">
        <v>41455</v>
      </c>
      <c r="B57" s="134">
        <v>1905.2</v>
      </c>
      <c r="C57" s="141"/>
    </row>
    <row r="58" customHeight="1" spans="1:3">
      <c r="A58" s="133">
        <v>41486</v>
      </c>
      <c r="B58" s="134">
        <v>1874.7</v>
      </c>
      <c r="C58" s="141"/>
    </row>
    <row r="59" customHeight="1" spans="1:3">
      <c r="A59" s="133">
        <v>41517</v>
      </c>
      <c r="B59" s="134">
        <v>1876.3</v>
      </c>
      <c r="C59" s="141"/>
    </row>
    <row r="60" customHeight="1" spans="1:3">
      <c r="A60" s="133">
        <v>41547</v>
      </c>
      <c r="B60" s="134">
        <v>1935.7</v>
      </c>
      <c r="C60" s="141"/>
    </row>
    <row r="61" customHeight="1" spans="1:3">
      <c r="A61" s="133">
        <v>41578</v>
      </c>
      <c r="B61" s="134">
        <v>1923.5</v>
      </c>
      <c r="C61" s="141"/>
    </row>
    <row r="62" customHeight="1" spans="1:3">
      <c r="A62" s="133">
        <v>41608</v>
      </c>
      <c r="B62" s="134">
        <v>1988.4</v>
      </c>
      <c r="C62" s="141"/>
    </row>
    <row r="63" customHeight="1" spans="1:3">
      <c r="A63" s="133">
        <v>41639</v>
      </c>
      <c r="B63" s="134">
        <v>2310.5</v>
      </c>
      <c r="C63" s="141"/>
    </row>
    <row r="64" customHeight="1" spans="1:3">
      <c r="A64" s="133">
        <v>41670</v>
      </c>
      <c r="B64" s="134">
        <v>2387.02</v>
      </c>
      <c r="C64" s="141"/>
    </row>
    <row r="65" customHeight="1" spans="1:3">
      <c r="A65" s="133">
        <v>41698</v>
      </c>
      <c r="B65" s="134">
        <v>1392.33</v>
      </c>
      <c r="C65" s="141"/>
    </row>
    <row r="66" customHeight="1" spans="1:3">
      <c r="A66" s="133">
        <v>41729</v>
      </c>
      <c r="B66" s="134">
        <v>2048.65</v>
      </c>
      <c r="C66" s="141"/>
    </row>
    <row r="67" customHeight="1" spans="1:3">
      <c r="A67" s="133">
        <v>41759</v>
      </c>
      <c r="B67" s="134">
        <v>2187.63</v>
      </c>
      <c r="C67" s="141"/>
    </row>
    <row r="68" customHeight="1" spans="1:3">
      <c r="A68" s="133">
        <v>41790</v>
      </c>
      <c r="B68" s="134">
        <v>1991.2</v>
      </c>
      <c r="C68" s="141"/>
    </row>
    <row r="69" customHeight="1" spans="1:3">
      <c r="A69" s="133">
        <v>41820</v>
      </c>
      <c r="B69" s="134">
        <v>1866.9</v>
      </c>
      <c r="C69" s="141"/>
    </row>
    <row r="70" customHeight="1" spans="1:3">
      <c r="A70" s="133">
        <v>41851</v>
      </c>
      <c r="B70" s="134">
        <v>1824.7</v>
      </c>
      <c r="C70" s="141"/>
    </row>
    <row r="71" customHeight="1" spans="1:3">
      <c r="A71" s="133">
        <v>41882</v>
      </c>
      <c r="B71" s="134">
        <v>1852.79</v>
      </c>
      <c r="C71" s="141"/>
    </row>
    <row r="72" customHeight="1" spans="1:3">
      <c r="A72" s="133">
        <v>41912</v>
      </c>
      <c r="B72" s="134">
        <v>1872.37</v>
      </c>
      <c r="C72" s="141"/>
    </row>
    <row r="73" customHeight="1" spans="1:3">
      <c r="A73" s="133">
        <v>41943</v>
      </c>
      <c r="B73" s="134">
        <v>1909.87</v>
      </c>
      <c r="C73" s="141"/>
    </row>
    <row r="74" customHeight="1" spans="1:3">
      <c r="A74" s="133">
        <v>41973</v>
      </c>
      <c r="B74" s="134">
        <v>1971.54</v>
      </c>
      <c r="C74" s="141"/>
    </row>
    <row r="75" customHeight="1" spans="1:3">
      <c r="A75" s="133">
        <v>42004</v>
      </c>
      <c r="B75" s="134">
        <v>2312.51</v>
      </c>
      <c r="C75" s="141"/>
    </row>
    <row r="76" customHeight="1" spans="1:3">
      <c r="A76" s="133">
        <v>42035</v>
      </c>
      <c r="B76" s="134">
        <v>2198.37</v>
      </c>
      <c r="C76" s="141"/>
    </row>
    <row r="77" customHeight="1" spans="1:3">
      <c r="A77" s="133">
        <v>42063</v>
      </c>
      <c r="B77" s="134">
        <v>1809.29</v>
      </c>
      <c r="C77" s="141"/>
    </row>
    <row r="78" customHeight="1" spans="1:3">
      <c r="A78" s="133">
        <v>42094</v>
      </c>
      <c r="B78" s="134">
        <v>1658.33</v>
      </c>
      <c r="C78" s="141"/>
    </row>
    <row r="79" customHeight="1" spans="1:3">
      <c r="A79" s="133">
        <v>42124</v>
      </c>
      <c r="B79" s="134">
        <v>1735.06</v>
      </c>
      <c r="C79" s="141"/>
    </row>
    <row r="80" customHeight="1" spans="1:3">
      <c r="A80" s="133">
        <v>42155</v>
      </c>
      <c r="B80" s="134">
        <v>1695.06</v>
      </c>
      <c r="C80" s="141"/>
    </row>
    <row r="81" customHeight="1" spans="1:3">
      <c r="A81" s="133">
        <v>42185</v>
      </c>
      <c r="B81" s="134">
        <v>1589.91</v>
      </c>
      <c r="C81" s="141"/>
    </row>
    <row r="82" customHeight="1" spans="1:3">
      <c r="A82" s="133">
        <v>42216</v>
      </c>
      <c r="B82" s="134">
        <v>1491.95</v>
      </c>
      <c r="C82" s="141"/>
    </row>
    <row r="83" customHeight="1" spans="1:3">
      <c r="A83" s="133">
        <v>42247</v>
      </c>
      <c r="B83" s="134">
        <v>1500.26</v>
      </c>
      <c r="C83" s="141"/>
    </row>
    <row r="84" customHeight="1" spans="1:3">
      <c r="A84" s="133">
        <v>42277</v>
      </c>
      <c r="B84" s="134">
        <v>1703.22</v>
      </c>
      <c r="C84" s="141"/>
    </row>
    <row r="85" customHeight="1" spans="1:3">
      <c r="A85" s="133">
        <v>42308</v>
      </c>
      <c r="B85" s="134">
        <v>1817.34</v>
      </c>
      <c r="C85" s="141"/>
    </row>
    <row r="86" customHeight="1" spans="1:3">
      <c r="A86" s="133">
        <v>42338</v>
      </c>
      <c r="B86" s="134">
        <v>1891.51</v>
      </c>
      <c r="C86" s="141"/>
    </row>
    <row r="87" customHeight="1" spans="1:3">
      <c r="A87" s="133">
        <v>42369</v>
      </c>
      <c r="B87" s="134">
        <v>2293.16</v>
      </c>
      <c r="C87" s="141"/>
    </row>
    <row r="88" customHeight="1" spans="1:3">
      <c r="A88" s="133">
        <v>42400</v>
      </c>
      <c r="B88" s="134">
        <v>2337.43</v>
      </c>
      <c r="C88" s="141"/>
    </row>
    <row r="89" customHeight="1" spans="1:3">
      <c r="A89" s="133">
        <v>42429</v>
      </c>
      <c r="B89" s="134">
        <v>1676.21</v>
      </c>
      <c r="C89" s="141"/>
    </row>
    <row r="90" customHeight="1" spans="1:3">
      <c r="A90" s="133">
        <v>42460</v>
      </c>
      <c r="B90" s="134">
        <v>1511.39</v>
      </c>
      <c r="C90" s="141"/>
    </row>
    <row r="91" customHeight="1" spans="1:3">
      <c r="A91" s="133">
        <v>42490</v>
      </c>
      <c r="B91" s="134">
        <v>1556.82</v>
      </c>
      <c r="C91" s="141"/>
    </row>
    <row r="92" customHeight="1" spans="1:3">
      <c r="A92" s="133">
        <v>42521</v>
      </c>
      <c r="B92" s="134">
        <v>1495.46</v>
      </c>
      <c r="C92" s="141"/>
    </row>
    <row r="93" customHeight="1" spans="1:3">
      <c r="A93" s="133">
        <v>42551</v>
      </c>
      <c r="B93" s="134">
        <v>1437.11</v>
      </c>
      <c r="C93" s="141"/>
    </row>
    <row r="94" customHeight="1" spans="1:3">
      <c r="A94" s="133">
        <v>42582</v>
      </c>
      <c r="B94" s="134">
        <v>1510.18</v>
      </c>
      <c r="C94" s="141"/>
    </row>
    <row r="95" customHeight="1" spans="1:3">
      <c r="A95" s="133">
        <v>42613</v>
      </c>
      <c r="B95" s="134">
        <v>1659.7</v>
      </c>
      <c r="C95" s="141"/>
    </row>
    <row r="96" customHeight="1" spans="1:3">
      <c r="A96" s="133">
        <v>42643</v>
      </c>
      <c r="B96" s="134">
        <v>1710.78</v>
      </c>
      <c r="C96" s="141"/>
    </row>
    <row r="97" customHeight="1" spans="1:3">
      <c r="A97" s="133">
        <v>42674</v>
      </c>
      <c r="B97" s="134">
        <v>1791.47</v>
      </c>
      <c r="C97" s="141"/>
    </row>
    <row r="98" customHeight="1" spans="1:3">
      <c r="A98" s="133">
        <v>42704</v>
      </c>
      <c r="B98" s="134">
        <v>1912.94</v>
      </c>
      <c r="C98" s="141"/>
    </row>
    <row r="99" customHeight="1" spans="1:3">
      <c r="A99" s="133">
        <v>42735</v>
      </c>
      <c r="B99" s="134">
        <v>2271.23</v>
      </c>
      <c r="C99" s="141"/>
    </row>
    <row r="100" customHeight="1" spans="1:3">
      <c r="A100" s="133">
        <v>42766</v>
      </c>
      <c r="B100" s="134">
        <v>2075.44</v>
      </c>
      <c r="C100" s="141"/>
    </row>
    <row r="101" customHeight="1" spans="1:3">
      <c r="A101" s="133">
        <v>42794</v>
      </c>
      <c r="B101" s="134">
        <v>1274.45</v>
      </c>
      <c r="C101" s="141"/>
    </row>
    <row r="102" customHeight="1" spans="1:3">
      <c r="A102" s="133">
        <v>42825</v>
      </c>
      <c r="B102" s="134">
        <v>1719.18</v>
      </c>
      <c r="C102" s="141"/>
    </row>
    <row r="103" customHeight="1" spans="1:3">
      <c r="A103" s="133">
        <v>42855</v>
      </c>
      <c r="B103" s="134">
        <v>1736.76</v>
      </c>
      <c r="C103" s="141"/>
    </row>
    <row r="104" customHeight="1" spans="1:3">
      <c r="A104" s="133">
        <v>42886</v>
      </c>
      <c r="B104" s="134">
        <v>1851.21</v>
      </c>
      <c r="C104" s="141"/>
    </row>
    <row r="105" customHeight="1" spans="1:3">
      <c r="A105" s="133">
        <v>42916</v>
      </c>
      <c r="B105" s="134">
        <v>1774.96</v>
      </c>
      <c r="C105" s="141"/>
    </row>
    <row r="106" customHeight="1" spans="1:3">
      <c r="A106" s="133">
        <v>42947</v>
      </c>
      <c r="B106" s="134">
        <v>1807.015</v>
      </c>
      <c r="C106" s="141"/>
    </row>
    <row r="107" customHeight="1" spans="1:3">
      <c r="A107" s="133">
        <v>42978</v>
      </c>
      <c r="B107" s="134">
        <v>1826.35</v>
      </c>
      <c r="C107" s="141"/>
    </row>
    <row r="108" customHeight="1" spans="1:3">
      <c r="A108" s="133">
        <v>43008</v>
      </c>
      <c r="B108" s="134">
        <v>1871.13</v>
      </c>
      <c r="C108" s="141"/>
    </row>
    <row r="109" customHeight="1" spans="1:3">
      <c r="A109" s="133">
        <v>43039</v>
      </c>
      <c r="B109" s="134">
        <v>1916.38</v>
      </c>
      <c r="C109" s="141"/>
    </row>
    <row r="110" customHeight="1" spans="1:3">
      <c r="A110" s="133">
        <v>43069</v>
      </c>
      <c r="B110" s="134">
        <v>2006.43</v>
      </c>
      <c r="C110" s="141"/>
    </row>
    <row r="111" customHeight="1" spans="1:3">
      <c r="A111" s="133">
        <v>43100</v>
      </c>
      <c r="B111" s="134">
        <v>2324.54</v>
      </c>
      <c r="C111" s="141"/>
    </row>
    <row r="112" customHeight="1" spans="1:3">
      <c r="A112" s="133">
        <v>43131</v>
      </c>
      <c r="B112" s="134">
        <v>2289.21</v>
      </c>
      <c r="C112" s="141"/>
    </row>
    <row r="113" customHeight="1" spans="1:3">
      <c r="A113" s="133">
        <v>43159</v>
      </c>
      <c r="B113" s="134">
        <v>1748.39</v>
      </c>
      <c r="C113" s="141"/>
    </row>
    <row r="114" customHeight="1" spans="1:3">
      <c r="A114" s="133">
        <v>43190</v>
      </c>
      <c r="B114" s="134">
        <v>1917</v>
      </c>
      <c r="C114" s="141"/>
    </row>
    <row r="115" customHeight="1" spans="1:3">
      <c r="A115" s="133">
        <v>43220</v>
      </c>
      <c r="B115" s="134">
        <v>2116.09</v>
      </c>
      <c r="C115" s="141"/>
    </row>
    <row r="116" customHeight="1" spans="1:3">
      <c r="A116" s="133">
        <v>43251</v>
      </c>
      <c r="B116" s="134">
        <v>2136.203</v>
      </c>
      <c r="C116" s="141"/>
    </row>
    <row r="117" customHeight="1" spans="1:3">
      <c r="A117" s="133">
        <v>43281</v>
      </c>
      <c r="B117" s="134">
        <v>1957.83</v>
      </c>
      <c r="C117" s="141"/>
    </row>
    <row r="118" customHeight="1" spans="1:3">
      <c r="A118" s="133">
        <v>43312</v>
      </c>
      <c r="B118" s="134">
        <v>1951.34</v>
      </c>
      <c r="C118" s="141"/>
    </row>
    <row r="119" customHeight="1" spans="1:3">
      <c r="A119" s="133">
        <v>43343</v>
      </c>
      <c r="B119" s="134">
        <v>1966.861</v>
      </c>
      <c r="C119" s="141"/>
    </row>
    <row r="120" customHeight="1" spans="1:3">
      <c r="A120" s="133">
        <v>43373</v>
      </c>
      <c r="B120" s="134">
        <v>1923</v>
      </c>
      <c r="C120" s="141"/>
    </row>
    <row r="121" customHeight="1" spans="1:3">
      <c r="A121" s="133">
        <v>43404</v>
      </c>
      <c r="B121" s="134">
        <v>1950.95</v>
      </c>
      <c r="C121" s="141"/>
    </row>
    <row r="122" customHeight="1" spans="1:3">
      <c r="A122" s="133">
        <v>43434</v>
      </c>
      <c r="B122" s="134">
        <v>2006.51</v>
      </c>
      <c r="C122" s="141"/>
    </row>
    <row r="123" customHeight="1" spans="1:3">
      <c r="A123" s="133">
        <v>43465</v>
      </c>
      <c r="B123" s="134">
        <v>2288.35</v>
      </c>
      <c r="C123" s="141"/>
    </row>
    <row r="124" customHeight="1" spans="1:3">
      <c r="A124" s="133">
        <v>43496</v>
      </c>
      <c r="B124" s="134">
        <v>2434.01</v>
      </c>
      <c r="C124" s="141"/>
    </row>
    <row r="125" customHeight="1" spans="1:3">
      <c r="A125" s="133">
        <v>43524</v>
      </c>
      <c r="B125" s="134">
        <v>1292.88</v>
      </c>
      <c r="C125" s="141"/>
    </row>
    <row r="126" customHeight="1" spans="1:3">
      <c r="A126" s="133">
        <v>43555</v>
      </c>
      <c r="B126" s="134">
        <v>1855.72</v>
      </c>
      <c r="C126" s="141"/>
    </row>
    <row r="127" customHeight="1" spans="1:3">
      <c r="A127" s="133">
        <v>43585</v>
      </c>
      <c r="B127" s="134">
        <v>1840.63</v>
      </c>
      <c r="C127" s="141"/>
    </row>
    <row r="128" customHeight="1" spans="1:3">
      <c r="A128" s="133">
        <v>43616</v>
      </c>
      <c r="B128" s="134">
        <v>1915.35</v>
      </c>
      <c r="C128" s="141"/>
    </row>
    <row r="129" customHeight="1" spans="1:3">
      <c r="A129" s="133">
        <v>43646</v>
      </c>
      <c r="B129" s="134">
        <v>1758.24</v>
      </c>
      <c r="C129" s="141"/>
    </row>
    <row r="130" customHeight="1" spans="1:3">
      <c r="A130" s="133">
        <v>43677</v>
      </c>
      <c r="B130" s="134">
        <v>1730.34</v>
      </c>
      <c r="C130" s="141"/>
    </row>
    <row r="131" customHeight="1" spans="1:3">
      <c r="A131" s="133">
        <v>43708</v>
      </c>
      <c r="B131" s="134">
        <v>1463.36</v>
      </c>
      <c r="C131" s="141"/>
    </row>
    <row r="132" customHeight="1" spans="1:3">
      <c r="A132" s="133">
        <v>43738</v>
      </c>
      <c r="B132" s="134">
        <v>1233.72</v>
      </c>
      <c r="C132" s="141"/>
    </row>
    <row r="133" customHeight="1" spans="1:3">
      <c r="A133" s="133">
        <v>43769</v>
      </c>
      <c r="B133" s="134">
        <v>1053.1</v>
      </c>
      <c r="C133" s="141"/>
    </row>
    <row r="134" customHeight="1" spans="1:3">
      <c r="A134" s="133">
        <v>43770</v>
      </c>
      <c r="B134" s="134">
        <v>1085.64</v>
      </c>
      <c r="C134" s="141"/>
    </row>
    <row r="135" customHeight="1" spans="1:3">
      <c r="A135" s="133">
        <v>43830</v>
      </c>
      <c r="B135" s="134">
        <v>1452.77</v>
      </c>
      <c r="C135" s="141"/>
    </row>
    <row r="136" customHeight="1" spans="1:3">
      <c r="A136" s="133">
        <v>43861</v>
      </c>
      <c r="B136" s="134">
        <v>1509.34</v>
      </c>
      <c r="C136" s="141"/>
    </row>
    <row r="137" customHeight="1" spans="1:3">
      <c r="A137" s="133">
        <v>43862</v>
      </c>
      <c r="B137" s="134">
        <v>832.09</v>
      </c>
      <c r="C137" s="141"/>
    </row>
    <row r="138" customHeight="1" spans="1:3">
      <c r="A138" s="133">
        <v>43891</v>
      </c>
      <c r="B138" s="134">
        <v>1171.3</v>
      </c>
      <c r="C138" s="141"/>
    </row>
    <row r="139" customHeight="1" spans="1:3">
      <c r="A139" s="133">
        <v>43922</v>
      </c>
      <c r="B139" s="134">
        <v>1270.24</v>
      </c>
      <c r="C139" s="141"/>
    </row>
    <row r="140" customHeight="1" spans="1:3">
      <c r="A140" s="133">
        <v>43952</v>
      </c>
      <c r="B140" s="134">
        <v>1385.21</v>
      </c>
      <c r="C140" s="141"/>
    </row>
    <row r="141" customHeight="1" spans="1:3">
      <c r="A141" s="133">
        <v>43983</v>
      </c>
      <c r="B141" s="134">
        <v>1309.4</v>
      </c>
      <c r="C141" s="141"/>
    </row>
    <row r="142" customHeight="1" spans="1:3">
      <c r="A142" s="133">
        <v>44013</v>
      </c>
      <c r="B142" s="134">
        <v>1171.21</v>
      </c>
      <c r="C142" s="141"/>
    </row>
    <row r="143" customHeight="1" spans="1:3">
      <c r="A143" s="133">
        <v>44044</v>
      </c>
      <c r="B143" s="134">
        <v>1178.92</v>
      </c>
      <c r="C143" s="141"/>
    </row>
    <row r="144" customHeight="1" spans="1:3">
      <c r="A144" s="133">
        <v>44075</v>
      </c>
      <c r="B144" s="134">
        <v>1285.2</v>
      </c>
      <c r="C144" s="141"/>
    </row>
    <row r="145" customHeight="1" spans="1:3">
      <c r="A145" s="133">
        <v>44105</v>
      </c>
      <c r="B145" s="134">
        <v>1433.27</v>
      </c>
      <c r="C145" s="141"/>
    </row>
    <row r="146" customHeight="1" spans="1:3">
      <c r="A146" s="133">
        <v>44136</v>
      </c>
      <c r="B146" s="134">
        <v>1626.24</v>
      </c>
      <c r="C146" s="141"/>
    </row>
    <row r="147" customHeight="1" spans="1:3">
      <c r="A147" s="133">
        <v>44166</v>
      </c>
      <c r="B147" s="134">
        <v>2060.35</v>
      </c>
      <c r="C147" s="141"/>
    </row>
    <row r="148" customHeight="1" spans="1:3">
      <c r="A148" s="133">
        <v>44197</v>
      </c>
      <c r="B148" s="134">
        <v>1951.71</v>
      </c>
      <c r="C148" s="141"/>
    </row>
    <row r="149" customHeight="1" spans="1:3">
      <c r="A149" s="133">
        <v>44228</v>
      </c>
      <c r="B149" s="134">
        <v>1424</v>
      </c>
      <c r="C149" s="141"/>
    </row>
    <row r="150" customHeight="1" spans="1:3">
      <c r="A150" s="133">
        <v>44256</v>
      </c>
      <c r="B150" s="134">
        <v>1508.7</v>
      </c>
      <c r="C150" s="141"/>
    </row>
    <row r="151" customHeight="1" spans="1:3">
      <c r="A151" s="133">
        <v>44287</v>
      </c>
      <c r="B151" s="134">
        <v>1804.53</v>
      </c>
      <c r="C151" s="141"/>
    </row>
    <row r="152" customHeight="1" spans="1:2">
      <c r="A152" s="133">
        <v>44317</v>
      </c>
      <c r="B152" s="134">
        <v>1995.65</v>
      </c>
    </row>
    <row r="153" customHeight="1" spans="1:2">
      <c r="A153" s="133">
        <v>44348</v>
      </c>
      <c r="B153" s="134">
        <v>2200</v>
      </c>
    </row>
    <row r="154" customHeight="1" spans="1:2">
      <c r="A154" s="133">
        <v>44378</v>
      </c>
      <c r="B154" s="134">
        <v>2195</v>
      </c>
    </row>
    <row r="155" customHeight="1" spans="1:2">
      <c r="A155" s="133">
        <v>44409</v>
      </c>
      <c r="B155" s="134">
        <v>2329</v>
      </c>
    </row>
    <row r="156" customHeight="1" spans="1:2">
      <c r="A156" s="133">
        <v>44440</v>
      </c>
      <c r="B156" s="134">
        <v>2509</v>
      </c>
    </row>
    <row r="157" customHeight="1" spans="1:2">
      <c r="A157" s="133">
        <v>44470</v>
      </c>
      <c r="B157" s="134">
        <v>3023</v>
      </c>
    </row>
    <row r="158" customHeight="1" spans="1:2">
      <c r="A158" s="133">
        <v>44501</v>
      </c>
      <c r="B158" s="134">
        <v>2649</v>
      </c>
    </row>
    <row r="159" customHeight="1" spans="1:2">
      <c r="A159" s="133">
        <v>44531</v>
      </c>
      <c r="B159" s="134">
        <v>2896</v>
      </c>
    </row>
    <row r="160" customHeight="1" spans="1:2">
      <c r="A160" s="133">
        <v>44562</v>
      </c>
      <c r="B160" s="134">
        <v>2847</v>
      </c>
    </row>
    <row r="161" customHeight="1" spans="1:2">
      <c r="A161" s="133">
        <v>44593</v>
      </c>
      <c r="B161" s="134">
        <v>1568</v>
      </c>
    </row>
    <row r="162" customHeight="1" spans="1:2">
      <c r="A162" s="133">
        <v>44621</v>
      </c>
      <c r="B162" s="134">
        <v>2590</v>
      </c>
    </row>
    <row r="163" customHeight="1" spans="1:2">
      <c r="A163" s="133">
        <v>44652</v>
      </c>
      <c r="B163" s="134">
        <v>2738</v>
      </c>
    </row>
    <row r="164" customHeight="1" spans="1:2">
      <c r="A164" s="133">
        <v>44682</v>
      </c>
      <c r="B164" s="134">
        <v>2530</v>
      </c>
    </row>
    <row r="165" customHeight="1" spans="1:2">
      <c r="A165" s="133">
        <v>44713</v>
      </c>
      <c r="B165" s="134">
        <v>2413</v>
      </c>
    </row>
    <row r="166" customHeight="1" spans="1:2">
      <c r="A166" s="133">
        <v>44743</v>
      </c>
      <c r="B166" s="134">
        <v>2119</v>
      </c>
    </row>
    <row r="167" customHeight="1" spans="1:2">
      <c r="A167" s="133">
        <v>44774</v>
      </c>
      <c r="B167" s="134">
        <v>2167</v>
      </c>
    </row>
    <row r="168" customHeight="1" spans="1:2">
      <c r="A168" s="133">
        <v>44805</v>
      </c>
      <c r="B168" s="134">
        <v>2109</v>
      </c>
    </row>
    <row r="169" customHeight="1" spans="1:2">
      <c r="A169" s="133">
        <v>44835</v>
      </c>
      <c r="B169" s="134">
        <v>2097</v>
      </c>
    </row>
    <row r="170" customHeight="1" spans="1:2">
      <c r="A170" s="133">
        <v>44866</v>
      </c>
      <c r="B170" s="134">
        <v>2269</v>
      </c>
    </row>
    <row r="171" customHeight="1" spans="1:2">
      <c r="A171" s="133">
        <v>44896</v>
      </c>
      <c r="B171" s="134">
        <v>3090</v>
      </c>
    </row>
    <row r="172" customHeight="1" spans="1:2">
      <c r="A172" s="133">
        <v>44927</v>
      </c>
      <c r="B172" s="134">
        <v>2897</v>
      </c>
    </row>
    <row r="173" customHeight="1" spans="1:2">
      <c r="A173" s="133">
        <v>44958</v>
      </c>
      <c r="B173" s="134">
        <v>2260</v>
      </c>
    </row>
    <row r="174" customHeight="1" spans="1:2">
      <c r="A174" s="133">
        <v>44986</v>
      </c>
      <c r="B174" s="134">
        <v>2669</v>
      </c>
    </row>
    <row r="175" customHeight="1" spans="1:2">
      <c r="A175" s="133">
        <v>45017</v>
      </c>
      <c r="B175" s="134">
        <v>2863</v>
      </c>
    </row>
    <row r="176" customHeight="1" spans="1:2">
      <c r="A176" s="133">
        <v>45047</v>
      </c>
      <c r="B176" s="134">
        <v>2807</v>
      </c>
    </row>
    <row r="177" customHeight="1" spans="1:2">
      <c r="A177" s="133">
        <v>45078</v>
      </c>
      <c r="B177" s="134">
        <v>2647</v>
      </c>
    </row>
    <row r="178" customHeight="1" spans="1:2">
      <c r="A178" s="133">
        <v>45108</v>
      </c>
      <c r="B178" s="134">
        <v>2684</v>
      </c>
    </row>
    <row r="179" customHeight="1" spans="1:2">
      <c r="A179" s="133">
        <v>45139</v>
      </c>
      <c r="B179" s="134">
        <v>2645</v>
      </c>
    </row>
    <row r="180" customHeight="1" spans="1:2">
      <c r="A180" s="133">
        <v>45170</v>
      </c>
      <c r="B180" s="134">
        <v>2775</v>
      </c>
    </row>
    <row r="181" customHeight="1" spans="1:2">
      <c r="A181" s="133">
        <v>45200</v>
      </c>
      <c r="B181" s="134">
        <v>2867</v>
      </c>
    </row>
    <row r="182" customHeight="1" spans="1:2">
      <c r="A182" s="133">
        <v>45231</v>
      </c>
      <c r="B182" s="134">
        <v>3280</v>
      </c>
    </row>
    <row r="183" customHeight="1" spans="1:2">
      <c r="A183" s="133">
        <v>45261</v>
      </c>
      <c r="B183" s="134">
        <v>3978</v>
      </c>
    </row>
    <row r="184" customHeight="1" spans="1:2">
      <c r="A184" s="133">
        <v>45292</v>
      </c>
      <c r="B184" s="134">
        <v>3725</v>
      </c>
    </row>
    <row r="185" customHeight="1" spans="1:2">
      <c r="A185" s="133">
        <v>45323</v>
      </c>
      <c r="B185" s="134">
        <v>2104</v>
      </c>
    </row>
    <row r="186" customHeight="1" spans="1:2">
      <c r="A186" s="133">
        <v>45352</v>
      </c>
      <c r="B186" s="134">
        <v>2545</v>
      </c>
    </row>
    <row r="187" customHeight="1" spans="1:2">
      <c r="A187" s="133">
        <v>45383</v>
      </c>
      <c r="B187" s="134">
        <v>2563</v>
      </c>
    </row>
    <row r="188" customHeight="1" spans="1:2">
      <c r="A188" s="133">
        <v>45413</v>
      </c>
      <c r="B188" s="134">
        <v>2666</v>
      </c>
    </row>
    <row r="189" customHeight="1" spans="1:2">
      <c r="A189" s="133">
        <v>45444</v>
      </c>
      <c r="B189" s="134">
        <v>2431</v>
      </c>
    </row>
    <row r="190" customHeight="1" spans="1:2">
      <c r="A190" s="133">
        <v>45474</v>
      </c>
      <c r="B190" s="134">
        <v>2428</v>
      </c>
    </row>
    <row r="191" customHeight="1" spans="1:2">
      <c r="A191" s="133">
        <v>45505</v>
      </c>
      <c r="B191" s="134">
        <v>2442</v>
      </c>
    </row>
    <row r="192" customHeight="1" spans="1:2">
      <c r="A192" s="133">
        <v>45536</v>
      </c>
      <c r="B192" s="134">
        <v>2640</v>
      </c>
    </row>
    <row r="193" customHeight="1" spans="1:2">
      <c r="A193" s="133">
        <v>45566</v>
      </c>
      <c r="B193" s="134">
        <v>2876</v>
      </c>
    </row>
    <row r="194" customHeight="1" spans="1:2">
      <c r="A194" s="133">
        <v>45597</v>
      </c>
      <c r="B194" s="134">
        <v>3190</v>
      </c>
    </row>
    <row r="195" customHeight="1" spans="1:2">
      <c r="A195" s="133">
        <v>45627</v>
      </c>
      <c r="B195" s="134">
        <v>4162</v>
      </c>
    </row>
    <row r="196" customHeight="1" spans="1:2">
      <c r="A196" s="133">
        <v>45658</v>
      </c>
      <c r="B196" s="134">
        <v>3816</v>
      </c>
    </row>
    <row r="197" customHeight="1" spans="1:2">
      <c r="A197" s="133">
        <v>45689</v>
      </c>
      <c r="B197" s="134">
        <v>2177</v>
      </c>
    </row>
    <row r="198" customHeight="1" spans="1:2">
      <c r="A198" s="133">
        <v>45717</v>
      </c>
      <c r="B198" s="134">
        <v>3063</v>
      </c>
    </row>
    <row r="199" customHeight="1" spans="1:2">
      <c r="A199" s="133">
        <v>45748</v>
      </c>
      <c r="B199" s="134">
        <v>3077</v>
      </c>
    </row>
    <row r="200" customHeight="1" spans="1:2">
      <c r="A200" s="133">
        <v>45778</v>
      </c>
      <c r="B200" s="134">
        <v>3216</v>
      </c>
    </row>
    <row r="201" customHeight="1" spans="1:2">
      <c r="A201" s="133">
        <v>45809</v>
      </c>
      <c r="B201" s="134">
        <v>3006</v>
      </c>
    </row>
    <row r="202" customHeight="1" spans="1:2">
      <c r="A202" s="133">
        <v>45839</v>
      </c>
      <c r="B202" s="134">
        <v>3166</v>
      </c>
    </row>
    <row r="203" customHeight="1" spans="1:2">
      <c r="A203" s="133">
        <v>45870</v>
      </c>
      <c r="B203" s="134">
        <v>3350</v>
      </c>
    </row>
    <row r="204" customHeight="1" spans="1:2">
      <c r="A204" s="133">
        <v>45901</v>
      </c>
      <c r="B204" s="134">
        <v>3584</v>
      </c>
    </row>
    <row r="205" customHeight="1" spans="1:2">
      <c r="A205" s="133">
        <v>45931</v>
      </c>
      <c r="B205" s="134">
        <v>3834</v>
      </c>
    </row>
    <row r="206" customHeight="1" spans="1:2">
      <c r="A206" s="133">
        <v>45962</v>
      </c>
      <c r="B206" s="134">
        <v>3957</v>
      </c>
    </row>
    <row r="207" customHeight="1" spans="1:2">
      <c r="A207" s="133">
        <v>45992</v>
      </c>
      <c r="B207" s="134">
        <v>4891</v>
      </c>
    </row>
    <row r="208" customHeight="1" spans="1:2">
      <c r="A208" s="133">
        <v>46023</v>
      </c>
      <c r="B208" s="134">
        <v>4404</v>
      </c>
    </row>
    <row r="209" customHeight="1" spans="1:2">
      <c r="A209" s="133">
        <v>46054</v>
      </c>
      <c r="B209" s="134">
        <v>3177</v>
      </c>
    </row>
    <row r="210" customHeight="1" spans="1:2">
      <c r="A210" s="133">
        <v>46082</v>
      </c>
      <c r="B210" s="134">
        <v>3514</v>
      </c>
    </row>
    <row r="211" customHeight="1" spans="1:2">
      <c r="A211" s="133">
        <v>46113</v>
      </c>
      <c r="B211" s="134">
        <v>3898</v>
      </c>
    </row>
    <row r="212" customHeight="1" spans="1:2">
      <c r="A212" s="133">
        <v>46143</v>
      </c>
      <c r="B212" s="134">
        <v>3912</v>
      </c>
    </row>
    <row r="213" customHeight="1" spans="1:2">
      <c r="A213" s="133">
        <v>46174</v>
      </c>
      <c r="B213" s="134">
        <v>3820</v>
      </c>
    </row>
    <row r="214" customHeight="1" spans="1:2">
      <c r="A214" s="144">
        <v>46204</v>
      </c>
      <c r="B214" s="145">
        <v>3610</v>
      </c>
    </row>
  </sheetData>
  <mergeCells count="1">
    <mergeCell ref="A1:B1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J27" sqref="J27"/>
    </sheetView>
  </sheetViews>
  <sheetFormatPr defaultColWidth="13.1333333333333" defaultRowHeight="20.1" customHeight="1" outlineLevelCol="3"/>
  <cols>
    <col min="1" max="4" width="16.6333333333333" customWidth="1"/>
    <col min="5" max="5" width="13.1333333333333" customWidth="1"/>
  </cols>
  <sheetData>
    <row r="1" ht="30" customHeight="1" spans="1:4">
      <c r="A1" s="105" t="s">
        <v>308</v>
      </c>
      <c r="B1" s="105"/>
      <c r="C1" s="105"/>
      <c r="D1" s="105"/>
    </row>
    <row r="2" ht="30" customHeight="1" spans="1:4">
      <c r="A2" s="105" t="s">
        <v>246</v>
      </c>
      <c r="B2" s="105" t="s">
        <v>309</v>
      </c>
      <c r="C2" s="121" t="s">
        <v>310</v>
      </c>
      <c r="D2" s="105" t="s">
        <v>311</v>
      </c>
    </row>
    <row r="3" customHeight="1" spans="1:4">
      <c r="A3" s="106">
        <v>2011</v>
      </c>
      <c r="B3" s="107">
        <v>19938</v>
      </c>
      <c r="C3" s="106">
        <v>5919</v>
      </c>
      <c r="D3" s="107">
        <v>14019</v>
      </c>
    </row>
    <row r="4" customHeight="1" spans="1:4">
      <c r="A4" s="108">
        <v>2012</v>
      </c>
      <c r="B4" s="109">
        <v>14720</v>
      </c>
      <c r="C4" s="108">
        <v>4585</v>
      </c>
      <c r="D4" s="109">
        <v>10135</v>
      </c>
    </row>
    <row r="5" customHeight="1" spans="1:4">
      <c r="A5" s="108">
        <v>2013</v>
      </c>
      <c r="B5" s="109">
        <v>14720</v>
      </c>
      <c r="C5" s="108">
        <v>4585</v>
      </c>
      <c r="D5" s="109">
        <v>10135</v>
      </c>
    </row>
    <row r="6" customHeight="1" spans="1:4">
      <c r="A6" s="108">
        <v>2014</v>
      </c>
      <c r="B6" s="109">
        <v>13986</v>
      </c>
      <c r="C6" s="108">
        <v>4493</v>
      </c>
      <c r="D6" s="109">
        <v>9493</v>
      </c>
    </row>
    <row r="7" customHeight="1" spans="1:4">
      <c r="A7" s="108">
        <v>2015</v>
      </c>
      <c r="B7" s="109">
        <v>12175</v>
      </c>
      <c r="C7" s="108">
        <v>2937</v>
      </c>
      <c r="D7" s="109">
        <v>9238</v>
      </c>
    </row>
    <row r="8" customHeight="1" spans="1:4">
      <c r="A8" s="108">
        <v>2016</v>
      </c>
      <c r="B8" s="109">
        <v>11219</v>
      </c>
      <c r="C8" s="108">
        <v>2907</v>
      </c>
      <c r="D8" s="109">
        <v>8312</v>
      </c>
    </row>
    <row r="9" customHeight="1" spans="1:4">
      <c r="A9" s="108">
        <v>2017</v>
      </c>
      <c r="B9" s="109">
        <v>10413</v>
      </c>
      <c r="C9" s="108">
        <v>3291</v>
      </c>
      <c r="D9" s="109">
        <v>7122</v>
      </c>
    </row>
    <row r="10" customHeight="1" spans="1:4">
      <c r="A10" s="110">
        <v>2018</v>
      </c>
      <c r="B10" s="111">
        <v>9476</v>
      </c>
      <c r="C10" s="110">
        <v>2630</v>
      </c>
      <c r="D10" s="111">
        <v>6846</v>
      </c>
    </row>
  </sheetData>
  <mergeCells count="1">
    <mergeCell ref="A1:D1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6"/>
  <sheetViews>
    <sheetView workbookViewId="0">
      <pane xSplit="1" ySplit="1" topLeftCell="B74" activePane="bottomRight" state="frozen"/>
      <selection/>
      <selection pane="topRight"/>
      <selection pane="bottomLeft"/>
      <selection pane="bottomRight" activeCell="H103" sqref="H103"/>
    </sheetView>
  </sheetViews>
  <sheetFormatPr defaultColWidth="9" defaultRowHeight="19" customHeight="1" outlineLevelCol="4"/>
  <cols>
    <col min="1" max="1" width="13.1333333333333" style="112" customWidth="1"/>
    <col min="2" max="2" width="22.7583333333333" style="113" customWidth="1"/>
    <col min="3" max="3" width="22.5" style="113" customWidth="1"/>
    <col min="4" max="4" width="19.6333333333333" style="114" customWidth="1"/>
    <col min="5" max="5" width="13.7583333333333"/>
  </cols>
  <sheetData>
    <row r="1" ht="30" customHeight="1" spans="1:4">
      <c r="A1" s="115" t="s">
        <v>246</v>
      </c>
      <c r="B1" s="116" t="s">
        <v>312</v>
      </c>
      <c r="C1" s="116" t="s">
        <v>313</v>
      </c>
      <c r="D1" s="117" t="s">
        <v>314</v>
      </c>
    </row>
    <row r="2" customHeight="1" spans="1:4">
      <c r="A2" s="118">
        <v>33603</v>
      </c>
      <c r="B2" s="119"/>
      <c r="C2" s="119">
        <v>2452</v>
      </c>
      <c r="D2" s="120" t="s">
        <v>98</v>
      </c>
    </row>
    <row r="3" customHeight="1" spans="1:4">
      <c r="A3" s="118">
        <v>33969</v>
      </c>
      <c r="B3" s="119"/>
      <c r="C3" s="119">
        <v>2635</v>
      </c>
      <c r="D3" s="120">
        <v>0.0746</v>
      </c>
    </row>
    <row r="4" customHeight="1" spans="1:4">
      <c r="A4" s="118">
        <v>34334</v>
      </c>
      <c r="B4" s="119"/>
      <c r="C4" s="119">
        <v>2854</v>
      </c>
      <c r="D4" s="120">
        <v>0.0831</v>
      </c>
    </row>
    <row r="5" customHeight="1" spans="1:4">
      <c r="A5" s="118">
        <v>34699</v>
      </c>
      <c r="B5" s="119"/>
      <c r="C5" s="119">
        <v>3205</v>
      </c>
      <c r="D5" s="120">
        <v>0.123</v>
      </c>
    </row>
    <row r="6" customHeight="1" spans="1:4">
      <c r="A6" s="118">
        <v>35064</v>
      </c>
      <c r="B6" s="119"/>
      <c r="C6" s="119">
        <v>3648</v>
      </c>
      <c r="D6" s="120">
        <v>0.1382</v>
      </c>
    </row>
    <row r="7" customHeight="1" spans="1:4">
      <c r="A7" s="118">
        <v>35430</v>
      </c>
      <c r="B7" s="119"/>
      <c r="C7" s="119">
        <v>3158</v>
      </c>
      <c r="D7" s="120">
        <v>-0.1343</v>
      </c>
    </row>
    <row r="8" customHeight="1" spans="1:4">
      <c r="A8" s="118">
        <v>35795</v>
      </c>
      <c r="B8" s="119"/>
      <c r="C8" s="119">
        <v>3596</v>
      </c>
      <c r="D8" s="120">
        <v>0.1387</v>
      </c>
    </row>
    <row r="9" customHeight="1" spans="1:4">
      <c r="A9" s="118">
        <v>36160</v>
      </c>
      <c r="B9" s="119"/>
      <c r="C9" s="119">
        <v>3884</v>
      </c>
      <c r="D9" s="120">
        <v>0.0801</v>
      </c>
    </row>
    <row r="10" customHeight="1" spans="1:4">
      <c r="A10" s="118">
        <v>36525</v>
      </c>
      <c r="B10" s="119"/>
      <c r="C10" s="119">
        <v>4006</v>
      </c>
      <c r="D10" s="120">
        <v>0.0314</v>
      </c>
    </row>
    <row r="11" customHeight="1" spans="1:4">
      <c r="A11" s="118">
        <v>36891</v>
      </c>
      <c r="B11" s="119"/>
      <c r="C11" s="119">
        <v>3966</v>
      </c>
      <c r="D11" s="120">
        <v>-0.01</v>
      </c>
    </row>
    <row r="12" customHeight="1" spans="1:4">
      <c r="A12" s="118">
        <v>37256</v>
      </c>
      <c r="B12" s="119"/>
      <c r="C12" s="119">
        <v>4052</v>
      </c>
      <c r="D12" s="120">
        <v>0.0217</v>
      </c>
    </row>
    <row r="13" customHeight="1" spans="1:4">
      <c r="A13" s="118">
        <v>37621</v>
      </c>
      <c r="B13" s="119"/>
      <c r="C13" s="119">
        <v>4123</v>
      </c>
      <c r="D13" s="120">
        <v>0.0175</v>
      </c>
    </row>
    <row r="14" customHeight="1" spans="1:4">
      <c r="A14" s="118">
        <v>37986</v>
      </c>
      <c r="B14" s="119"/>
      <c r="C14" s="119">
        <v>4239</v>
      </c>
      <c r="D14" s="120">
        <v>0.0281</v>
      </c>
    </row>
    <row r="15" customHeight="1" spans="1:4">
      <c r="A15" s="118">
        <v>38352</v>
      </c>
      <c r="B15" s="119"/>
      <c r="C15" s="119">
        <v>4341</v>
      </c>
      <c r="D15" s="120">
        <v>0.0241</v>
      </c>
    </row>
    <row r="16" customHeight="1" spans="1:4">
      <c r="A16" s="118">
        <v>38717</v>
      </c>
      <c r="B16" s="119"/>
      <c r="C16" s="119">
        <v>4555</v>
      </c>
      <c r="D16" s="120">
        <v>0.0493</v>
      </c>
    </row>
    <row r="17" customHeight="1" spans="1:4">
      <c r="A17" s="118">
        <v>39082</v>
      </c>
      <c r="B17" s="119"/>
      <c r="C17" s="119">
        <v>4650</v>
      </c>
      <c r="D17" s="120">
        <v>0.0209</v>
      </c>
    </row>
    <row r="18" customHeight="1" spans="1:4">
      <c r="A18" s="118">
        <v>39447</v>
      </c>
      <c r="B18" s="119"/>
      <c r="C18" s="119">
        <v>4308</v>
      </c>
      <c r="D18" s="120">
        <v>-0.0735</v>
      </c>
    </row>
    <row r="19" customHeight="1" spans="1:4">
      <c r="A19" s="118">
        <v>39813</v>
      </c>
      <c r="B19" s="119"/>
      <c r="C19" s="119">
        <v>4682</v>
      </c>
      <c r="D19" s="120">
        <v>0.0868</v>
      </c>
    </row>
    <row r="20" customHeight="1" spans="1:4">
      <c r="A20" s="118">
        <v>40178</v>
      </c>
      <c r="B20" s="119">
        <v>1394</v>
      </c>
      <c r="C20" s="119">
        <v>4889</v>
      </c>
      <c r="D20" s="120">
        <v>0.063</v>
      </c>
    </row>
    <row r="21" customHeight="1" spans="1:4">
      <c r="A21" s="118">
        <v>40268</v>
      </c>
      <c r="B21" s="119">
        <v>1427</v>
      </c>
      <c r="C21" s="119">
        <v>1427</v>
      </c>
      <c r="D21" s="120">
        <v>0.058</v>
      </c>
    </row>
    <row r="22" customHeight="1" spans="1:4">
      <c r="A22" s="118">
        <v>40359</v>
      </c>
      <c r="B22" s="119">
        <v>1028</v>
      </c>
      <c r="C22" s="119">
        <v>2455</v>
      </c>
      <c r="D22" s="120">
        <v>0.052</v>
      </c>
    </row>
    <row r="23" customHeight="1" spans="1:4">
      <c r="A23" s="118">
        <v>40451</v>
      </c>
      <c r="B23" s="119">
        <v>1134</v>
      </c>
      <c r="C23" s="119">
        <v>3589</v>
      </c>
      <c r="D23" s="120">
        <v>0.036</v>
      </c>
    </row>
    <row r="24" customHeight="1" spans="1:4">
      <c r="A24" s="118">
        <v>40543</v>
      </c>
      <c r="B24" s="119">
        <v>1481</v>
      </c>
      <c r="C24" s="119">
        <v>5070</v>
      </c>
      <c r="D24" s="120">
        <v>0.027</v>
      </c>
    </row>
    <row r="25" customHeight="1" spans="1:4">
      <c r="A25" s="118">
        <v>40633</v>
      </c>
      <c r="B25" s="119">
        <v>1451</v>
      </c>
      <c r="C25" s="119">
        <v>1451</v>
      </c>
      <c r="D25" s="120">
        <v>0.037</v>
      </c>
    </row>
    <row r="26" customHeight="1" spans="1:4">
      <c r="A26" s="118">
        <v>40724</v>
      </c>
      <c r="B26" s="119">
        <v>992</v>
      </c>
      <c r="C26" s="119">
        <v>2443</v>
      </c>
      <c r="D26" s="120">
        <v>-0.0049</v>
      </c>
    </row>
    <row r="27" customHeight="1" spans="1:4">
      <c r="A27" s="118">
        <v>40816</v>
      </c>
      <c r="B27" s="119">
        <v>1125</v>
      </c>
      <c r="C27" s="119">
        <v>3568</v>
      </c>
      <c r="D27" s="120">
        <v>-0.0059</v>
      </c>
    </row>
    <row r="28" customHeight="1" spans="1:4">
      <c r="A28" s="118">
        <v>40908</v>
      </c>
      <c r="B28" s="119">
        <v>1485</v>
      </c>
      <c r="C28" s="119">
        <v>5053</v>
      </c>
      <c r="D28" s="120">
        <v>-0.0034</v>
      </c>
    </row>
    <row r="29" customHeight="1" spans="1:4">
      <c r="A29" s="118">
        <v>40999</v>
      </c>
      <c r="B29" s="119">
        <v>1511</v>
      </c>
      <c r="C29" s="119">
        <v>1511</v>
      </c>
      <c r="D29" s="120">
        <v>0.0414</v>
      </c>
    </row>
    <row r="30" customHeight="1" spans="1:4">
      <c r="A30" s="118">
        <v>41090</v>
      </c>
      <c r="B30" s="119">
        <v>1077</v>
      </c>
      <c r="C30" s="119">
        <v>2588</v>
      </c>
      <c r="D30" s="120">
        <v>0.0594</v>
      </c>
    </row>
    <row r="31" customHeight="1" spans="1:4">
      <c r="A31" s="118">
        <v>41182</v>
      </c>
      <c r="B31" s="119">
        <v>1166</v>
      </c>
      <c r="C31" s="119">
        <v>3754</v>
      </c>
      <c r="D31" s="120">
        <v>0.0521</v>
      </c>
    </row>
    <row r="32" customHeight="1" spans="1:4">
      <c r="A32" s="118">
        <v>41274</v>
      </c>
      <c r="B32" s="119">
        <v>1581</v>
      </c>
      <c r="C32" s="119">
        <v>5335</v>
      </c>
      <c r="D32" s="120">
        <v>0.0558</v>
      </c>
    </row>
    <row r="33" customHeight="1" spans="1:4">
      <c r="A33" s="118">
        <v>41364</v>
      </c>
      <c r="B33" s="119">
        <v>1554</v>
      </c>
      <c r="C33" s="119">
        <v>1554</v>
      </c>
      <c r="D33" s="120">
        <v>0.0285</v>
      </c>
    </row>
    <row r="34" customHeight="1" spans="1:4">
      <c r="A34" s="118">
        <v>41455</v>
      </c>
      <c r="B34" s="119">
        <v>1060</v>
      </c>
      <c r="C34" s="119">
        <v>2614</v>
      </c>
      <c r="D34" s="120">
        <v>0.01</v>
      </c>
    </row>
    <row r="35" customHeight="1" spans="1:4">
      <c r="A35" s="118">
        <v>41547</v>
      </c>
      <c r="B35" s="119">
        <v>1217</v>
      </c>
      <c r="C35" s="119">
        <v>3831</v>
      </c>
      <c r="D35" s="120">
        <v>0.0205</v>
      </c>
    </row>
    <row r="36" customHeight="1" spans="1:4">
      <c r="A36" s="118">
        <v>41639</v>
      </c>
      <c r="B36" s="119">
        <v>1662</v>
      </c>
      <c r="C36" s="119">
        <v>5493</v>
      </c>
      <c r="D36" s="120">
        <v>0.0296</v>
      </c>
    </row>
    <row r="37" customHeight="1" spans="1:4">
      <c r="A37" s="118">
        <v>41729</v>
      </c>
      <c r="B37" s="119">
        <v>1607</v>
      </c>
      <c r="C37" s="119">
        <v>1607</v>
      </c>
      <c r="D37" s="120">
        <v>0.0341</v>
      </c>
    </row>
    <row r="38" customHeight="1" spans="1:4">
      <c r="A38" s="118">
        <v>41820</v>
      </c>
      <c r="B38" s="119">
        <v>1098</v>
      </c>
      <c r="C38" s="119">
        <v>2705</v>
      </c>
      <c r="D38" s="120">
        <v>0.0348</v>
      </c>
    </row>
    <row r="39" customHeight="1" spans="1:4">
      <c r="A39" s="118">
        <v>41912</v>
      </c>
      <c r="B39" s="119">
        <v>1267</v>
      </c>
      <c r="C39" s="119">
        <v>3972</v>
      </c>
      <c r="D39" s="120">
        <v>0.0368</v>
      </c>
    </row>
    <row r="40" customHeight="1" spans="1:4">
      <c r="A40" s="118">
        <v>42004</v>
      </c>
      <c r="B40" s="119">
        <v>1699</v>
      </c>
      <c r="C40" s="119">
        <v>5671</v>
      </c>
      <c r="D40" s="120">
        <v>0.0324</v>
      </c>
    </row>
    <row r="41" customHeight="1" spans="1:4">
      <c r="A41" s="118">
        <v>42094</v>
      </c>
      <c r="B41" s="119">
        <v>1557</v>
      </c>
      <c r="C41" s="119">
        <v>1557</v>
      </c>
      <c r="D41" s="120">
        <v>-0.0311</v>
      </c>
    </row>
    <row r="42" customHeight="1" spans="1:4">
      <c r="A42" s="118">
        <v>42185</v>
      </c>
      <c r="B42" s="119">
        <v>1017</v>
      </c>
      <c r="C42" s="119">
        <v>2574</v>
      </c>
      <c r="D42" s="120">
        <v>-0.0484</v>
      </c>
    </row>
    <row r="43" customHeight="1" spans="1:4">
      <c r="A43" s="118">
        <v>42277</v>
      </c>
      <c r="B43" s="119">
        <v>1254</v>
      </c>
      <c r="C43" s="119">
        <v>3828</v>
      </c>
      <c r="D43" s="120">
        <v>-0.0363</v>
      </c>
    </row>
    <row r="44" customHeight="1" spans="1:4">
      <c r="A44" s="118">
        <v>42369</v>
      </c>
      <c r="B44" s="119">
        <v>1659</v>
      </c>
      <c r="C44" s="119">
        <v>5487</v>
      </c>
      <c r="D44" s="120">
        <v>-0.0324</v>
      </c>
    </row>
    <row r="45" customHeight="1" spans="1:4">
      <c r="A45" s="118">
        <v>42460</v>
      </c>
      <c r="B45" s="119">
        <v>1466</v>
      </c>
      <c r="C45" s="119">
        <v>1466</v>
      </c>
      <c r="D45" s="120">
        <v>-0.0584</v>
      </c>
    </row>
    <row r="46" customHeight="1" spans="1:4">
      <c r="A46" s="118">
        <v>42551</v>
      </c>
      <c r="B46" s="119">
        <v>1007</v>
      </c>
      <c r="C46" s="119">
        <v>2473</v>
      </c>
      <c r="D46" s="120">
        <v>-0.0392</v>
      </c>
    </row>
    <row r="47" customHeight="1" spans="1:4">
      <c r="A47" s="118">
        <v>42643</v>
      </c>
      <c r="B47" s="119">
        <v>1217</v>
      </c>
      <c r="C47" s="119">
        <v>3690</v>
      </c>
      <c r="D47" s="120">
        <v>-0.0361</v>
      </c>
    </row>
    <row r="48" customHeight="1" spans="1:4">
      <c r="A48" s="118">
        <v>42735</v>
      </c>
      <c r="B48" s="119">
        <v>1609</v>
      </c>
      <c r="C48" s="119">
        <v>5299</v>
      </c>
      <c r="D48" s="120">
        <v>-0.0343</v>
      </c>
    </row>
    <row r="49" customHeight="1" spans="1:4">
      <c r="A49" s="118">
        <v>42825</v>
      </c>
      <c r="B49" s="119">
        <v>1468</v>
      </c>
      <c r="C49" s="119">
        <v>1468</v>
      </c>
      <c r="D49" s="120">
        <v>0.0014</v>
      </c>
    </row>
    <row r="50" customHeight="1" spans="1:4">
      <c r="A50" s="118">
        <v>42916</v>
      </c>
      <c r="B50" s="119">
        <v>1025</v>
      </c>
      <c r="C50" s="119">
        <v>2493</v>
      </c>
      <c r="D50" s="120">
        <v>0.0081</v>
      </c>
    </row>
    <row r="51" customHeight="1" spans="1:4">
      <c r="A51" s="118">
        <v>43008</v>
      </c>
      <c r="B51" s="119">
        <v>1224</v>
      </c>
      <c r="C51" s="119">
        <v>3717</v>
      </c>
      <c r="D51" s="120">
        <v>0.0073</v>
      </c>
    </row>
    <row r="52" customHeight="1" spans="1:4">
      <c r="A52" s="118">
        <v>43100</v>
      </c>
      <c r="B52" s="119">
        <v>1623</v>
      </c>
      <c r="C52" s="119">
        <v>5340</v>
      </c>
      <c r="D52" s="120">
        <v>0.0077</v>
      </c>
    </row>
    <row r="53" customHeight="1" spans="1:4">
      <c r="A53" s="118">
        <v>43190</v>
      </c>
      <c r="B53" s="119">
        <v>1543</v>
      </c>
      <c r="C53" s="119">
        <v>1543</v>
      </c>
      <c r="D53" s="120">
        <v>0.0511</v>
      </c>
    </row>
    <row r="54" customHeight="1" spans="1:4">
      <c r="A54" s="118">
        <v>43281</v>
      </c>
      <c r="B54" s="119">
        <v>1071</v>
      </c>
      <c r="C54" s="119">
        <v>2614</v>
      </c>
      <c r="D54" s="120">
        <v>0.0485</v>
      </c>
    </row>
    <row r="55" customHeight="1" spans="1:4">
      <c r="A55" s="118">
        <v>43373</v>
      </c>
      <c r="B55" s="119">
        <v>1229</v>
      </c>
      <c r="C55" s="119">
        <v>3843</v>
      </c>
      <c r="D55" s="120">
        <v>0.0339</v>
      </c>
    </row>
    <row r="56" customHeight="1" spans="1:4">
      <c r="A56" s="118">
        <v>43465</v>
      </c>
      <c r="B56" s="119">
        <v>1561</v>
      </c>
      <c r="C56" s="119">
        <v>5404</v>
      </c>
      <c r="D56" s="120">
        <v>0.012</v>
      </c>
    </row>
    <row r="57" customHeight="1" spans="1:4">
      <c r="A57" s="118">
        <v>43555</v>
      </c>
      <c r="B57" s="119">
        <v>1463</v>
      </c>
      <c r="C57" s="119">
        <v>1463</v>
      </c>
      <c r="D57" s="120">
        <v>-0.0518</v>
      </c>
    </row>
    <row r="58" customHeight="1" spans="1:4">
      <c r="A58" s="118">
        <v>43646</v>
      </c>
      <c r="B58" s="119">
        <v>1007</v>
      </c>
      <c r="C58" s="119">
        <v>2470</v>
      </c>
      <c r="D58" s="120">
        <v>-0.0551</v>
      </c>
    </row>
    <row r="59" customHeight="1" spans="1:4">
      <c r="A59" s="118">
        <v>43738</v>
      </c>
      <c r="B59" s="119">
        <v>711</v>
      </c>
      <c r="C59" s="119">
        <v>3181</v>
      </c>
      <c r="D59" s="120">
        <v>-0.1723</v>
      </c>
    </row>
    <row r="60" customHeight="1" spans="1:4">
      <c r="A60" s="118">
        <v>43830</v>
      </c>
      <c r="B60" s="119">
        <v>1074</v>
      </c>
      <c r="C60" s="119">
        <v>4255</v>
      </c>
      <c r="D60" s="120">
        <v>-0.2123</v>
      </c>
    </row>
    <row r="61" customHeight="1" spans="1:4">
      <c r="A61" s="118">
        <v>43921</v>
      </c>
      <c r="B61" s="119">
        <v>1038</v>
      </c>
      <c r="C61" s="119">
        <v>1038</v>
      </c>
      <c r="D61" s="120">
        <v>-0.2905</v>
      </c>
    </row>
    <row r="62" customHeight="1" spans="1:4">
      <c r="A62" s="118">
        <v>44012</v>
      </c>
      <c r="B62" s="119">
        <v>960</v>
      </c>
      <c r="C62" s="119">
        <v>1998</v>
      </c>
      <c r="D62" s="120">
        <v>-0.1911</v>
      </c>
    </row>
    <row r="63" customHeight="1" spans="1:4">
      <c r="A63" s="118">
        <v>44104</v>
      </c>
      <c r="B63" s="119">
        <v>840</v>
      </c>
      <c r="C63" s="119">
        <v>2838</v>
      </c>
      <c r="D63" s="120">
        <v>-0.1078</v>
      </c>
    </row>
    <row r="64" customHeight="1" spans="1:4">
      <c r="A64" s="118">
        <v>44196</v>
      </c>
      <c r="B64" s="119">
        <v>1275</v>
      </c>
      <c r="C64" s="119">
        <v>4113</v>
      </c>
      <c r="D64" s="120">
        <v>-0.0334</v>
      </c>
    </row>
    <row r="65" customHeight="1" spans="1:4">
      <c r="A65" s="118">
        <v>44286</v>
      </c>
      <c r="B65" s="119">
        <v>1369</v>
      </c>
      <c r="C65" s="119">
        <v>1369</v>
      </c>
      <c r="D65" s="120">
        <v>0.3189</v>
      </c>
    </row>
    <row r="66" customHeight="1" spans="1:4">
      <c r="A66" s="118">
        <v>44377</v>
      </c>
      <c r="B66" s="119">
        <v>1346</v>
      </c>
      <c r="C66" s="119">
        <v>2715</v>
      </c>
      <c r="D66" s="120">
        <v>0.3589</v>
      </c>
    </row>
    <row r="67" customHeight="1" spans="1:4">
      <c r="A67" s="118">
        <v>44469</v>
      </c>
      <c r="B67" s="119">
        <v>1202</v>
      </c>
      <c r="C67" s="119">
        <v>3917</v>
      </c>
      <c r="D67" s="120">
        <v>0.3802</v>
      </c>
    </row>
    <row r="68" customHeight="1" spans="1:4">
      <c r="A68" s="118">
        <v>44561</v>
      </c>
      <c r="B68" s="119">
        <v>1379</v>
      </c>
      <c r="C68" s="119">
        <v>5296</v>
      </c>
      <c r="D68" s="120">
        <v>0.2876</v>
      </c>
    </row>
    <row r="69" customHeight="1" spans="1:4">
      <c r="A69" s="118">
        <v>44650</v>
      </c>
      <c r="B69" s="119">
        <v>1561</v>
      </c>
      <c r="C69" s="119">
        <v>1561</v>
      </c>
      <c r="D69" s="120">
        <v>0.1402</v>
      </c>
    </row>
    <row r="70" customHeight="1" spans="1:4">
      <c r="A70" s="118">
        <v>44742</v>
      </c>
      <c r="B70" s="119">
        <v>1378</v>
      </c>
      <c r="C70" s="119">
        <v>2939</v>
      </c>
      <c r="D70" s="120">
        <v>0.0825</v>
      </c>
    </row>
    <row r="71" customHeight="1" spans="1:4">
      <c r="A71" s="118">
        <v>44834</v>
      </c>
      <c r="B71" s="119">
        <v>1211</v>
      </c>
      <c r="C71" s="119">
        <v>4150</v>
      </c>
      <c r="D71" s="120">
        <v>0.0595</v>
      </c>
    </row>
    <row r="72" customHeight="1" spans="1:4">
      <c r="A72" s="118">
        <v>44926</v>
      </c>
      <c r="B72" s="119">
        <v>1391</v>
      </c>
      <c r="C72" s="119">
        <v>5541</v>
      </c>
      <c r="D72" s="120">
        <v>0.0463</v>
      </c>
    </row>
    <row r="73" customHeight="1" spans="1:4">
      <c r="A73" s="118">
        <v>45015</v>
      </c>
      <c r="B73" s="119">
        <v>1590</v>
      </c>
      <c r="C73" s="119">
        <v>1590</v>
      </c>
      <c r="D73" s="120">
        <v>0.0186</v>
      </c>
    </row>
    <row r="74" customHeight="1" spans="1:4">
      <c r="A74" s="118">
        <v>45107</v>
      </c>
      <c r="B74" s="119">
        <v>1442</v>
      </c>
      <c r="C74" s="119">
        <v>3032</v>
      </c>
      <c r="D74" s="120">
        <v>0.0316</v>
      </c>
    </row>
    <row r="75" customHeight="1" spans="1:4">
      <c r="A75" s="118">
        <v>45199</v>
      </c>
      <c r="B75" s="119">
        <v>1269</v>
      </c>
      <c r="C75" s="119">
        <v>4301</v>
      </c>
      <c r="D75" s="120">
        <v>0.036</v>
      </c>
    </row>
    <row r="76" customHeight="1" spans="1:4">
      <c r="A76" s="118">
        <v>45291</v>
      </c>
      <c r="B76" s="119">
        <v>1493</v>
      </c>
      <c r="C76" s="119">
        <v>5794</v>
      </c>
      <c r="D76" s="120">
        <v>0.046</v>
      </c>
    </row>
    <row r="77" customHeight="1" spans="1:5">
      <c r="A77" s="118">
        <v>45382</v>
      </c>
      <c r="B77" s="119">
        <v>1583</v>
      </c>
      <c r="C77" s="119">
        <v>1583</v>
      </c>
      <c r="D77" s="120">
        <v>-0.004</v>
      </c>
      <c r="E77" s="101"/>
    </row>
    <row r="78" customHeight="1" spans="1:4">
      <c r="A78" s="118">
        <v>45473</v>
      </c>
      <c r="B78" s="119">
        <v>1398</v>
      </c>
      <c r="C78" s="119">
        <v>2981</v>
      </c>
      <c r="D78" s="120">
        <v>-0.017</v>
      </c>
    </row>
    <row r="79" customHeight="1" spans="1:4">
      <c r="A79" s="118">
        <v>45565</v>
      </c>
      <c r="B79" s="119">
        <v>1259</v>
      </c>
      <c r="C79" s="119">
        <v>4240</v>
      </c>
      <c r="D79" s="120">
        <v>-0.014</v>
      </c>
    </row>
    <row r="80" customHeight="1" spans="1:4">
      <c r="A80" s="118">
        <v>45657</v>
      </c>
      <c r="B80" s="119">
        <v>1466</v>
      </c>
      <c r="C80" s="119">
        <v>5706</v>
      </c>
      <c r="D80" s="120">
        <v>-0.015</v>
      </c>
    </row>
    <row r="81" customHeight="1" spans="1:4">
      <c r="A81" s="118">
        <v>45747</v>
      </c>
      <c r="B81" s="119">
        <v>1602</v>
      </c>
      <c r="C81" s="119">
        <v>1602</v>
      </c>
      <c r="D81" s="120">
        <v>0.012</v>
      </c>
    </row>
    <row r="82" customHeight="1" spans="1:4">
      <c r="A82" s="118">
        <v>45838</v>
      </c>
      <c r="B82" s="119">
        <v>1418</v>
      </c>
      <c r="C82" s="119">
        <v>3020</v>
      </c>
      <c r="D82" s="120">
        <v>0.013</v>
      </c>
    </row>
    <row r="83" customHeight="1" spans="1:4">
      <c r="A83" s="118">
        <v>45930</v>
      </c>
      <c r="B83" s="119">
        <v>1348</v>
      </c>
      <c r="C83" s="119">
        <v>4368</v>
      </c>
      <c r="D83" s="120">
        <v>0.03</v>
      </c>
    </row>
    <row r="84" customHeight="1" spans="1:4">
      <c r="A84" s="118">
        <v>46021</v>
      </c>
      <c r="B84" s="119">
        <v>1570</v>
      </c>
      <c r="C84" s="119">
        <v>5938</v>
      </c>
      <c r="D84" s="120">
        <v>0.041</v>
      </c>
    </row>
    <row r="85" customHeight="1" spans="1:4">
      <c r="A85" s="118">
        <v>46112</v>
      </c>
      <c r="B85" s="119">
        <v>1669</v>
      </c>
      <c r="C85" s="119">
        <v>1669</v>
      </c>
      <c r="D85" s="120">
        <v>0.042</v>
      </c>
    </row>
    <row r="86" customHeight="1" spans="1:4">
      <c r="A86" s="118">
        <v>46203</v>
      </c>
      <c r="B86" s="119">
        <v>1450</v>
      </c>
      <c r="C86" s="119">
        <v>3119</v>
      </c>
      <c r="D86" s="120">
        <v>0.033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pane ySplit="1" topLeftCell="A14" activePane="bottomLeft" state="frozen"/>
      <selection/>
      <selection pane="bottomLeft" activeCell="I41" sqref="I41"/>
    </sheetView>
  </sheetViews>
  <sheetFormatPr defaultColWidth="13.1333333333333" defaultRowHeight="20.1" customHeight="1" outlineLevelCol="1"/>
  <cols>
    <col min="1" max="1" width="13.1333333333333" customWidth="1"/>
  </cols>
  <sheetData>
    <row r="1" ht="30" customHeight="1" spans="1:2">
      <c r="A1" s="105" t="s">
        <v>315</v>
      </c>
      <c r="B1" s="105"/>
    </row>
    <row r="2" ht="30" customHeight="1" spans="1:2">
      <c r="A2" s="105" t="s">
        <v>148</v>
      </c>
      <c r="B2" s="105">
        <v>481</v>
      </c>
    </row>
    <row r="3" customHeight="1" spans="1:2">
      <c r="A3" s="106" t="s">
        <v>201</v>
      </c>
      <c r="B3" s="107">
        <v>479</v>
      </c>
    </row>
    <row r="4" customHeight="1" spans="1:2">
      <c r="A4" s="108" t="s">
        <v>110</v>
      </c>
      <c r="B4" s="109">
        <v>447</v>
      </c>
    </row>
    <row r="5" customHeight="1" spans="1:2">
      <c r="A5" s="108" t="s">
        <v>197</v>
      </c>
      <c r="B5" s="109">
        <v>421</v>
      </c>
    </row>
    <row r="6" customHeight="1" spans="1:2">
      <c r="A6" s="108" t="s">
        <v>108</v>
      </c>
      <c r="B6" s="109">
        <v>333</v>
      </c>
    </row>
    <row r="7" customHeight="1" spans="1:2">
      <c r="A7" s="108" t="s">
        <v>162</v>
      </c>
      <c r="B7" s="109">
        <v>324</v>
      </c>
    </row>
    <row r="8" customHeight="1" spans="1:2">
      <c r="A8" s="108" t="s">
        <v>117</v>
      </c>
      <c r="B8" s="109">
        <v>282</v>
      </c>
    </row>
    <row r="9" customHeight="1" spans="1:2">
      <c r="A9" s="108" t="s">
        <v>114</v>
      </c>
      <c r="B9" s="109">
        <v>286</v>
      </c>
    </row>
    <row r="10" customHeight="1" spans="1:2">
      <c r="A10" s="108" t="s">
        <v>128</v>
      </c>
      <c r="B10" s="109">
        <v>264</v>
      </c>
    </row>
    <row r="11" customHeight="1" spans="1:2">
      <c r="A11" s="108" t="s">
        <v>192</v>
      </c>
      <c r="B11" s="109">
        <v>246</v>
      </c>
    </row>
    <row r="12" customHeight="1" spans="1:2">
      <c r="A12" s="108" t="s">
        <v>178</v>
      </c>
      <c r="B12" s="109">
        <v>244</v>
      </c>
    </row>
    <row r="13" customHeight="1" spans="1:2">
      <c r="A13" s="108" t="s">
        <v>166</v>
      </c>
      <c r="B13" s="109">
        <v>206</v>
      </c>
    </row>
    <row r="14" customHeight="1" spans="1:2">
      <c r="A14" s="108" t="s">
        <v>138</v>
      </c>
      <c r="B14" s="109">
        <v>210</v>
      </c>
    </row>
    <row r="15" customHeight="1" spans="1:2">
      <c r="A15" s="108" t="s">
        <v>152</v>
      </c>
      <c r="B15" s="109">
        <v>150</v>
      </c>
    </row>
    <row r="16" customHeight="1" spans="1:2">
      <c r="A16" s="108" t="s">
        <v>156</v>
      </c>
      <c r="B16" s="109">
        <v>165</v>
      </c>
    </row>
    <row r="17" customHeight="1" spans="1:2">
      <c r="A17" s="108" t="s">
        <v>85</v>
      </c>
      <c r="B17" s="109">
        <v>132</v>
      </c>
    </row>
    <row r="18" customHeight="1" spans="1:2">
      <c r="A18" s="108" t="s">
        <v>144</v>
      </c>
      <c r="B18" s="109">
        <v>127</v>
      </c>
    </row>
    <row r="19" customHeight="1" spans="1:2">
      <c r="A19" s="108" t="s">
        <v>185</v>
      </c>
      <c r="B19" s="109">
        <v>113</v>
      </c>
    </row>
    <row r="20" customHeight="1" spans="1:2">
      <c r="A20" s="108" t="s">
        <v>88</v>
      </c>
      <c r="B20" s="109">
        <v>87</v>
      </c>
    </row>
    <row r="21" customHeight="1" spans="1:2">
      <c r="A21" s="108" t="s">
        <v>172</v>
      </c>
      <c r="B21" s="109">
        <v>74</v>
      </c>
    </row>
    <row r="22" customHeight="1" spans="1:2">
      <c r="A22" s="108" t="s">
        <v>65</v>
      </c>
      <c r="B22" s="109">
        <v>72</v>
      </c>
    </row>
    <row r="23" customHeight="1" spans="1:2">
      <c r="A23" s="108" t="s">
        <v>87</v>
      </c>
      <c r="B23" s="109">
        <v>63</v>
      </c>
    </row>
    <row r="24" customHeight="1" spans="1:2">
      <c r="A24" s="108" t="s">
        <v>181</v>
      </c>
      <c r="B24" s="109">
        <v>51</v>
      </c>
    </row>
    <row r="25" customHeight="1" spans="1:2">
      <c r="A25" s="108" t="s">
        <v>134</v>
      </c>
      <c r="B25" s="109">
        <v>46</v>
      </c>
    </row>
    <row r="26" customHeight="1" spans="1:2">
      <c r="A26" s="108" t="s">
        <v>90</v>
      </c>
      <c r="B26" s="109">
        <v>38</v>
      </c>
    </row>
    <row r="27" customHeight="1" spans="1:2">
      <c r="A27" s="108" t="s">
        <v>92</v>
      </c>
      <c r="B27" s="109">
        <v>21</v>
      </c>
    </row>
    <row r="28" customHeight="1" spans="1:2">
      <c r="A28" s="108" t="s">
        <v>106</v>
      </c>
      <c r="B28" s="109">
        <v>14</v>
      </c>
    </row>
    <row r="29" customHeight="1" spans="1:2">
      <c r="A29" s="108" t="s">
        <v>160</v>
      </c>
      <c r="B29" s="109">
        <v>11</v>
      </c>
    </row>
    <row r="30" customHeight="1" spans="1:2">
      <c r="A30" s="108" t="s">
        <v>89</v>
      </c>
      <c r="B30" s="109">
        <v>9</v>
      </c>
    </row>
    <row r="31" customHeight="1" spans="1:2">
      <c r="A31" s="108" t="s">
        <v>196</v>
      </c>
      <c r="B31" s="109">
        <v>9</v>
      </c>
    </row>
    <row r="32" customHeight="1" spans="1:2">
      <c r="A32" s="110" t="s">
        <v>91</v>
      </c>
      <c r="B32" s="111">
        <v>1</v>
      </c>
    </row>
  </sheetData>
  <mergeCells count="1">
    <mergeCell ref="A1:B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pane xSplit="1" ySplit="2" topLeftCell="B21" activePane="bottomRight" state="frozen"/>
      <selection/>
      <selection pane="topRight"/>
      <selection pane="bottomLeft"/>
      <selection pane="bottomRight" activeCell="H39" sqref="H39"/>
    </sheetView>
  </sheetViews>
  <sheetFormatPr defaultColWidth="13.1333333333333" defaultRowHeight="20.1" customHeight="1" outlineLevelCol="5"/>
  <cols>
    <col min="1" max="1" width="13.1333333333333" customWidth="1"/>
  </cols>
  <sheetData>
    <row r="1" s="94" customFormat="1" ht="30" customHeight="1" spans="1:5">
      <c r="A1" s="84" t="s">
        <v>316</v>
      </c>
      <c r="B1" s="84"/>
      <c r="C1" s="84"/>
      <c r="D1" s="84"/>
      <c r="E1" s="84"/>
    </row>
    <row r="2" s="94" customFormat="1" ht="30" customHeight="1" spans="1:5">
      <c r="A2" s="84" t="s">
        <v>121</v>
      </c>
      <c r="B2" s="84" t="s">
        <v>317</v>
      </c>
      <c r="C2" s="84" t="s">
        <v>318</v>
      </c>
      <c r="D2" s="84" t="s">
        <v>319</v>
      </c>
      <c r="E2" s="84" t="s">
        <v>320</v>
      </c>
    </row>
    <row r="3" customHeight="1" spans="1:5">
      <c r="A3" s="87">
        <v>2000</v>
      </c>
      <c r="B3" s="95">
        <v>6013.9</v>
      </c>
      <c r="C3" s="96">
        <v>3966</v>
      </c>
      <c r="D3" s="95">
        <v>1191.1</v>
      </c>
      <c r="E3" s="97">
        <v>0.659</v>
      </c>
    </row>
    <row r="4" customHeight="1" spans="1:5">
      <c r="A4" s="90">
        <v>2001</v>
      </c>
      <c r="B4" s="98">
        <v>6105.8</v>
      </c>
      <c r="C4" s="99">
        <v>4051.7</v>
      </c>
      <c r="D4" s="98">
        <v>1176.1</v>
      </c>
      <c r="E4" s="100">
        <v>0.664</v>
      </c>
    </row>
    <row r="5" customHeight="1" spans="1:5">
      <c r="A5" s="90">
        <v>2002</v>
      </c>
      <c r="B5" s="98">
        <v>6234.3</v>
      </c>
      <c r="C5" s="99">
        <v>4123.1</v>
      </c>
      <c r="D5" s="98">
        <v>1197.1</v>
      </c>
      <c r="E5" s="100">
        <v>0.661</v>
      </c>
    </row>
    <row r="6" customHeight="1" spans="1:5">
      <c r="A6" s="90">
        <v>2003</v>
      </c>
      <c r="B6" s="98">
        <v>6443.3</v>
      </c>
      <c r="C6" s="99">
        <v>4238.6</v>
      </c>
      <c r="D6" s="98">
        <v>1239</v>
      </c>
      <c r="E6" s="100">
        <v>0.658</v>
      </c>
    </row>
    <row r="7" customHeight="1" spans="1:5">
      <c r="A7" s="90">
        <v>2004</v>
      </c>
      <c r="B7" s="98">
        <v>6608.7</v>
      </c>
      <c r="C7" s="99">
        <v>4341</v>
      </c>
      <c r="D7" s="98">
        <v>1257.8</v>
      </c>
      <c r="E7" s="100">
        <v>0.657</v>
      </c>
    </row>
    <row r="8" customHeight="1" spans="1:5">
      <c r="A8" s="90">
        <v>2005</v>
      </c>
      <c r="B8" s="98">
        <v>6938.9</v>
      </c>
      <c r="C8" s="99">
        <v>4555.3</v>
      </c>
      <c r="D8" s="98">
        <v>1344.2</v>
      </c>
      <c r="E8" s="100">
        <v>0.656</v>
      </c>
    </row>
    <row r="9" customHeight="1" spans="1:5">
      <c r="A9" s="90">
        <v>2006</v>
      </c>
      <c r="B9" s="98">
        <v>7089</v>
      </c>
      <c r="C9" s="99">
        <v>4650.5</v>
      </c>
      <c r="D9" s="98">
        <v>1363.1</v>
      </c>
      <c r="E9" s="100">
        <v>0.656</v>
      </c>
    </row>
    <row r="10" customHeight="1" spans="1:5">
      <c r="A10" s="90">
        <v>2007</v>
      </c>
      <c r="B10" s="98">
        <v>6865.7</v>
      </c>
      <c r="C10" s="99">
        <v>4287.8</v>
      </c>
      <c r="D10" s="98">
        <v>1447.6</v>
      </c>
      <c r="E10" s="100">
        <v>0.625</v>
      </c>
    </row>
    <row r="11" customHeight="1" spans="1:5">
      <c r="A11" s="90">
        <v>2008</v>
      </c>
      <c r="B11" s="98">
        <v>7278.7</v>
      </c>
      <c r="C11" s="99">
        <v>4620.5</v>
      </c>
      <c r="D11" s="98">
        <v>1533.6</v>
      </c>
      <c r="E11" s="100">
        <v>0.635</v>
      </c>
    </row>
    <row r="12" customHeight="1" spans="1:5">
      <c r="A12" s="90">
        <v>2009</v>
      </c>
      <c r="B12" s="98">
        <v>7649.7</v>
      </c>
      <c r="C12" s="99">
        <v>4890.8</v>
      </c>
      <c r="D12" s="98">
        <v>1594.9</v>
      </c>
      <c r="E12" s="100">
        <v>0.639</v>
      </c>
    </row>
    <row r="13" customHeight="1" spans="1:5">
      <c r="A13" s="90">
        <v>2010</v>
      </c>
      <c r="B13" s="98">
        <v>7925.8</v>
      </c>
      <c r="C13" s="99">
        <v>5071.2</v>
      </c>
      <c r="D13" s="98">
        <v>1656.1</v>
      </c>
      <c r="E13" s="100">
        <v>0.64</v>
      </c>
    </row>
    <row r="14" customHeight="1" spans="1:5">
      <c r="A14" s="90">
        <v>2011</v>
      </c>
      <c r="B14" s="98">
        <v>7957.8</v>
      </c>
      <c r="C14" s="99">
        <v>5053.1</v>
      </c>
      <c r="D14" s="98">
        <v>1708.8</v>
      </c>
      <c r="E14" s="100">
        <v>0.635</v>
      </c>
    </row>
    <row r="15" customHeight="1" spans="1:5">
      <c r="A15" s="90">
        <v>2012</v>
      </c>
      <c r="B15" s="98">
        <v>8387.2</v>
      </c>
      <c r="C15" s="99">
        <v>5342.7</v>
      </c>
      <c r="D15" s="98">
        <v>1822.6</v>
      </c>
      <c r="E15" s="100">
        <v>0.637</v>
      </c>
    </row>
    <row r="16" customHeight="1" spans="1:5">
      <c r="A16" s="90">
        <v>2013</v>
      </c>
      <c r="B16" s="98">
        <v>8535</v>
      </c>
      <c r="C16" s="99">
        <v>5493</v>
      </c>
      <c r="D16" s="98">
        <v>1798.4</v>
      </c>
      <c r="E16" s="100">
        <v>0.644</v>
      </c>
    </row>
    <row r="17" customHeight="1" spans="1:5">
      <c r="A17" s="90">
        <v>2014</v>
      </c>
      <c r="B17" s="98">
        <v>8706.7</v>
      </c>
      <c r="C17" s="99">
        <v>5671</v>
      </c>
      <c r="D17" s="98">
        <v>1750.7</v>
      </c>
      <c r="E17" s="100">
        <v>0.651</v>
      </c>
    </row>
    <row r="18" customHeight="1" spans="1:5">
      <c r="A18" s="90">
        <v>2015</v>
      </c>
      <c r="B18" s="98">
        <v>8625</v>
      </c>
      <c r="C18" s="99">
        <v>5487</v>
      </c>
      <c r="D18" s="98">
        <v>1826.3</v>
      </c>
      <c r="E18" s="100">
        <v>0.636</v>
      </c>
    </row>
    <row r="19" customHeight="1" spans="1:6">
      <c r="A19" s="90">
        <v>2016</v>
      </c>
      <c r="B19" s="98">
        <v>8537.8</v>
      </c>
      <c r="C19" s="99">
        <v>5299</v>
      </c>
      <c r="D19" s="98">
        <v>1888.2</v>
      </c>
      <c r="E19" s="100">
        <v>0.621</v>
      </c>
      <c r="F19" s="101"/>
    </row>
    <row r="20" customHeight="1" spans="1:6">
      <c r="A20" s="90">
        <v>2017</v>
      </c>
      <c r="B20" s="98">
        <v>8431</v>
      </c>
      <c r="C20" s="99">
        <v>5452</v>
      </c>
      <c r="D20" s="98">
        <v>1897</v>
      </c>
      <c r="E20" s="100">
        <v>0.647</v>
      </c>
      <c r="F20" s="101"/>
    </row>
    <row r="21" customHeight="1" spans="1:6">
      <c r="A21" s="90">
        <v>2018</v>
      </c>
      <c r="B21" s="98">
        <v>8517</v>
      </c>
      <c r="C21" s="99">
        <v>5404</v>
      </c>
      <c r="D21" s="98">
        <v>1994</v>
      </c>
      <c r="E21" s="100">
        <v>0.635</v>
      </c>
      <c r="F21" s="101"/>
    </row>
    <row r="22" customHeight="1" spans="1:6">
      <c r="A22" s="90">
        <v>2019</v>
      </c>
      <c r="B22" s="98">
        <v>7649</v>
      </c>
      <c r="C22" s="99">
        <v>4255</v>
      </c>
      <c r="D22" s="98">
        <v>2239</v>
      </c>
      <c r="E22" s="100">
        <v>0.556</v>
      </c>
      <c r="F22" s="101"/>
    </row>
    <row r="23" customHeight="1" spans="1:6">
      <c r="A23" s="90">
        <v>2020</v>
      </c>
      <c r="B23" s="98">
        <v>7639</v>
      </c>
      <c r="C23" s="99">
        <v>4113</v>
      </c>
      <c r="D23" s="98">
        <v>2361</v>
      </c>
      <c r="E23" s="100">
        <v>0.538</v>
      </c>
      <c r="F23" s="101"/>
    </row>
    <row r="24" customHeight="1" spans="1:6">
      <c r="A24" s="90">
        <v>2021</v>
      </c>
      <c r="B24" s="98">
        <v>8887</v>
      </c>
      <c r="C24" s="99">
        <v>5296</v>
      </c>
      <c r="D24" s="98">
        <v>2380</v>
      </c>
      <c r="E24" s="100">
        <v>0.596</v>
      </c>
      <c r="F24" s="101"/>
    </row>
    <row r="25" customHeight="1" spans="1:6">
      <c r="A25" s="90">
        <v>2022</v>
      </c>
      <c r="B25" s="98">
        <v>9227</v>
      </c>
      <c r="C25" s="99">
        <v>5541</v>
      </c>
      <c r="D25" s="98">
        <v>2443</v>
      </c>
      <c r="E25" s="100">
        <v>0.601</v>
      </c>
      <c r="F25" s="101"/>
    </row>
    <row r="26" customHeight="1" spans="1:6">
      <c r="A26" s="90">
        <v>2023</v>
      </c>
      <c r="B26" s="98">
        <v>9641</v>
      </c>
      <c r="C26" s="99">
        <v>5794</v>
      </c>
      <c r="D26" s="98">
        <v>2563</v>
      </c>
      <c r="E26" s="100">
        <v>0.601</v>
      </c>
      <c r="F26" s="101"/>
    </row>
    <row r="27" customHeight="1" spans="1:5">
      <c r="A27" s="90">
        <v>2024</v>
      </c>
      <c r="B27" s="98">
        <v>9663</v>
      </c>
      <c r="C27" s="99">
        <v>5706</v>
      </c>
      <c r="D27" s="98">
        <v>2660</v>
      </c>
      <c r="E27" s="100">
        <v>0.591</v>
      </c>
    </row>
    <row r="28" customHeight="1" spans="1:5">
      <c r="A28" s="93">
        <v>2025</v>
      </c>
      <c r="B28" s="102">
        <v>10072</v>
      </c>
      <c r="C28" s="103">
        <v>5938</v>
      </c>
      <c r="D28" s="102">
        <v>2837</v>
      </c>
      <c r="E28" s="104">
        <v>0.59</v>
      </c>
    </row>
  </sheetData>
  <mergeCells count="1">
    <mergeCell ref="A1:E1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G26" sqref="G26"/>
    </sheetView>
  </sheetViews>
  <sheetFormatPr defaultColWidth="13.1333333333333" defaultRowHeight="20.1" customHeight="1" outlineLevelRow="4" outlineLevelCol="4"/>
  <cols>
    <col min="1" max="5" width="16.6333333333333" customWidth="1"/>
    <col min="6" max="6" width="13.1333333333333" customWidth="1"/>
  </cols>
  <sheetData>
    <row r="1" ht="30" customHeight="1" spans="1:5">
      <c r="A1" s="84" t="s">
        <v>321</v>
      </c>
      <c r="B1" s="84"/>
      <c r="C1" s="84"/>
      <c r="D1" s="84"/>
      <c r="E1" s="84"/>
    </row>
    <row r="2" ht="30" customHeight="1" spans="1:5">
      <c r="A2" s="84" t="s">
        <v>322</v>
      </c>
      <c r="B2" s="84" t="s">
        <v>323</v>
      </c>
      <c r="C2" s="84" t="s">
        <v>324</v>
      </c>
      <c r="D2" s="84" t="s">
        <v>325</v>
      </c>
      <c r="E2" s="84" t="s">
        <v>326</v>
      </c>
    </row>
    <row r="3" customHeight="1" spans="1:5">
      <c r="A3" s="85">
        <v>0.5</v>
      </c>
      <c r="B3" s="86" t="s">
        <v>327</v>
      </c>
      <c r="C3" s="87" t="s">
        <v>328</v>
      </c>
      <c r="D3" s="86" t="s">
        <v>329</v>
      </c>
      <c r="E3" s="87" t="s">
        <v>330</v>
      </c>
    </row>
    <row r="4" customHeight="1" spans="1:5">
      <c r="A4" s="88">
        <v>0.75</v>
      </c>
      <c r="B4" s="89" t="s">
        <v>331</v>
      </c>
      <c r="C4" s="90" t="s">
        <v>332</v>
      </c>
      <c r="D4" s="89" t="s">
        <v>333</v>
      </c>
      <c r="E4" s="90" t="s">
        <v>334</v>
      </c>
    </row>
    <row r="5" customHeight="1" spans="1:5">
      <c r="A5" s="91">
        <v>1</v>
      </c>
      <c r="B5" s="92" t="s">
        <v>335</v>
      </c>
      <c r="C5" s="93" t="s">
        <v>336</v>
      </c>
      <c r="D5" s="92" t="s">
        <v>337</v>
      </c>
      <c r="E5" s="93" t="s">
        <v>338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78"/>
  <sheetViews>
    <sheetView workbookViewId="0">
      <pane ySplit="2" topLeftCell="A1758" activePane="bottomLeft" state="frozen"/>
      <selection/>
      <selection pane="bottomLeft" activeCell="L1783" sqref="L1783"/>
    </sheetView>
  </sheetViews>
  <sheetFormatPr defaultColWidth="9" defaultRowHeight="20.1" customHeight="1" outlineLevelCol="1"/>
  <cols>
    <col min="1" max="1" width="11.5" style="74"/>
    <col min="2" max="2" width="15.8833333333333" style="75" customWidth="1"/>
    <col min="3" max="16384" width="9" style="76"/>
  </cols>
  <sheetData>
    <row r="1" ht="30" customHeight="1" spans="1:2">
      <c r="A1" s="77" t="s">
        <v>339</v>
      </c>
      <c r="B1" s="78" t="s">
        <v>340</v>
      </c>
    </row>
    <row r="2" ht="30" customHeight="1" spans="1:2">
      <c r="A2" s="79" t="s">
        <v>341</v>
      </c>
      <c r="B2" s="80" t="s">
        <v>342</v>
      </c>
    </row>
    <row r="3" customHeight="1" spans="1:2">
      <c r="A3" s="81">
        <v>42180</v>
      </c>
      <c r="B3" s="82">
        <v>14.58</v>
      </c>
    </row>
    <row r="4" customHeight="1" spans="1:2">
      <c r="A4" s="81">
        <v>42181</v>
      </c>
      <c r="B4" s="82">
        <v>14.6</v>
      </c>
    </row>
    <row r="5" customHeight="1" spans="1:2">
      <c r="A5" s="81">
        <v>42184</v>
      </c>
      <c r="B5" s="82">
        <v>14.66</v>
      </c>
    </row>
    <row r="6" customHeight="1" spans="1:2">
      <c r="A6" s="81">
        <v>42185</v>
      </c>
      <c r="B6" s="82">
        <v>14.69</v>
      </c>
    </row>
    <row r="7" customHeight="1" spans="1:2">
      <c r="A7" s="81">
        <v>42186</v>
      </c>
      <c r="B7" s="82">
        <v>14.72</v>
      </c>
    </row>
    <row r="8" customHeight="1" spans="1:2">
      <c r="A8" s="81">
        <v>42187</v>
      </c>
      <c r="B8" s="82">
        <v>14.75</v>
      </c>
    </row>
    <row r="9" customHeight="1" spans="1:2">
      <c r="A9" s="81">
        <v>42188</v>
      </c>
      <c r="B9" s="82">
        <v>14.82</v>
      </c>
    </row>
    <row r="10" customHeight="1" spans="1:2">
      <c r="A10" s="81">
        <v>42191</v>
      </c>
      <c r="B10" s="82">
        <v>14.95</v>
      </c>
    </row>
    <row r="11" customHeight="1" spans="1:2">
      <c r="A11" s="81">
        <v>42192</v>
      </c>
      <c r="B11" s="82">
        <v>15.02</v>
      </c>
    </row>
    <row r="12" customHeight="1" spans="1:2">
      <c r="A12" s="81">
        <v>42193</v>
      </c>
      <c r="B12" s="82">
        <v>15.09</v>
      </c>
    </row>
    <row r="13" customHeight="1" spans="1:2">
      <c r="A13" s="81">
        <v>42194</v>
      </c>
      <c r="B13" s="82">
        <v>15.14</v>
      </c>
    </row>
    <row r="14" customHeight="1" spans="1:2">
      <c r="A14" s="81">
        <v>42195</v>
      </c>
      <c r="B14" s="82">
        <v>15.22</v>
      </c>
    </row>
    <row r="15" customHeight="1" spans="1:2">
      <c r="A15" s="81">
        <v>42198</v>
      </c>
      <c r="B15" s="82">
        <v>15.31</v>
      </c>
    </row>
    <row r="16" customHeight="1" spans="1:2">
      <c r="A16" s="81">
        <v>42199</v>
      </c>
      <c r="B16" s="82">
        <v>15.32</v>
      </c>
    </row>
    <row r="17" customHeight="1" spans="1:2">
      <c r="A17" s="81">
        <v>42200</v>
      </c>
      <c r="B17" s="82">
        <v>15.45</v>
      </c>
    </row>
    <row r="18" customHeight="1" spans="1:2">
      <c r="A18" s="81">
        <v>42201</v>
      </c>
      <c r="B18" s="82">
        <v>15.5</v>
      </c>
    </row>
    <row r="19" customHeight="1" spans="1:2">
      <c r="A19" s="81">
        <v>42202</v>
      </c>
      <c r="B19" s="82">
        <v>15.54</v>
      </c>
    </row>
    <row r="20" customHeight="1" spans="1:2">
      <c r="A20" s="81">
        <v>42205</v>
      </c>
      <c r="B20" s="82">
        <v>15.59</v>
      </c>
    </row>
    <row r="21" customHeight="1" spans="1:2">
      <c r="A21" s="81">
        <v>42206</v>
      </c>
      <c r="B21" s="82">
        <v>15.66</v>
      </c>
    </row>
    <row r="22" customHeight="1" spans="1:2">
      <c r="A22" s="81">
        <v>42207</v>
      </c>
      <c r="B22" s="82">
        <v>15.71</v>
      </c>
    </row>
    <row r="23" customHeight="1" spans="1:2">
      <c r="A23" s="81">
        <v>42208</v>
      </c>
      <c r="B23" s="82">
        <v>15.76</v>
      </c>
    </row>
    <row r="24" customHeight="1" spans="1:2">
      <c r="A24" s="81">
        <v>42209</v>
      </c>
      <c r="B24" s="82">
        <v>15.78</v>
      </c>
    </row>
    <row r="25" customHeight="1" spans="1:2">
      <c r="A25" s="81">
        <v>42212</v>
      </c>
      <c r="B25" s="82">
        <v>15.92</v>
      </c>
    </row>
    <row r="26" customHeight="1" spans="1:2">
      <c r="A26" s="81">
        <v>42213</v>
      </c>
      <c r="B26" s="82">
        <v>15.97</v>
      </c>
    </row>
    <row r="27" customHeight="1" spans="1:2">
      <c r="A27" s="81">
        <v>42214</v>
      </c>
      <c r="B27" s="82">
        <v>16.07</v>
      </c>
    </row>
    <row r="28" customHeight="1" spans="1:2">
      <c r="A28" s="81">
        <v>42215</v>
      </c>
      <c r="B28" s="82">
        <v>16.12</v>
      </c>
    </row>
    <row r="29" customHeight="1" spans="1:2">
      <c r="A29" s="81">
        <v>42216</v>
      </c>
      <c r="B29" s="82">
        <v>16.15</v>
      </c>
    </row>
    <row r="30" customHeight="1" spans="1:2">
      <c r="A30" s="81">
        <v>42219</v>
      </c>
      <c r="B30" s="82">
        <v>16.22</v>
      </c>
    </row>
    <row r="31" customHeight="1" spans="1:2">
      <c r="A31" s="81">
        <v>42220</v>
      </c>
      <c r="B31" s="82">
        <v>16.25</v>
      </c>
    </row>
    <row r="32" customHeight="1" spans="1:2">
      <c r="A32" s="81">
        <v>42221</v>
      </c>
      <c r="B32" s="82">
        <v>16.3</v>
      </c>
    </row>
    <row r="33" customHeight="1" spans="1:2">
      <c r="A33" s="81">
        <v>42222</v>
      </c>
      <c r="B33" s="82">
        <v>16.37</v>
      </c>
    </row>
    <row r="34" customHeight="1" spans="1:2">
      <c r="A34" s="81">
        <v>42223</v>
      </c>
      <c r="B34" s="82">
        <v>16.42</v>
      </c>
    </row>
    <row r="35" customHeight="1" spans="1:2">
      <c r="A35" s="81">
        <v>42226</v>
      </c>
      <c r="B35" s="82">
        <v>16.49</v>
      </c>
    </row>
    <row r="36" customHeight="1" spans="1:2">
      <c r="A36" s="81">
        <v>42227</v>
      </c>
      <c r="B36" s="82">
        <v>16.53</v>
      </c>
    </row>
    <row r="37" customHeight="1" spans="1:2">
      <c r="A37" s="81">
        <v>42228</v>
      </c>
      <c r="B37" s="82">
        <v>16.58</v>
      </c>
    </row>
    <row r="38" customHeight="1" spans="1:2">
      <c r="A38" s="81">
        <v>42229</v>
      </c>
      <c r="B38" s="82">
        <v>16.6</v>
      </c>
    </row>
    <row r="39" customHeight="1" spans="1:2">
      <c r="A39" s="81">
        <v>42230</v>
      </c>
      <c r="B39" s="82">
        <v>16.62</v>
      </c>
    </row>
    <row r="40" customHeight="1" spans="1:2">
      <c r="A40" s="81">
        <v>42233</v>
      </c>
      <c r="B40" s="82">
        <v>16.58</v>
      </c>
    </row>
    <row r="41" customHeight="1" spans="1:2">
      <c r="A41" s="81">
        <v>42234</v>
      </c>
      <c r="B41" s="82">
        <v>16.61</v>
      </c>
    </row>
    <row r="42" customHeight="1" spans="1:2">
      <c r="A42" s="81">
        <v>42235</v>
      </c>
      <c r="B42" s="82">
        <v>16.7</v>
      </c>
    </row>
    <row r="43" customHeight="1" spans="1:2">
      <c r="A43" s="81">
        <v>42236</v>
      </c>
      <c r="B43" s="82">
        <v>16.7</v>
      </c>
    </row>
    <row r="44" customHeight="1" spans="1:2">
      <c r="A44" s="81">
        <v>42237</v>
      </c>
      <c r="B44" s="82">
        <v>16.72</v>
      </c>
    </row>
    <row r="45" customHeight="1" spans="1:2">
      <c r="A45" s="81">
        <v>42240</v>
      </c>
      <c r="B45" s="82">
        <v>16.74</v>
      </c>
    </row>
    <row r="46" customHeight="1" spans="1:2">
      <c r="A46" s="81">
        <v>42241</v>
      </c>
      <c r="B46" s="82">
        <v>16.76</v>
      </c>
    </row>
    <row r="47" customHeight="1" spans="1:2">
      <c r="A47" s="81">
        <v>42242</v>
      </c>
      <c r="B47" s="82">
        <v>16.73</v>
      </c>
    </row>
    <row r="48" customHeight="1" spans="1:2">
      <c r="A48" s="81">
        <v>42243</v>
      </c>
      <c r="B48" s="82">
        <v>16.7</v>
      </c>
    </row>
    <row r="49" customHeight="1" spans="1:2">
      <c r="A49" s="81">
        <v>42244</v>
      </c>
      <c r="B49" s="82">
        <v>16.68</v>
      </c>
    </row>
    <row r="50" customHeight="1" spans="1:2">
      <c r="A50" s="81">
        <v>42247</v>
      </c>
      <c r="B50" s="82">
        <v>16.7</v>
      </c>
    </row>
    <row r="51" customHeight="1" spans="1:2">
      <c r="A51" s="81">
        <v>42248</v>
      </c>
      <c r="B51" s="82">
        <v>16.71</v>
      </c>
    </row>
    <row r="52" customHeight="1" spans="1:2">
      <c r="A52" s="81">
        <v>42249</v>
      </c>
      <c r="B52" s="82">
        <v>16.73</v>
      </c>
    </row>
    <row r="53" customHeight="1" spans="1:2">
      <c r="A53" s="81">
        <v>42253</v>
      </c>
      <c r="B53" s="82">
        <v>16.77</v>
      </c>
    </row>
    <row r="54" customHeight="1" spans="1:2">
      <c r="A54" s="81">
        <v>42254</v>
      </c>
      <c r="B54" s="82">
        <v>16.77</v>
      </c>
    </row>
    <row r="55" customHeight="1" spans="1:2">
      <c r="A55" s="81">
        <v>42255</v>
      </c>
      <c r="B55" s="82">
        <v>16.79</v>
      </c>
    </row>
    <row r="56" customHeight="1" spans="1:2">
      <c r="A56" s="81">
        <v>42256</v>
      </c>
      <c r="B56" s="82">
        <v>16.73</v>
      </c>
    </row>
    <row r="57" customHeight="1" spans="1:2">
      <c r="A57" s="81">
        <v>42257</v>
      </c>
      <c r="B57" s="82">
        <v>16.75</v>
      </c>
    </row>
    <row r="58" customHeight="1" spans="1:2">
      <c r="A58" s="81">
        <v>42258</v>
      </c>
      <c r="B58" s="82">
        <v>16.78</v>
      </c>
    </row>
    <row r="59" customHeight="1" spans="1:2">
      <c r="A59" s="81">
        <v>42261</v>
      </c>
      <c r="B59" s="82">
        <v>16.73</v>
      </c>
    </row>
    <row r="60" customHeight="1" spans="1:2">
      <c r="A60" s="81">
        <v>42262</v>
      </c>
      <c r="B60" s="82">
        <v>16.77</v>
      </c>
    </row>
    <row r="61" customHeight="1" spans="1:2">
      <c r="A61" s="81">
        <v>42263</v>
      </c>
      <c r="B61" s="82">
        <v>16.71</v>
      </c>
    </row>
    <row r="62" customHeight="1" spans="1:2">
      <c r="A62" s="81">
        <v>42264</v>
      </c>
      <c r="B62" s="82">
        <v>16.69</v>
      </c>
    </row>
    <row r="63" customHeight="1" spans="1:2">
      <c r="A63" s="81">
        <v>42265</v>
      </c>
      <c r="B63" s="82">
        <v>16.68</v>
      </c>
    </row>
    <row r="64" customHeight="1" spans="1:2">
      <c r="A64" s="81">
        <v>42268</v>
      </c>
      <c r="B64" s="82">
        <v>16.71</v>
      </c>
    </row>
    <row r="65" customHeight="1" spans="1:2">
      <c r="A65" s="81">
        <v>42269</v>
      </c>
      <c r="B65" s="82">
        <v>16.66</v>
      </c>
    </row>
    <row r="66" customHeight="1" spans="1:2">
      <c r="A66" s="81">
        <v>42270</v>
      </c>
      <c r="B66" s="82">
        <v>16.63</v>
      </c>
    </row>
    <row r="67" customHeight="1" spans="1:2">
      <c r="A67" s="81">
        <v>42271</v>
      </c>
      <c r="B67" s="82">
        <v>16.64</v>
      </c>
    </row>
    <row r="68" customHeight="1" spans="1:2">
      <c r="A68" s="81">
        <v>42272</v>
      </c>
      <c r="B68" s="82">
        <v>16.63</v>
      </c>
    </row>
    <row r="69" customHeight="1" spans="1:2">
      <c r="A69" s="81">
        <v>42275</v>
      </c>
      <c r="B69" s="82">
        <v>16.64</v>
      </c>
    </row>
    <row r="70" customHeight="1" spans="1:2">
      <c r="A70" s="81">
        <v>42276</v>
      </c>
      <c r="B70" s="82">
        <v>16.64</v>
      </c>
    </row>
    <row r="71" customHeight="1" spans="1:2">
      <c r="A71" s="81">
        <v>42277</v>
      </c>
      <c r="B71" s="82">
        <v>16.61</v>
      </c>
    </row>
    <row r="72" customHeight="1" spans="1:2">
      <c r="A72" s="81">
        <v>42284</v>
      </c>
      <c r="B72" s="82">
        <v>16.58</v>
      </c>
    </row>
    <row r="73" customHeight="1" spans="1:2">
      <c r="A73" s="81">
        <v>42285</v>
      </c>
      <c r="B73" s="82">
        <v>16.62</v>
      </c>
    </row>
    <row r="74" customHeight="1" spans="1:2">
      <c r="A74" s="81">
        <v>42286</v>
      </c>
      <c r="B74" s="82">
        <v>16.63</v>
      </c>
    </row>
    <row r="75" customHeight="1" spans="1:2">
      <c r="A75" s="81">
        <v>42287</v>
      </c>
      <c r="B75" s="82">
        <v>16.62</v>
      </c>
    </row>
    <row r="76" customHeight="1" spans="1:2">
      <c r="A76" s="81">
        <v>42289</v>
      </c>
      <c r="B76" s="82">
        <v>16.57</v>
      </c>
    </row>
    <row r="77" customHeight="1" spans="1:2">
      <c r="A77" s="81">
        <v>42290</v>
      </c>
      <c r="B77" s="82">
        <v>16.58</v>
      </c>
    </row>
    <row r="78" customHeight="1" spans="1:2">
      <c r="A78" s="81">
        <v>42291</v>
      </c>
      <c r="B78" s="82">
        <v>16.56</v>
      </c>
    </row>
    <row r="79" customHeight="1" spans="1:2">
      <c r="A79" s="81">
        <v>42292</v>
      </c>
      <c r="B79" s="82">
        <v>16.56</v>
      </c>
    </row>
    <row r="80" customHeight="1" spans="1:2">
      <c r="A80" s="81">
        <v>42293</v>
      </c>
      <c r="B80" s="82">
        <v>16.51</v>
      </c>
    </row>
    <row r="81" customHeight="1" spans="1:2">
      <c r="A81" s="81">
        <v>42296</v>
      </c>
      <c r="B81" s="82">
        <v>16.51</v>
      </c>
    </row>
    <row r="82" customHeight="1" spans="1:2">
      <c r="A82" s="81">
        <v>42297</v>
      </c>
      <c r="B82" s="82">
        <v>16.49</v>
      </c>
    </row>
    <row r="83" customHeight="1" spans="1:2">
      <c r="A83" s="81">
        <v>42298</v>
      </c>
      <c r="B83" s="82">
        <v>16.44</v>
      </c>
    </row>
    <row r="84" customHeight="1" spans="1:2">
      <c r="A84" s="81">
        <v>42299</v>
      </c>
      <c r="B84" s="82">
        <v>16.41</v>
      </c>
    </row>
    <row r="85" customHeight="1" spans="1:2">
      <c r="A85" s="81">
        <v>42300</v>
      </c>
      <c r="B85" s="82">
        <v>16.4</v>
      </c>
    </row>
    <row r="86" customHeight="1" spans="1:2">
      <c r="A86" s="81">
        <v>42303</v>
      </c>
      <c r="B86" s="82">
        <v>16.4</v>
      </c>
    </row>
    <row r="87" customHeight="1" spans="1:2">
      <c r="A87" s="81">
        <v>42304</v>
      </c>
      <c r="B87" s="82">
        <v>16.33</v>
      </c>
    </row>
    <row r="88" customHeight="1" spans="1:2">
      <c r="A88" s="81">
        <v>42305</v>
      </c>
      <c r="B88" s="82">
        <v>16.3</v>
      </c>
    </row>
    <row r="89" customHeight="1" spans="1:2">
      <c r="A89" s="81">
        <v>42306</v>
      </c>
      <c r="B89" s="82">
        <v>16.29</v>
      </c>
    </row>
    <row r="90" customHeight="1" spans="1:2">
      <c r="A90" s="81">
        <v>42307</v>
      </c>
      <c r="B90" s="82">
        <v>16.26</v>
      </c>
    </row>
    <row r="91" customHeight="1" spans="1:2">
      <c r="A91" s="81">
        <v>42310</v>
      </c>
      <c r="B91" s="82">
        <v>16.24</v>
      </c>
    </row>
    <row r="92" customHeight="1" spans="1:2">
      <c r="A92" s="81">
        <v>42311</v>
      </c>
      <c r="B92" s="82">
        <v>16.23</v>
      </c>
    </row>
    <row r="93" customHeight="1" spans="1:2">
      <c r="A93" s="81">
        <v>42312</v>
      </c>
      <c r="B93" s="82">
        <v>16.19</v>
      </c>
    </row>
    <row r="94" customHeight="1" spans="1:2">
      <c r="A94" s="81">
        <v>42313</v>
      </c>
      <c r="B94" s="82">
        <v>16.19</v>
      </c>
    </row>
    <row r="95" customHeight="1" spans="1:2">
      <c r="A95" s="81">
        <v>42314</v>
      </c>
      <c r="B95" s="82">
        <v>16.15</v>
      </c>
    </row>
    <row r="96" customHeight="1" spans="1:2">
      <c r="A96" s="81">
        <v>42317</v>
      </c>
      <c r="B96" s="82">
        <v>16.22</v>
      </c>
    </row>
    <row r="97" customHeight="1" spans="1:2">
      <c r="A97" s="81">
        <v>42318</v>
      </c>
      <c r="B97" s="82">
        <v>16.22</v>
      </c>
    </row>
    <row r="98" customHeight="1" spans="1:2">
      <c r="A98" s="81">
        <v>42319</v>
      </c>
      <c r="B98" s="82">
        <v>16.21</v>
      </c>
    </row>
    <row r="99" customHeight="1" spans="1:2">
      <c r="A99" s="81">
        <v>42320</v>
      </c>
      <c r="B99" s="82">
        <v>16.23</v>
      </c>
    </row>
    <row r="100" customHeight="1" spans="1:2">
      <c r="A100" s="81">
        <v>42321</v>
      </c>
      <c r="B100" s="82">
        <v>16.22</v>
      </c>
    </row>
    <row r="101" customHeight="1" spans="1:2">
      <c r="A101" s="81">
        <v>42324</v>
      </c>
      <c r="B101" s="82">
        <v>16.14</v>
      </c>
    </row>
    <row r="102" customHeight="1" spans="1:2">
      <c r="A102" s="81">
        <v>42325</v>
      </c>
      <c r="B102" s="82">
        <v>16.14</v>
      </c>
    </row>
    <row r="103" customHeight="1" spans="1:2">
      <c r="A103" s="81">
        <v>42326</v>
      </c>
      <c r="B103" s="82">
        <v>16.08</v>
      </c>
    </row>
    <row r="104" customHeight="1" spans="1:2">
      <c r="A104" s="81">
        <v>42327</v>
      </c>
      <c r="B104" s="82">
        <v>16.06</v>
      </c>
    </row>
    <row r="105" customHeight="1" spans="1:2">
      <c r="A105" s="81">
        <v>42328</v>
      </c>
      <c r="B105" s="82">
        <v>16.05</v>
      </c>
    </row>
    <row r="106" customHeight="1" spans="1:2">
      <c r="A106" s="81">
        <v>42331</v>
      </c>
      <c r="B106" s="82">
        <v>16.05</v>
      </c>
    </row>
    <row r="107" customHeight="1" spans="1:2">
      <c r="A107" s="81">
        <v>42332</v>
      </c>
      <c r="B107" s="82">
        <v>16.05</v>
      </c>
    </row>
    <row r="108" customHeight="1" spans="1:2">
      <c r="A108" s="81">
        <v>42333</v>
      </c>
      <c r="B108" s="82">
        <v>16.04</v>
      </c>
    </row>
    <row r="109" customHeight="1" spans="1:2">
      <c r="A109" s="81">
        <v>42334</v>
      </c>
      <c r="B109" s="82">
        <v>16.07</v>
      </c>
    </row>
    <row r="110" customHeight="1" spans="1:2">
      <c r="A110" s="81">
        <v>42335</v>
      </c>
      <c r="B110" s="82">
        <v>16.1</v>
      </c>
    </row>
    <row r="111" customHeight="1" spans="1:2">
      <c r="A111" s="81">
        <v>42338</v>
      </c>
      <c r="B111" s="82">
        <v>16.12</v>
      </c>
    </row>
    <row r="112" customHeight="1" spans="1:2">
      <c r="A112" s="81">
        <v>42339</v>
      </c>
      <c r="B112" s="82">
        <v>16.11</v>
      </c>
    </row>
    <row r="113" customHeight="1" spans="1:2">
      <c r="A113" s="81">
        <v>42340</v>
      </c>
      <c r="B113" s="82">
        <v>16.12</v>
      </c>
    </row>
    <row r="114" customHeight="1" spans="1:2">
      <c r="A114" s="81">
        <v>42341</v>
      </c>
      <c r="B114" s="82">
        <v>16.07</v>
      </c>
    </row>
    <row r="115" customHeight="1" spans="1:2">
      <c r="A115" s="81">
        <v>42342</v>
      </c>
      <c r="B115" s="82">
        <v>16.08</v>
      </c>
    </row>
    <row r="116" customHeight="1" spans="1:2">
      <c r="A116" s="81">
        <v>42345</v>
      </c>
      <c r="B116" s="82">
        <v>16.06</v>
      </c>
    </row>
    <row r="117" customHeight="1" spans="1:2">
      <c r="A117" s="81">
        <v>42346</v>
      </c>
      <c r="B117" s="82">
        <v>16.07</v>
      </c>
    </row>
    <row r="118" customHeight="1" spans="1:2">
      <c r="A118" s="81">
        <v>42347</v>
      </c>
      <c r="B118" s="82">
        <v>16.07</v>
      </c>
    </row>
    <row r="119" customHeight="1" spans="1:2">
      <c r="A119" s="81">
        <v>42348</v>
      </c>
      <c r="B119" s="82">
        <v>16.1</v>
      </c>
    </row>
    <row r="120" customHeight="1" spans="1:2">
      <c r="A120" s="81">
        <v>42349</v>
      </c>
      <c r="B120" s="82">
        <v>16.12</v>
      </c>
    </row>
    <row r="121" customHeight="1" spans="1:2">
      <c r="A121" s="81">
        <v>42352</v>
      </c>
      <c r="B121" s="82">
        <v>16.13</v>
      </c>
    </row>
    <row r="122" customHeight="1" spans="1:2">
      <c r="A122" s="81">
        <v>42353</v>
      </c>
      <c r="B122" s="82">
        <v>16.12</v>
      </c>
    </row>
    <row r="123" customHeight="1" spans="1:2">
      <c r="A123" s="81">
        <v>42354</v>
      </c>
      <c r="B123" s="82">
        <v>16.1</v>
      </c>
    </row>
    <row r="124" customHeight="1" spans="1:2">
      <c r="A124" s="81">
        <v>42355</v>
      </c>
      <c r="B124" s="82">
        <v>16.05</v>
      </c>
    </row>
    <row r="125" customHeight="1" spans="1:2">
      <c r="A125" s="81">
        <v>42356</v>
      </c>
      <c r="B125" s="82">
        <v>16.03</v>
      </c>
    </row>
    <row r="126" customHeight="1" spans="1:2">
      <c r="A126" s="81">
        <v>42359</v>
      </c>
      <c r="B126" s="82">
        <v>16.07</v>
      </c>
    </row>
    <row r="127" customHeight="1" spans="1:2">
      <c r="A127" s="81">
        <v>42360</v>
      </c>
      <c r="B127" s="82">
        <v>16.07</v>
      </c>
    </row>
    <row r="128" customHeight="1" spans="1:2">
      <c r="A128" s="81">
        <v>42361</v>
      </c>
      <c r="B128" s="82">
        <v>16.08</v>
      </c>
    </row>
    <row r="129" customHeight="1" spans="1:2">
      <c r="A129" s="81">
        <v>42362</v>
      </c>
      <c r="B129" s="82">
        <v>16.09</v>
      </c>
    </row>
    <row r="130" customHeight="1" spans="1:2">
      <c r="A130" s="81">
        <v>42363</v>
      </c>
      <c r="B130" s="82">
        <v>16.16</v>
      </c>
    </row>
    <row r="131" customHeight="1" spans="1:2">
      <c r="A131" s="81">
        <v>42366</v>
      </c>
      <c r="B131" s="82">
        <v>16.13</v>
      </c>
    </row>
    <row r="132" customHeight="1" spans="1:2">
      <c r="A132" s="81">
        <v>42367</v>
      </c>
      <c r="B132" s="82">
        <v>16.14</v>
      </c>
    </row>
    <row r="133" customHeight="1" spans="1:2">
      <c r="A133" s="81">
        <v>42368</v>
      </c>
      <c r="B133" s="82">
        <v>16.15</v>
      </c>
    </row>
    <row r="134" customHeight="1" spans="1:2">
      <c r="A134" s="81">
        <v>42369</v>
      </c>
      <c r="B134" s="82">
        <v>16.14</v>
      </c>
    </row>
    <row r="135" customHeight="1" spans="1:2">
      <c r="A135" s="81">
        <v>42373</v>
      </c>
      <c r="B135" s="82">
        <v>16.13</v>
      </c>
    </row>
    <row r="136" customHeight="1" spans="1:2">
      <c r="A136" s="81">
        <v>42374</v>
      </c>
      <c r="B136" s="82">
        <v>16.12</v>
      </c>
    </row>
    <row r="137" customHeight="1" spans="1:2">
      <c r="A137" s="81">
        <v>42375</v>
      </c>
      <c r="B137" s="82">
        <v>16.13</v>
      </c>
    </row>
    <row r="138" customHeight="1" spans="1:2">
      <c r="A138" s="81">
        <v>42376</v>
      </c>
      <c r="B138" s="82">
        <v>16.14</v>
      </c>
    </row>
    <row r="139" customHeight="1" spans="1:2">
      <c r="A139" s="81">
        <v>42377</v>
      </c>
      <c r="B139" s="82">
        <v>16.1</v>
      </c>
    </row>
    <row r="140" customHeight="1" spans="1:2">
      <c r="A140" s="81">
        <v>42380</v>
      </c>
      <c r="B140" s="82">
        <v>16.08</v>
      </c>
    </row>
    <row r="141" customHeight="1" spans="1:2">
      <c r="A141" s="81">
        <v>42381</v>
      </c>
      <c r="B141" s="82">
        <v>16.12</v>
      </c>
    </row>
    <row r="142" customHeight="1" spans="1:2">
      <c r="A142" s="81">
        <v>42382</v>
      </c>
      <c r="B142" s="82">
        <v>16.08</v>
      </c>
    </row>
    <row r="143" customHeight="1" spans="1:2">
      <c r="A143" s="81">
        <v>42383</v>
      </c>
      <c r="B143" s="82">
        <v>16.1</v>
      </c>
    </row>
    <row r="144" customHeight="1" spans="1:2">
      <c r="A144" s="81">
        <v>42384</v>
      </c>
      <c r="B144" s="82">
        <v>16.15</v>
      </c>
    </row>
    <row r="145" customHeight="1" spans="1:2">
      <c r="A145" s="81">
        <v>42387</v>
      </c>
      <c r="B145" s="82">
        <v>16.18</v>
      </c>
    </row>
    <row r="146" customHeight="1" spans="1:2">
      <c r="A146" s="81">
        <v>42388</v>
      </c>
      <c r="B146" s="82">
        <v>16.19</v>
      </c>
    </row>
    <row r="147" customHeight="1" spans="1:2">
      <c r="A147" s="81">
        <v>42389</v>
      </c>
      <c r="B147" s="82">
        <v>16.27</v>
      </c>
    </row>
    <row r="148" customHeight="1" spans="1:2">
      <c r="A148" s="81">
        <v>42390</v>
      </c>
      <c r="B148" s="82">
        <v>16.31</v>
      </c>
    </row>
    <row r="149" customHeight="1" spans="1:2">
      <c r="A149" s="81">
        <v>42391</v>
      </c>
      <c r="B149" s="82">
        <v>16.34</v>
      </c>
    </row>
    <row r="150" customHeight="1" spans="1:2">
      <c r="A150" s="81">
        <v>42394</v>
      </c>
      <c r="B150" s="82">
        <v>16.4</v>
      </c>
    </row>
    <row r="151" customHeight="1" spans="1:2">
      <c r="A151" s="81">
        <v>42395</v>
      </c>
      <c r="B151" s="82">
        <v>16.4</v>
      </c>
    </row>
    <row r="152" customHeight="1" spans="1:2">
      <c r="A152" s="81">
        <v>42396</v>
      </c>
      <c r="B152" s="82">
        <v>16.45</v>
      </c>
    </row>
    <row r="153" customHeight="1" spans="1:2">
      <c r="A153" s="81">
        <v>42397</v>
      </c>
      <c r="B153" s="82">
        <v>16.44</v>
      </c>
    </row>
    <row r="154" customHeight="1" spans="1:2">
      <c r="A154" s="81">
        <v>42398</v>
      </c>
      <c r="B154" s="82">
        <v>16.48</v>
      </c>
    </row>
    <row r="155" customHeight="1" spans="1:2">
      <c r="A155" s="81">
        <v>42401</v>
      </c>
      <c r="B155" s="82">
        <v>16.51</v>
      </c>
    </row>
    <row r="156" customHeight="1" spans="1:2">
      <c r="A156" s="81">
        <v>42402</v>
      </c>
      <c r="B156" s="82">
        <v>16.56</v>
      </c>
    </row>
    <row r="157" customHeight="1" spans="1:2">
      <c r="A157" s="81">
        <v>42403</v>
      </c>
      <c r="B157" s="82">
        <v>16.62</v>
      </c>
    </row>
    <row r="158" customHeight="1" spans="1:2">
      <c r="A158" s="81">
        <v>42404</v>
      </c>
      <c r="B158" s="82">
        <v>16.65</v>
      </c>
    </row>
    <row r="159" customHeight="1" spans="1:2">
      <c r="A159" s="81">
        <v>42405</v>
      </c>
      <c r="B159" s="82">
        <v>16.87</v>
      </c>
    </row>
    <row r="160" customHeight="1" spans="1:2">
      <c r="A160" s="81">
        <v>42414</v>
      </c>
      <c r="B160" s="82">
        <v>16.98</v>
      </c>
    </row>
    <row r="161" customHeight="1" spans="1:2">
      <c r="A161" s="81">
        <v>42415</v>
      </c>
      <c r="B161" s="82">
        <v>17.07</v>
      </c>
    </row>
    <row r="162" customHeight="1" spans="1:2">
      <c r="A162" s="81">
        <v>42416</v>
      </c>
      <c r="B162" s="82">
        <v>17.02</v>
      </c>
    </row>
    <row r="163" customHeight="1" spans="1:2">
      <c r="A163" s="81">
        <v>42417</v>
      </c>
      <c r="B163" s="82">
        <v>17.08</v>
      </c>
    </row>
    <row r="164" customHeight="1" spans="1:2">
      <c r="A164" s="81">
        <v>42418</v>
      </c>
      <c r="B164" s="82">
        <v>17.09</v>
      </c>
    </row>
    <row r="165" customHeight="1" spans="1:2">
      <c r="A165" s="81">
        <v>42419</v>
      </c>
      <c r="B165" s="82">
        <v>17.06</v>
      </c>
    </row>
    <row r="166" customHeight="1" spans="1:2">
      <c r="A166" s="81">
        <v>42422</v>
      </c>
      <c r="B166" s="82">
        <v>17.1</v>
      </c>
    </row>
    <row r="167" customHeight="1" spans="1:2">
      <c r="A167" s="81">
        <v>42423</v>
      </c>
      <c r="B167" s="82">
        <v>17.03</v>
      </c>
    </row>
    <row r="168" customHeight="1" spans="1:2">
      <c r="A168" s="81">
        <v>42424</v>
      </c>
      <c r="B168" s="82">
        <v>16.98</v>
      </c>
    </row>
    <row r="169" customHeight="1" spans="1:2">
      <c r="A169" s="81">
        <v>42425</v>
      </c>
      <c r="B169" s="82">
        <v>16.96</v>
      </c>
    </row>
    <row r="170" customHeight="1" spans="1:2">
      <c r="A170" s="81">
        <v>42426</v>
      </c>
      <c r="B170" s="82">
        <v>16.95</v>
      </c>
    </row>
    <row r="171" customHeight="1" spans="1:2">
      <c r="A171" s="81">
        <v>42429</v>
      </c>
      <c r="B171" s="82">
        <v>16.93</v>
      </c>
    </row>
    <row r="172" customHeight="1" spans="1:2">
      <c r="A172" s="81">
        <v>42430</v>
      </c>
      <c r="B172" s="82">
        <v>16.85</v>
      </c>
    </row>
    <row r="173" customHeight="1" spans="1:2">
      <c r="A173" s="81">
        <v>42431</v>
      </c>
      <c r="B173" s="82">
        <v>16.82</v>
      </c>
    </row>
    <row r="174" customHeight="1" spans="1:2">
      <c r="A174" s="81">
        <v>42432</v>
      </c>
      <c r="B174" s="82">
        <v>16.79</v>
      </c>
    </row>
    <row r="175" customHeight="1" spans="1:2">
      <c r="A175" s="81">
        <v>42433</v>
      </c>
      <c r="B175" s="82">
        <v>16.75</v>
      </c>
    </row>
    <row r="176" customHeight="1" spans="1:2">
      <c r="A176" s="81">
        <v>42436</v>
      </c>
      <c r="B176" s="82">
        <v>16.79</v>
      </c>
    </row>
    <row r="177" customHeight="1" spans="1:2">
      <c r="A177" s="81">
        <v>42437</v>
      </c>
      <c r="B177" s="82">
        <v>16.78</v>
      </c>
    </row>
    <row r="178" customHeight="1" spans="1:2">
      <c r="A178" s="81">
        <v>42438</v>
      </c>
      <c r="B178" s="82">
        <v>16.77</v>
      </c>
    </row>
    <row r="179" customHeight="1" spans="1:2">
      <c r="A179" s="81">
        <v>42439</v>
      </c>
      <c r="B179" s="82">
        <v>16.8</v>
      </c>
    </row>
    <row r="180" customHeight="1" spans="1:2">
      <c r="A180" s="81">
        <v>42440</v>
      </c>
      <c r="B180" s="82">
        <v>16.81</v>
      </c>
    </row>
    <row r="181" customHeight="1" spans="1:2">
      <c r="A181" s="81">
        <v>42443</v>
      </c>
      <c r="B181" s="82">
        <v>16.88</v>
      </c>
    </row>
    <row r="182" customHeight="1" spans="1:2">
      <c r="A182" s="81">
        <v>42444</v>
      </c>
      <c r="B182" s="82">
        <v>16.88</v>
      </c>
    </row>
    <row r="183" customHeight="1" spans="1:2">
      <c r="A183" s="81">
        <v>42445</v>
      </c>
      <c r="B183" s="82">
        <v>16.88</v>
      </c>
    </row>
    <row r="184" customHeight="1" spans="1:2">
      <c r="A184" s="81">
        <v>42446</v>
      </c>
      <c r="B184" s="82">
        <v>16.9</v>
      </c>
    </row>
    <row r="185" customHeight="1" spans="1:2">
      <c r="A185" s="81">
        <v>42447</v>
      </c>
      <c r="B185" s="82">
        <v>16.9</v>
      </c>
    </row>
    <row r="186" customHeight="1" spans="1:2">
      <c r="A186" s="81">
        <v>42450</v>
      </c>
      <c r="B186" s="82">
        <v>16.94</v>
      </c>
    </row>
    <row r="187" customHeight="1" spans="1:2">
      <c r="A187" s="81">
        <v>42451</v>
      </c>
      <c r="B187" s="82">
        <v>16.98</v>
      </c>
    </row>
    <row r="188" customHeight="1" spans="1:2">
      <c r="A188" s="81">
        <v>42452</v>
      </c>
      <c r="B188" s="82">
        <v>17.02</v>
      </c>
    </row>
    <row r="189" customHeight="1" spans="1:2">
      <c r="A189" s="81">
        <v>42453</v>
      </c>
      <c r="B189" s="82">
        <v>17.06</v>
      </c>
    </row>
    <row r="190" customHeight="1" spans="1:2">
      <c r="A190" s="81">
        <v>42454</v>
      </c>
      <c r="B190" s="82">
        <v>17.06</v>
      </c>
    </row>
    <row r="191" customHeight="1" spans="1:2">
      <c r="A191" s="81">
        <v>42457</v>
      </c>
      <c r="B191" s="82">
        <v>17.13</v>
      </c>
    </row>
    <row r="192" customHeight="1" spans="1:2">
      <c r="A192" s="81">
        <v>42458</v>
      </c>
      <c r="B192" s="82">
        <v>17.14</v>
      </c>
    </row>
    <row r="193" customHeight="1" spans="1:2">
      <c r="A193" s="81">
        <v>42459</v>
      </c>
      <c r="B193" s="82">
        <v>17.18</v>
      </c>
    </row>
    <row r="194" customHeight="1" spans="1:2">
      <c r="A194" s="81">
        <v>42460</v>
      </c>
      <c r="B194" s="82">
        <v>17.22</v>
      </c>
    </row>
    <row r="195" customHeight="1" spans="1:2">
      <c r="A195" s="81">
        <v>42461</v>
      </c>
      <c r="B195" s="82">
        <v>17.25</v>
      </c>
    </row>
    <row r="196" customHeight="1" spans="1:2">
      <c r="A196" s="81">
        <v>42465</v>
      </c>
      <c r="B196" s="82">
        <v>17.29</v>
      </c>
    </row>
    <row r="197" customHeight="1" spans="1:2">
      <c r="A197" s="81">
        <v>42466</v>
      </c>
      <c r="B197" s="82">
        <v>17.34</v>
      </c>
    </row>
    <row r="198" customHeight="1" spans="1:2">
      <c r="A198" s="81">
        <v>42467</v>
      </c>
      <c r="B198" s="82">
        <v>17.4</v>
      </c>
    </row>
    <row r="199" customHeight="1" spans="1:2">
      <c r="A199" s="81">
        <v>42468</v>
      </c>
      <c r="B199" s="82">
        <v>17.42</v>
      </c>
    </row>
    <row r="200" customHeight="1" spans="1:2">
      <c r="A200" s="81">
        <v>42471</v>
      </c>
      <c r="B200" s="82">
        <v>17.44</v>
      </c>
    </row>
    <row r="201" customHeight="1" spans="1:2">
      <c r="A201" s="81">
        <v>42472</v>
      </c>
      <c r="B201" s="82">
        <v>17.44</v>
      </c>
    </row>
    <row r="202" customHeight="1" spans="1:2">
      <c r="A202" s="81">
        <v>42473</v>
      </c>
      <c r="B202" s="82">
        <v>17.44</v>
      </c>
    </row>
    <row r="203" customHeight="1" spans="1:2">
      <c r="A203" s="81">
        <v>42474</v>
      </c>
      <c r="B203" s="82">
        <v>17.43</v>
      </c>
    </row>
    <row r="204" customHeight="1" spans="1:2">
      <c r="A204" s="81">
        <v>42475</v>
      </c>
      <c r="B204" s="82">
        <v>17.46</v>
      </c>
    </row>
    <row r="205" customHeight="1" spans="1:2">
      <c r="A205" s="81">
        <v>42478</v>
      </c>
      <c r="B205" s="82">
        <v>17.5</v>
      </c>
    </row>
    <row r="206" customHeight="1" spans="1:2">
      <c r="A206" s="81">
        <v>42479</v>
      </c>
      <c r="B206" s="82">
        <v>17.49</v>
      </c>
    </row>
    <row r="207" customHeight="1" spans="1:2">
      <c r="A207" s="81">
        <v>42480</v>
      </c>
      <c r="B207" s="82">
        <v>17.49</v>
      </c>
    </row>
    <row r="208" customHeight="1" spans="1:2">
      <c r="A208" s="81">
        <v>42481</v>
      </c>
      <c r="B208" s="82">
        <v>17.48</v>
      </c>
    </row>
    <row r="209" customHeight="1" spans="1:2">
      <c r="A209" s="81">
        <v>42482</v>
      </c>
      <c r="B209" s="82">
        <v>17.5</v>
      </c>
    </row>
    <row r="210" customHeight="1" spans="1:2">
      <c r="A210" s="81">
        <v>42485</v>
      </c>
      <c r="B210" s="82">
        <v>17.51</v>
      </c>
    </row>
    <row r="211" customHeight="1" spans="1:2">
      <c r="A211" s="81">
        <v>42486</v>
      </c>
      <c r="B211" s="82">
        <v>17.48</v>
      </c>
    </row>
    <row r="212" customHeight="1" spans="1:2">
      <c r="A212" s="81">
        <v>42487</v>
      </c>
      <c r="B212" s="82">
        <v>17.51</v>
      </c>
    </row>
    <row r="213" customHeight="1" spans="1:2">
      <c r="A213" s="81">
        <v>42488</v>
      </c>
      <c r="B213" s="82">
        <v>17.49</v>
      </c>
    </row>
    <row r="214" customHeight="1" spans="1:2">
      <c r="A214" s="81">
        <v>42489</v>
      </c>
      <c r="B214" s="82">
        <v>17.5</v>
      </c>
    </row>
    <row r="215" customHeight="1" spans="1:2">
      <c r="A215" s="81">
        <v>42493</v>
      </c>
      <c r="B215" s="82">
        <v>17.53</v>
      </c>
    </row>
    <row r="216" customHeight="1" spans="1:2">
      <c r="A216" s="81">
        <v>42494</v>
      </c>
      <c r="B216" s="82">
        <v>17.53</v>
      </c>
    </row>
    <row r="217" customHeight="1" spans="1:2">
      <c r="A217" s="81">
        <v>42495</v>
      </c>
      <c r="B217" s="82">
        <v>17.63</v>
      </c>
    </row>
    <row r="218" customHeight="1" spans="1:2">
      <c r="A218" s="81">
        <v>42496</v>
      </c>
      <c r="B218" s="82">
        <v>17.65</v>
      </c>
    </row>
    <row r="219" customHeight="1" spans="1:2">
      <c r="A219" s="81">
        <v>42499</v>
      </c>
      <c r="B219" s="82">
        <v>17.68</v>
      </c>
    </row>
    <row r="220" customHeight="1" spans="1:2">
      <c r="A220" s="81">
        <v>42500</v>
      </c>
      <c r="B220" s="82">
        <v>17.72</v>
      </c>
    </row>
    <row r="221" customHeight="1" spans="1:2">
      <c r="A221" s="81">
        <v>42501</v>
      </c>
      <c r="B221" s="82">
        <v>17.73</v>
      </c>
    </row>
    <row r="222" customHeight="1" spans="1:2">
      <c r="A222" s="81">
        <v>42502</v>
      </c>
      <c r="B222" s="82">
        <v>17.72</v>
      </c>
    </row>
    <row r="223" customHeight="1" spans="1:2">
      <c r="A223" s="81">
        <v>42503</v>
      </c>
      <c r="B223" s="82">
        <v>17.73</v>
      </c>
    </row>
    <row r="224" customHeight="1" spans="1:2">
      <c r="A224" s="81">
        <v>42506</v>
      </c>
      <c r="B224" s="82">
        <v>17.77</v>
      </c>
    </row>
    <row r="225" customHeight="1" spans="1:2">
      <c r="A225" s="81">
        <v>42507</v>
      </c>
      <c r="B225" s="82">
        <v>17.74</v>
      </c>
    </row>
    <row r="226" customHeight="1" spans="1:2">
      <c r="A226" s="81">
        <v>42508</v>
      </c>
      <c r="B226" s="82">
        <v>17.79</v>
      </c>
    </row>
    <row r="227" customHeight="1" spans="1:2">
      <c r="A227" s="81">
        <v>42509</v>
      </c>
      <c r="B227" s="82">
        <v>17.8</v>
      </c>
    </row>
    <row r="228" customHeight="1" spans="1:2">
      <c r="A228" s="81">
        <v>42510</v>
      </c>
      <c r="B228" s="82">
        <v>17.84</v>
      </c>
    </row>
    <row r="229" customHeight="1" spans="1:2">
      <c r="A229" s="81">
        <v>42513</v>
      </c>
      <c r="B229" s="82">
        <v>17.87</v>
      </c>
    </row>
    <row r="230" customHeight="1" spans="1:2">
      <c r="A230" s="81">
        <v>42514</v>
      </c>
      <c r="B230" s="82">
        <v>17.88</v>
      </c>
    </row>
    <row r="231" customHeight="1" spans="1:2">
      <c r="A231" s="81">
        <v>42515</v>
      </c>
      <c r="B231" s="82">
        <v>17.88</v>
      </c>
    </row>
    <row r="232" customHeight="1" spans="1:2">
      <c r="A232" s="81">
        <v>42516</v>
      </c>
      <c r="B232" s="82">
        <v>17.91</v>
      </c>
    </row>
    <row r="233" customHeight="1" spans="1:2">
      <c r="A233" s="81">
        <v>42517</v>
      </c>
      <c r="B233" s="82">
        <v>17.92</v>
      </c>
    </row>
    <row r="234" customHeight="1" spans="1:2">
      <c r="A234" s="81">
        <v>42520</v>
      </c>
      <c r="B234" s="82">
        <v>17.93</v>
      </c>
    </row>
    <row r="235" customHeight="1" spans="1:2">
      <c r="A235" s="81">
        <v>42521</v>
      </c>
      <c r="B235" s="82">
        <v>17.94</v>
      </c>
    </row>
    <row r="236" customHeight="1" spans="1:2">
      <c r="A236" s="81">
        <v>42522</v>
      </c>
      <c r="B236" s="82">
        <v>17.95</v>
      </c>
    </row>
    <row r="237" customHeight="1" spans="1:2">
      <c r="A237" s="81">
        <v>42523</v>
      </c>
      <c r="B237" s="82">
        <v>17.96</v>
      </c>
    </row>
    <row r="238" customHeight="1" spans="1:2">
      <c r="A238" s="81">
        <v>42524</v>
      </c>
      <c r="B238" s="82">
        <v>17.99</v>
      </c>
    </row>
    <row r="239" customHeight="1" spans="1:2">
      <c r="A239" s="81">
        <v>42527</v>
      </c>
      <c r="B239" s="82">
        <v>18.03</v>
      </c>
    </row>
    <row r="240" customHeight="1" spans="1:2">
      <c r="A240" s="81">
        <v>42528</v>
      </c>
      <c r="B240" s="82">
        <v>18.07</v>
      </c>
    </row>
    <row r="241" customHeight="1" spans="1:2">
      <c r="A241" s="81">
        <v>42529</v>
      </c>
      <c r="B241" s="82">
        <v>18.06</v>
      </c>
    </row>
    <row r="242" customHeight="1" spans="1:2">
      <c r="A242" s="81">
        <v>42533</v>
      </c>
      <c r="B242" s="82">
        <v>18.07</v>
      </c>
    </row>
    <row r="243" customHeight="1" spans="1:2">
      <c r="A243" s="81">
        <v>42534</v>
      </c>
      <c r="B243" s="82">
        <v>18.11</v>
      </c>
    </row>
    <row r="244" customHeight="1" spans="1:2">
      <c r="A244" s="81">
        <v>42535</v>
      </c>
      <c r="B244" s="82">
        <v>18.09</v>
      </c>
    </row>
    <row r="245" customHeight="1" spans="1:2">
      <c r="A245" s="81">
        <v>42536</v>
      </c>
      <c r="B245" s="82">
        <v>18.14</v>
      </c>
    </row>
    <row r="246" customHeight="1" spans="1:2">
      <c r="A246" s="81">
        <v>42537</v>
      </c>
      <c r="B246" s="82">
        <v>18.13</v>
      </c>
    </row>
    <row r="247" customHeight="1" spans="1:2">
      <c r="A247" s="81">
        <v>42538</v>
      </c>
      <c r="B247" s="82">
        <v>18.12</v>
      </c>
    </row>
    <row r="248" customHeight="1" spans="1:2">
      <c r="A248" s="81">
        <v>42541</v>
      </c>
      <c r="B248" s="82">
        <v>18.11</v>
      </c>
    </row>
    <row r="249" customHeight="1" spans="1:2">
      <c r="A249" s="81">
        <v>42542</v>
      </c>
      <c r="B249" s="82">
        <v>18.11</v>
      </c>
    </row>
    <row r="250" customHeight="1" spans="1:2">
      <c r="A250" s="81">
        <v>42543</v>
      </c>
      <c r="B250" s="82">
        <v>18.11</v>
      </c>
    </row>
    <row r="251" customHeight="1" spans="1:2">
      <c r="A251" s="81">
        <v>42544</v>
      </c>
      <c r="B251" s="82">
        <v>18.12</v>
      </c>
    </row>
    <row r="252" customHeight="1" spans="1:2">
      <c r="A252" s="81">
        <v>42545</v>
      </c>
      <c r="B252" s="82">
        <v>18.08</v>
      </c>
    </row>
    <row r="253" customHeight="1" spans="1:2">
      <c r="A253" s="81">
        <v>42548</v>
      </c>
      <c r="B253" s="82">
        <v>18.04</v>
      </c>
    </row>
    <row r="254" customHeight="1" spans="1:2">
      <c r="A254" s="81">
        <v>42549</v>
      </c>
      <c r="B254" s="82">
        <v>18.04</v>
      </c>
    </row>
    <row r="255" customHeight="1" spans="1:2">
      <c r="A255" s="81">
        <v>42550</v>
      </c>
      <c r="B255" s="82">
        <v>18.01</v>
      </c>
    </row>
    <row r="256" customHeight="1" spans="1:2">
      <c r="A256" s="81">
        <v>42551</v>
      </c>
      <c r="B256" s="82">
        <v>18.01</v>
      </c>
    </row>
    <row r="257" customHeight="1" spans="1:2">
      <c r="A257" s="81">
        <v>42552</v>
      </c>
      <c r="B257" s="82">
        <v>17.99</v>
      </c>
    </row>
    <row r="258" customHeight="1" spans="1:2">
      <c r="A258" s="81">
        <v>42555</v>
      </c>
      <c r="B258" s="82">
        <v>18.01</v>
      </c>
    </row>
    <row r="259" customHeight="1" spans="1:2">
      <c r="A259" s="81">
        <v>42556</v>
      </c>
      <c r="B259" s="82">
        <v>18.02</v>
      </c>
    </row>
    <row r="260" customHeight="1" spans="1:2">
      <c r="A260" s="81">
        <v>42557</v>
      </c>
      <c r="B260" s="82">
        <v>18.02</v>
      </c>
    </row>
    <row r="261" customHeight="1" spans="1:2">
      <c r="A261" s="81">
        <v>42558</v>
      </c>
      <c r="B261" s="82">
        <v>17.98</v>
      </c>
    </row>
    <row r="262" customHeight="1" spans="1:2">
      <c r="A262" s="81">
        <v>42559</v>
      </c>
      <c r="B262" s="82">
        <v>17.99</v>
      </c>
    </row>
    <row r="263" customHeight="1" spans="1:2">
      <c r="A263" s="81">
        <v>42562</v>
      </c>
      <c r="B263" s="82">
        <v>18</v>
      </c>
    </row>
    <row r="264" customHeight="1" spans="1:2">
      <c r="A264" s="81">
        <v>42563</v>
      </c>
      <c r="B264" s="82">
        <v>18</v>
      </c>
    </row>
    <row r="265" customHeight="1" spans="1:2">
      <c r="A265" s="81">
        <v>42564</v>
      </c>
      <c r="B265" s="82">
        <v>17.98</v>
      </c>
    </row>
    <row r="266" customHeight="1" spans="1:2">
      <c r="A266" s="81">
        <v>42565</v>
      </c>
      <c r="B266" s="82">
        <v>17.98</v>
      </c>
    </row>
    <row r="267" customHeight="1" spans="1:2">
      <c r="A267" s="81">
        <v>42566</v>
      </c>
      <c r="B267" s="82">
        <v>17.94</v>
      </c>
    </row>
    <row r="268" customHeight="1" spans="1:2">
      <c r="A268" s="81">
        <v>42569</v>
      </c>
      <c r="B268" s="82">
        <v>17.93</v>
      </c>
    </row>
    <row r="269" customHeight="1" spans="1:2">
      <c r="A269" s="81">
        <v>42570</v>
      </c>
      <c r="B269" s="82">
        <v>17.94</v>
      </c>
    </row>
    <row r="270" customHeight="1" spans="1:2">
      <c r="A270" s="81">
        <v>42571</v>
      </c>
      <c r="B270" s="82">
        <v>17.9</v>
      </c>
    </row>
    <row r="271" customHeight="1" spans="1:2">
      <c r="A271" s="81">
        <v>42572</v>
      </c>
      <c r="B271" s="82">
        <v>17.86</v>
      </c>
    </row>
    <row r="272" customHeight="1" spans="1:2">
      <c r="A272" s="81">
        <v>42573</v>
      </c>
      <c r="B272" s="82">
        <v>17.85</v>
      </c>
    </row>
    <row r="273" customHeight="1" spans="1:2">
      <c r="A273" s="81">
        <v>42576</v>
      </c>
      <c r="B273" s="82">
        <v>17.85</v>
      </c>
    </row>
    <row r="274" customHeight="1" spans="1:2">
      <c r="A274" s="81">
        <v>42577</v>
      </c>
      <c r="B274" s="82">
        <v>17.85</v>
      </c>
    </row>
    <row r="275" customHeight="1" spans="1:2">
      <c r="A275" s="81">
        <v>42578</v>
      </c>
      <c r="B275" s="82">
        <v>17.87</v>
      </c>
    </row>
    <row r="276" customHeight="1" spans="1:2">
      <c r="A276" s="81">
        <v>42579</v>
      </c>
      <c r="B276" s="82">
        <v>17.85</v>
      </c>
    </row>
    <row r="277" customHeight="1" spans="1:2">
      <c r="A277" s="81">
        <v>42580</v>
      </c>
      <c r="B277" s="82">
        <v>17.84</v>
      </c>
    </row>
    <row r="278" customHeight="1" spans="1:2">
      <c r="A278" s="81">
        <v>42583</v>
      </c>
      <c r="B278" s="82">
        <v>17.83</v>
      </c>
    </row>
    <row r="279" customHeight="1" spans="1:2">
      <c r="A279" s="81">
        <v>42584</v>
      </c>
      <c r="B279" s="82">
        <v>17.81</v>
      </c>
    </row>
    <row r="280" customHeight="1" spans="1:2">
      <c r="A280" s="81">
        <v>42585</v>
      </c>
      <c r="B280" s="82">
        <v>17.75</v>
      </c>
    </row>
    <row r="281" customHeight="1" spans="1:2">
      <c r="A281" s="81">
        <v>42586</v>
      </c>
      <c r="B281" s="82">
        <v>17.77</v>
      </c>
    </row>
    <row r="282" customHeight="1" spans="1:2">
      <c r="A282" s="81">
        <v>42587</v>
      </c>
      <c r="B282" s="82">
        <v>17.76</v>
      </c>
    </row>
    <row r="283" customHeight="1" spans="1:2">
      <c r="A283" s="81">
        <v>42590</v>
      </c>
      <c r="B283" s="82">
        <v>17.78</v>
      </c>
    </row>
    <row r="284" customHeight="1" spans="1:2">
      <c r="A284" s="81">
        <v>42591</v>
      </c>
      <c r="B284" s="82">
        <v>17.76</v>
      </c>
    </row>
    <row r="285" customHeight="1" spans="1:2">
      <c r="A285" s="81">
        <v>42592</v>
      </c>
      <c r="B285" s="82">
        <v>17.7</v>
      </c>
    </row>
    <row r="286" customHeight="1" spans="1:2">
      <c r="A286" s="81">
        <v>42593</v>
      </c>
      <c r="B286" s="82">
        <v>17.67</v>
      </c>
    </row>
    <row r="287" customHeight="1" spans="1:2">
      <c r="A287" s="81">
        <v>42594</v>
      </c>
      <c r="B287" s="82">
        <v>17.65</v>
      </c>
    </row>
    <row r="288" customHeight="1" spans="1:2">
      <c r="A288" s="81">
        <v>42597</v>
      </c>
      <c r="B288" s="82">
        <v>17.64</v>
      </c>
    </row>
    <row r="289" customHeight="1" spans="1:2">
      <c r="A289" s="81">
        <v>42598</v>
      </c>
      <c r="B289" s="82">
        <v>17.6</v>
      </c>
    </row>
    <row r="290" customHeight="1" spans="1:2">
      <c r="A290" s="81">
        <v>42599</v>
      </c>
      <c r="B290" s="82">
        <v>17.62</v>
      </c>
    </row>
    <row r="291" customHeight="1" spans="1:2">
      <c r="A291" s="81">
        <v>42600</v>
      </c>
      <c r="B291" s="82">
        <v>17.63</v>
      </c>
    </row>
    <row r="292" customHeight="1" spans="1:2">
      <c r="A292" s="81">
        <v>42601</v>
      </c>
      <c r="B292" s="82">
        <v>17.62</v>
      </c>
    </row>
    <row r="293" customHeight="1" spans="1:2">
      <c r="A293" s="81">
        <v>42604</v>
      </c>
      <c r="B293" s="82">
        <v>17.63</v>
      </c>
    </row>
    <row r="294" customHeight="1" spans="1:2">
      <c r="A294" s="81">
        <v>42605</v>
      </c>
      <c r="B294" s="82">
        <v>17.62</v>
      </c>
    </row>
    <row r="295" customHeight="1" spans="1:2">
      <c r="A295" s="81">
        <v>42606</v>
      </c>
      <c r="B295" s="82">
        <v>17.64</v>
      </c>
    </row>
    <row r="296" customHeight="1" spans="1:2">
      <c r="A296" s="81">
        <v>42607</v>
      </c>
      <c r="B296" s="82">
        <v>17.63</v>
      </c>
    </row>
    <row r="297" customHeight="1" spans="1:2">
      <c r="A297" s="81">
        <v>42608</v>
      </c>
      <c r="B297" s="82">
        <v>17.64</v>
      </c>
    </row>
    <row r="298" customHeight="1" spans="1:2">
      <c r="A298" s="81">
        <v>42611</v>
      </c>
      <c r="B298" s="82">
        <v>17.63</v>
      </c>
    </row>
    <row r="299" customHeight="1" spans="1:2">
      <c r="A299" s="81">
        <v>42612</v>
      </c>
      <c r="B299" s="82">
        <v>17.59</v>
      </c>
    </row>
    <row r="300" customHeight="1" spans="1:2">
      <c r="A300" s="81">
        <v>42613</v>
      </c>
      <c r="B300" s="82">
        <v>17.59</v>
      </c>
    </row>
    <row r="301" customHeight="1" spans="1:2">
      <c r="A301" s="81">
        <v>42614</v>
      </c>
      <c r="B301" s="82">
        <v>17.63</v>
      </c>
    </row>
    <row r="302" customHeight="1" spans="1:2">
      <c r="A302" s="81">
        <v>42615</v>
      </c>
      <c r="B302" s="82">
        <v>17.62</v>
      </c>
    </row>
    <row r="303" customHeight="1" spans="1:2">
      <c r="A303" s="81">
        <v>42618</v>
      </c>
      <c r="B303" s="82">
        <v>17.62</v>
      </c>
    </row>
    <row r="304" customHeight="1" spans="1:2">
      <c r="A304" s="81">
        <v>42619</v>
      </c>
      <c r="B304" s="82">
        <v>17.63</v>
      </c>
    </row>
    <row r="305" customHeight="1" spans="1:2">
      <c r="A305" s="81">
        <v>42620</v>
      </c>
      <c r="B305" s="82">
        <v>17.58</v>
      </c>
    </row>
    <row r="306" customHeight="1" spans="1:2">
      <c r="A306" s="81">
        <v>42621</v>
      </c>
      <c r="B306" s="82">
        <v>17.6</v>
      </c>
    </row>
    <row r="307" customHeight="1" spans="1:2">
      <c r="A307" s="81">
        <v>42622</v>
      </c>
      <c r="B307" s="82">
        <v>17.62</v>
      </c>
    </row>
    <row r="308" customHeight="1" spans="1:2">
      <c r="A308" s="81">
        <v>42625</v>
      </c>
      <c r="B308" s="82">
        <v>17.58</v>
      </c>
    </row>
    <row r="309" customHeight="1" spans="1:2">
      <c r="A309" s="81">
        <v>42626</v>
      </c>
      <c r="B309" s="82">
        <v>17.63</v>
      </c>
    </row>
    <row r="310" customHeight="1" spans="1:2">
      <c r="A310" s="81">
        <v>42627</v>
      </c>
      <c r="B310" s="82">
        <v>17.67</v>
      </c>
    </row>
    <row r="311" customHeight="1" spans="1:2">
      <c r="A311" s="81">
        <v>42631</v>
      </c>
      <c r="B311" s="82">
        <v>17.66</v>
      </c>
    </row>
    <row r="312" customHeight="1" spans="1:2">
      <c r="A312" s="81">
        <v>42632</v>
      </c>
      <c r="B312" s="82">
        <v>17.66</v>
      </c>
    </row>
    <row r="313" customHeight="1" spans="1:2">
      <c r="A313" s="81">
        <v>42633</v>
      </c>
      <c r="B313" s="82">
        <v>17.65</v>
      </c>
    </row>
    <row r="314" customHeight="1" spans="1:2">
      <c r="A314" s="81">
        <v>42634</v>
      </c>
      <c r="B314" s="82">
        <v>17.63</v>
      </c>
    </row>
    <row r="315" customHeight="1" spans="1:2">
      <c r="A315" s="81">
        <v>42635</v>
      </c>
      <c r="B315" s="82">
        <v>17.61</v>
      </c>
    </row>
    <row r="316" customHeight="1" spans="1:2">
      <c r="A316" s="81">
        <v>42636</v>
      </c>
      <c r="B316" s="82">
        <v>17.6</v>
      </c>
    </row>
    <row r="317" customHeight="1" spans="1:2">
      <c r="A317" s="81">
        <v>42639</v>
      </c>
      <c r="B317" s="82">
        <v>17.57</v>
      </c>
    </row>
    <row r="318" customHeight="1" spans="1:2">
      <c r="A318" s="81">
        <v>42640</v>
      </c>
      <c r="B318" s="82">
        <v>17.55</v>
      </c>
    </row>
    <row r="319" customHeight="1" spans="1:2">
      <c r="A319" s="81">
        <v>42641</v>
      </c>
      <c r="B319" s="82">
        <v>17.6</v>
      </c>
    </row>
    <row r="320" customHeight="1" spans="1:2">
      <c r="A320" s="81">
        <v>42642</v>
      </c>
      <c r="B320" s="82">
        <v>17.59</v>
      </c>
    </row>
    <row r="321" customHeight="1" spans="1:2">
      <c r="A321" s="81">
        <v>42643</v>
      </c>
      <c r="B321" s="82">
        <v>17.59</v>
      </c>
    </row>
    <row r="322" customHeight="1" spans="1:2">
      <c r="A322" s="81">
        <v>42651</v>
      </c>
      <c r="B322" s="82">
        <v>17.56</v>
      </c>
    </row>
    <row r="323" customHeight="1" spans="1:2">
      <c r="A323" s="81">
        <v>42652</v>
      </c>
      <c r="B323" s="82">
        <v>17.56</v>
      </c>
    </row>
    <row r="324" customHeight="1" spans="1:2">
      <c r="A324" s="81">
        <v>42653</v>
      </c>
      <c r="B324" s="82">
        <v>17.56</v>
      </c>
    </row>
    <row r="325" customHeight="1" spans="1:2">
      <c r="A325" s="81">
        <v>42654</v>
      </c>
      <c r="B325" s="82">
        <v>17.51</v>
      </c>
    </row>
    <row r="326" customHeight="1" spans="1:2">
      <c r="A326" s="81">
        <v>42655</v>
      </c>
      <c r="B326" s="82">
        <v>17.49</v>
      </c>
    </row>
    <row r="327" customHeight="1" spans="1:2">
      <c r="A327" s="81">
        <v>42656</v>
      </c>
      <c r="B327" s="82">
        <v>17.47</v>
      </c>
    </row>
    <row r="328" customHeight="1" spans="1:2">
      <c r="A328" s="81">
        <v>42657</v>
      </c>
      <c r="B328" s="82">
        <v>17.43</v>
      </c>
    </row>
    <row r="329" customHeight="1" spans="1:2">
      <c r="A329" s="81">
        <v>42660</v>
      </c>
      <c r="B329" s="82">
        <v>17.39</v>
      </c>
    </row>
    <row r="330" customHeight="1" spans="1:2">
      <c r="A330" s="81">
        <v>42661</v>
      </c>
      <c r="B330" s="82">
        <v>17.4</v>
      </c>
    </row>
    <row r="331" customHeight="1" spans="1:2">
      <c r="A331" s="81">
        <v>42662</v>
      </c>
      <c r="B331" s="82">
        <v>17.37</v>
      </c>
    </row>
    <row r="332" customHeight="1" spans="1:2">
      <c r="A332" s="81">
        <v>42663</v>
      </c>
      <c r="B332" s="82">
        <v>17.34</v>
      </c>
    </row>
    <row r="333" customHeight="1" spans="1:2">
      <c r="A333" s="81">
        <v>42664</v>
      </c>
      <c r="B333" s="82">
        <v>17.33</v>
      </c>
    </row>
    <row r="334" customHeight="1" spans="1:2">
      <c r="A334" s="81">
        <v>42667</v>
      </c>
      <c r="B334" s="82">
        <v>17.32</v>
      </c>
    </row>
    <row r="335" customHeight="1" spans="1:2">
      <c r="A335" s="81">
        <v>42668</v>
      </c>
      <c r="B335" s="82">
        <v>17.28</v>
      </c>
    </row>
    <row r="336" customHeight="1" spans="1:2">
      <c r="A336" s="81">
        <v>42669</v>
      </c>
      <c r="B336" s="82">
        <v>17.28</v>
      </c>
    </row>
    <row r="337" customHeight="1" spans="1:2">
      <c r="A337" s="81">
        <v>42670</v>
      </c>
      <c r="B337" s="82">
        <v>17.29</v>
      </c>
    </row>
    <row r="338" customHeight="1" spans="1:2">
      <c r="A338" s="81">
        <v>42671</v>
      </c>
      <c r="B338" s="82">
        <v>17.27</v>
      </c>
    </row>
    <row r="339" customHeight="1" spans="1:2">
      <c r="A339" s="81">
        <v>42674</v>
      </c>
      <c r="B339" s="82">
        <v>17.25</v>
      </c>
    </row>
    <row r="340" customHeight="1" spans="1:2">
      <c r="A340" s="81">
        <v>42675</v>
      </c>
      <c r="B340" s="82">
        <v>17.26</v>
      </c>
    </row>
    <row r="341" customHeight="1" spans="1:2">
      <c r="A341" s="81">
        <v>42676</v>
      </c>
      <c r="B341" s="82">
        <v>17.25</v>
      </c>
    </row>
    <row r="342" customHeight="1" spans="1:2">
      <c r="A342" s="81">
        <v>42677</v>
      </c>
      <c r="B342" s="82">
        <v>17.24</v>
      </c>
    </row>
    <row r="343" customHeight="1" spans="1:2">
      <c r="A343" s="81">
        <v>42678</v>
      </c>
      <c r="B343" s="82">
        <v>17.19</v>
      </c>
    </row>
    <row r="344" customHeight="1" spans="1:2">
      <c r="A344" s="81">
        <v>42681</v>
      </c>
      <c r="B344" s="82">
        <v>17.19</v>
      </c>
    </row>
    <row r="345" customHeight="1" spans="1:2">
      <c r="A345" s="81">
        <v>42682</v>
      </c>
      <c r="B345" s="82">
        <v>17.2</v>
      </c>
    </row>
    <row r="346" customHeight="1" spans="1:2">
      <c r="A346" s="81">
        <v>42683</v>
      </c>
      <c r="B346" s="82">
        <v>17.12</v>
      </c>
    </row>
    <row r="347" customHeight="1" spans="1:2">
      <c r="A347" s="81">
        <v>42684</v>
      </c>
      <c r="B347" s="82">
        <v>17.12</v>
      </c>
    </row>
    <row r="348" customHeight="1" spans="1:2">
      <c r="A348" s="81">
        <v>42685</v>
      </c>
      <c r="B348" s="82">
        <v>17.12</v>
      </c>
    </row>
    <row r="349" customHeight="1" spans="1:2">
      <c r="A349" s="81">
        <v>42688</v>
      </c>
      <c r="B349" s="82">
        <v>17.12</v>
      </c>
    </row>
    <row r="350" customHeight="1" spans="1:2">
      <c r="A350" s="81">
        <v>42689</v>
      </c>
      <c r="B350" s="82">
        <v>17.15</v>
      </c>
    </row>
    <row r="351" customHeight="1" spans="1:2">
      <c r="A351" s="81">
        <v>42690</v>
      </c>
      <c r="B351" s="82">
        <v>17.18</v>
      </c>
    </row>
    <row r="352" customHeight="1" spans="1:2">
      <c r="A352" s="81">
        <v>42691</v>
      </c>
      <c r="B352" s="82">
        <v>17.19</v>
      </c>
    </row>
    <row r="353" customHeight="1" spans="1:2">
      <c r="A353" s="81">
        <v>42692</v>
      </c>
      <c r="B353" s="82">
        <v>17.19</v>
      </c>
    </row>
    <row r="354" customHeight="1" spans="1:2">
      <c r="A354" s="81">
        <v>42695</v>
      </c>
      <c r="B354" s="82">
        <v>17.16</v>
      </c>
    </row>
    <row r="355" customHeight="1" spans="1:2">
      <c r="A355" s="81">
        <v>42696</v>
      </c>
      <c r="B355" s="82">
        <v>17.14</v>
      </c>
    </row>
    <row r="356" customHeight="1" spans="1:2">
      <c r="A356" s="81">
        <v>42697</v>
      </c>
      <c r="B356" s="82">
        <v>17.14</v>
      </c>
    </row>
    <row r="357" customHeight="1" spans="1:2">
      <c r="A357" s="81">
        <v>42698</v>
      </c>
      <c r="B357" s="82">
        <v>17.12</v>
      </c>
    </row>
    <row r="358" customHeight="1" spans="1:2">
      <c r="A358" s="81">
        <v>42699</v>
      </c>
      <c r="B358" s="82">
        <v>17.13</v>
      </c>
    </row>
    <row r="359" customHeight="1" spans="1:2">
      <c r="A359" s="81">
        <v>42702</v>
      </c>
      <c r="B359" s="82">
        <v>17.12</v>
      </c>
    </row>
    <row r="360" customHeight="1" spans="1:2">
      <c r="A360" s="81">
        <v>42703</v>
      </c>
      <c r="B360" s="82">
        <v>17.11</v>
      </c>
    </row>
    <row r="361" customHeight="1" spans="1:2">
      <c r="A361" s="81">
        <v>42704</v>
      </c>
      <c r="B361" s="82">
        <v>17.12</v>
      </c>
    </row>
    <row r="362" customHeight="1" spans="1:2">
      <c r="A362" s="81">
        <v>42705</v>
      </c>
      <c r="B362" s="82">
        <v>17.08</v>
      </c>
    </row>
    <row r="363" customHeight="1" spans="1:2">
      <c r="A363" s="81">
        <v>42706</v>
      </c>
      <c r="B363" s="82">
        <v>16.98</v>
      </c>
    </row>
    <row r="364" customHeight="1" spans="1:2">
      <c r="A364" s="81">
        <v>42709</v>
      </c>
      <c r="B364" s="82">
        <v>17.04</v>
      </c>
    </row>
    <row r="365" customHeight="1" spans="1:2">
      <c r="A365" s="81">
        <v>42710</v>
      </c>
      <c r="B365" s="82">
        <v>17.08</v>
      </c>
    </row>
    <row r="366" customHeight="1" spans="1:2">
      <c r="A366" s="81">
        <v>42711</v>
      </c>
      <c r="B366" s="82">
        <v>17.1</v>
      </c>
    </row>
    <row r="367" customHeight="1" spans="1:2">
      <c r="A367" s="81">
        <v>42712</v>
      </c>
      <c r="B367" s="82">
        <v>17.1</v>
      </c>
    </row>
    <row r="368" customHeight="1" spans="1:2">
      <c r="A368" s="81">
        <v>42713</v>
      </c>
      <c r="B368" s="82">
        <v>17.11</v>
      </c>
    </row>
    <row r="369" customHeight="1" spans="1:2">
      <c r="A369" s="81">
        <v>42716</v>
      </c>
      <c r="B369" s="82">
        <v>17.08</v>
      </c>
    </row>
    <row r="370" customHeight="1" spans="1:2">
      <c r="A370" s="81">
        <v>42717</v>
      </c>
      <c r="B370" s="82">
        <v>17.09</v>
      </c>
    </row>
    <row r="371" customHeight="1" spans="1:2">
      <c r="A371" s="81">
        <v>42718</v>
      </c>
      <c r="B371" s="82">
        <v>17.12</v>
      </c>
    </row>
    <row r="372" customHeight="1" spans="1:2">
      <c r="A372" s="81">
        <v>42719</v>
      </c>
      <c r="B372" s="82">
        <v>17.11</v>
      </c>
    </row>
    <row r="373" customHeight="1" spans="1:2">
      <c r="A373" s="81">
        <v>42720</v>
      </c>
      <c r="B373" s="82">
        <v>17.13</v>
      </c>
    </row>
    <row r="374" customHeight="1" spans="1:2">
      <c r="A374" s="81">
        <v>42723</v>
      </c>
      <c r="B374" s="82">
        <v>17.14</v>
      </c>
    </row>
    <row r="375" customHeight="1" spans="1:2">
      <c r="A375" s="81">
        <v>42724</v>
      </c>
      <c r="B375" s="82">
        <v>17.14</v>
      </c>
    </row>
    <row r="376" customHeight="1" spans="1:2">
      <c r="A376" s="81">
        <v>42725</v>
      </c>
      <c r="B376" s="82">
        <v>17.13</v>
      </c>
    </row>
    <row r="377" customHeight="1" spans="1:2">
      <c r="A377" s="81">
        <v>42726</v>
      </c>
      <c r="B377" s="82">
        <v>17.13</v>
      </c>
    </row>
    <row r="378" customHeight="1" spans="1:2">
      <c r="A378" s="81">
        <v>42727</v>
      </c>
      <c r="B378" s="82">
        <v>17.12</v>
      </c>
    </row>
    <row r="379" customHeight="1" spans="1:2">
      <c r="A379" s="81">
        <v>42730</v>
      </c>
      <c r="B379" s="82">
        <v>17.14</v>
      </c>
    </row>
    <row r="380" customHeight="1" spans="1:2">
      <c r="A380" s="81">
        <v>42731</v>
      </c>
      <c r="B380" s="82">
        <v>17.13</v>
      </c>
    </row>
    <row r="381" customHeight="1" spans="1:2">
      <c r="A381" s="81">
        <v>42732</v>
      </c>
      <c r="B381" s="82">
        <v>17.12</v>
      </c>
    </row>
    <row r="382" customHeight="1" spans="1:2">
      <c r="A382" s="81">
        <v>42733</v>
      </c>
      <c r="B382" s="82">
        <v>17.13</v>
      </c>
    </row>
    <row r="383" customHeight="1" spans="1:2">
      <c r="A383" s="81">
        <v>42734</v>
      </c>
      <c r="B383" s="82">
        <v>17.17</v>
      </c>
    </row>
    <row r="384" customHeight="1" spans="1:2">
      <c r="A384" s="81">
        <v>42738</v>
      </c>
      <c r="B384" s="82">
        <v>17.15</v>
      </c>
    </row>
    <row r="385" customHeight="1" spans="1:2">
      <c r="A385" s="81">
        <v>42739</v>
      </c>
      <c r="B385" s="82">
        <v>17.18</v>
      </c>
    </row>
    <row r="386" customHeight="1" spans="1:2">
      <c r="A386" s="81">
        <v>42740</v>
      </c>
      <c r="B386" s="82">
        <v>17.14</v>
      </c>
    </row>
    <row r="387" customHeight="1" spans="1:2">
      <c r="A387" s="81">
        <v>42741</v>
      </c>
      <c r="B387" s="82">
        <v>17.16</v>
      </c>
    </row>
    <row r="388" customHeight="1" spans="1:2">
      <c r="A388" s="81">
        <v>42744</v>
      </c>
      <c r="B388" s="82">
        <v>17.14</v>
      </c>
    </row>
    <row r="389" customHeight="1" spans="1:2">
      <c r="A389" s="81">
        <v>42745</v>
      </c>
      <c r="B389" s="82">
        <v>17.2</v>
      </c>
    </row>
    <row r="390" customHeight="1" spans="1:2">
      <c r="A390" s="81">
        <v>42746</v>
      </c>
      <c r="B390" s="82">
        <v>17.2</v>
      </c>
    </row>
    <row r="391" customHeight="1" spans="1:2">
      <c r="A391" s="81">
        <v>42747</v>
      </c>
      <c r="B391" s="82">
        <v>17.2</v>
      </c>
    </row>
    <row r="392" customHeight="1" spans="1:2">
      <c r="A392" s="81">
        <v>42748</v>
      </c>
      <c r="B392" s="82">
        <v>17.22</v>
      </c>
    </row>
    <row r="393" customHeight="1" spans="1:2">
      <c r="A393" s="81">
        <v>42751</v>
      </c>
      <c r="B393" s="82">
        <v>17.23</v>
      </c>
    </row>
    <row r="394" customHeight="1" spans="1:2">
      <c r="A394" s="81">
        <v>42752</v>
      </c>
      <c r="B394" s="82">
        <v>17.22</v>
      </c>
    </row>
    <row r="395" customHeight="1" spans="1:2">
      <c r="A395" s="81">
        <v>42753</v>
      </c>
      <c r="B395" s="82">
        <v>17.23</v>
      </c>
    </row>
    <row r="396" customHeight="1" spans="1:2">
      <c r="A396" s="81">
        <v>42754</v>
      </c>
      <c r="B396" s="82">
        <v>17.25</v>
      </c>
    </row>
    <row r="397" customHeight="1" spans="1:2">
      <c r="A397" s="81">
        <v>42755</v>
      </c>
      <c r="B397" s="82">
        <v>17.28</v>
      </c>
    </row>
    <row r="398" customHeight="1" spans="1:2">
      <c r="A398" s="81">
        <v>42757</v>
      </c>
      <c r="B398" s="82">
        <v>17.32</v>
      </c>
    </row>
    <row r="399" customHeight="1" spans="1:2">
      <c r="A399" s="81">
        <v>42758</v>
      </c>
      <c r="B399" s="82">
        <v>17.34</v>
      </c>
    </row>
    <row r="400" customHeight="1" spans="1:2">
      <c r="A400" s="81">
        <v>42759</v>
      </c>
      <c r="B400" s="82">
        <v>17.37</v>
      </c>
    </row>
    <row r="401" customHeight="1" spans="1:2">
      <c r="A401" s="81">
        <v>42760</v>
      </c>
      <c r="B401" s="82">
        <v>17.49</v>
      </c>
    </row>
    <row r="402" customHeight="1" spans="1:2">
      <c r="A402" s="81">
        <v>42761</v>
      </c>
      <c r="B402" s="82">
        <v>17.61</v>
      </c>
    </row>
    <row r="403" customHeight="1" spans="1:2">
      <c r="A403" s="81">
        <v>42769</v>
      </c>
      <c r="B403" s="82">
        <v>17.68</v>
      </c>
    </row>
    <row r="404" customHeight="1" spans="1:2">
      <c r="A404" s="81">
        <v>42770</v>
      </c>
      <c r="B404" s="82">
        <v>17.63</v>
      </c>
    </row>
    <row r="405" customHeight="1" spans="1:2">
      <c r="A405" s="81">
        <v>42772</v>
      </c>
      <c r="B405" s="82">
        <v>17.63</v>
      </c>
    </row>
    <row r="406" customHeight="1" spans="1:2">
      <c r="A406" s="81">
        <v>42773</v>
      </c>
      <c r="B406" s="82">
        <v>17.59</v>
      </c>
    </row>
    <row r="407" customHeight="1" spans="1:2">
      <c r="A407" s="81">
        <v>42774</v>
      </c>
      <c r="B407" s="82">
        <v>17.57</v>
      </c>
    </row>
    <row r="408" customHeight="1" spans="1:2">
      <c r="A408" s="81">
        <v>42775</v>
      </c>
      <c r="B408" s="82">
        <v>17.57</v>
      </c>
    </row>
    <row r="409" customHeight="1" spans="1:2">
      <c r="A409" s="81">
        <v>42776</v>
      </c>
      <c r="B409" s="82">
        <v>17.54</v>
      </c>
    </row>
    <row r="410" customHeight="1" spans="1:2">
      <c r="A410" s="81">
        <v>42779</v>
      </c>
      <c r="B410" s="82">
        <v>17.5</v>
      </c>
    </row>
    <row r="411" customHeight="1" spans="1:2">
      <c r="A411" s="81">
        <v>42780</v>
      </c>
      <c r="B411" s="82">
        <v>17.51</v>
      </c>
    </row>
    <row r="412" customHeight="1" spans="1:2">
      <c r="A412" s="81">
        <v>42781</v>
      </c>
      <c r="B412" s="82">
        <v>17.49</v>
      </c>
    </row>
    <row r="413" customHeight="1" spans="1:2">
      <c r="A413" s="81">
        <v>42782</v>
      </c>
      <c r="B413" s="82">
        <v>17.43</v>
      </c>
    </row>
    <row r="414" customHeight="1" spans="1:2">
      <c r="A414" s="81">
        <v>42783</v>
      </c>
      <c r="B414" s="82">
        <v>17.43</v>
      </c>
    </row>
    <row r="415" customHeight="1" spans="1:2">
      <c r="A415" s="81">
        <v>42786</v>
      </c>
      <c r="B415" s="82">
        <v>17.4</v>
      </c>
    </row>
    <row r="416" customHeight="1" spans="1:2">
      <c r="A416" s="81">
        <v>42787</v>
      </c>
      <c r="B416" s="82">
        <v>17.41</v>
      </c>
    </row>
    <row r="417" customHeight="1" spans="1:2">
      <c r="A417" s="81">
        <v>42788</v>
      </c>
      <c r="B417" s="82">
        <v>17.42</v>
      </c>
    </row>
    <row r="418" customHeight="1" spans="1:2">
      <c r="A418" s="81">
        <v>42789</v>
      </c>
      <c r="B418" s="82">
        <v>17.42</v>
      </c>
    </row>
    <row r="419" customHeight="1" spans="1:2">
      <c r="A419" s="81">
        <v>42790</v>
      </c>
      <c r="B419" s="82">
        <v>17.39</v>
      </c>
    </row>
    <row r="420" customHeight="1" spans="1:2">
      <c r="A420" s="81">
        <v>42793</v>
      </c>
      <c r="B420" s="82">
        <v>17.37</v>
      </c>
    </row>
    <row r="421" customHeight="1" spans="1:2">
      <c r="A421" s="81">
        <v>42794</v>
      </c>
      <c r="B421" s="82">
        <v>17.35</v>
      </c>
    </row>
    <row r="422" customHeight="1" spans="1:2">
      <c r="A422" s="81">
        <v>42795</v>
      </c>
      <c r="B422" s="82">
        <v>17.32</v>
      </c>
    </row>
    <row r="423" customHeight="1" spans="1:2">
      <c r="A423" s="81">
        <v>42796</v>
      </c>
      <c r="B423" s="82">
        <v>17.25</v>
      </c>
    </row>
    <row r="424" customHeight="1" spans="1:2">
      <c r="A424" s="81">
        <v>42797</v>
      </c>
      <c r="B424" s="82">
        <v>17.19</v>
      </c>
    </row>
    <row r="425" customHeight="1" spans="1:2">
      <c r="A425" s="81">
        <v>42800</v>
      </c>
      <c r="B425" s="82">
        <v>17.16</v>
      </c>
    </row>
    <row r="426" customHeight="1" spans="1:2">
      <c r="A426" s="81">
        <v>42801</v>
      </c>
      <c r="B426" s="82">
        <v>17.12</v>
      </c>
    </row>
    <row r="427" customHeight="1" spans="1:2">
      <c r="A427" s="81">
        <v>42802</v>
      </c>
      <c r="B427" s="82">
        <v>17.12</v>
      </c>
    </row>
    <row r="428" customHeight="1" spans="1:2">
      <c r="A428" s="81">
        <v>42803</v>
      </c>
      <c r="B428" s="82">
        <v>17.1</v>
      </c>
    </row>
    <row r="429" customHeight="1" spans="1:2">
      <c r="A429" s="81">
        <v>42804</v>
      </c>
      <c r="B429" s="82">
        <v>17.09</v>
      </c>
    </row>
    <row r="430" customHeight="1" spans="1:2">
      <c r="A430" s="81">
        <v>42807</v>
      </c>
      <c r="B430" s="82">
        <v>17.08</v>
      </c>
    </row>
    <row r="431" customHeight="1" spans="1:2">
      <c r="A431" s="81">
        <v>42808</v>
      </c>
      <c r="B431" s="82">
        <v>17.05</v>
      </c>
    </row>
    <row r="432" customHeight="1" spans="1:2">
      <c r="A432" s="81">
        <v>42809</v>
      </c>
      <c r="B432" s="82">
        <v>17.04</v>
      </c>
    </row>
    <row r="433" customHeight="1" spans="1:2">
      <c r="A433" s="81">
        <v>42810</v>
      </c>
      <c r="B433" s="82">
        <v>17.04</v>
      </c>
    </row>
    <row r="434" customHeight="1" spans="1:2">
      <c r="A434" s="81">
        <v>42811</v>
      </c>
      <c r="B434" s="82">
        <v>16.97</v>
      </c>
    </row>
    <row r="435" customHeight="1" spans="1:2">
      <c r="A435" s="81">
        <v>42814</v>
      </c>
      <c r="B435" s="82">
        <v>16.95</v>
      </c>
    </row>
    <row r="436" customHeight="1" spans="1:2">
      <c r="A436" s="81">
        <v>42815</v>
      </c>
      <c r="B436" s="82">
        <v>16.94</v>
      </c>
    </row>
    <row r="437" customHeight="1" spans="1:2">
      <c r="A437" s="81">
        <v>42816</v>
      </c>
      <c r="B437" s="82">
        <v>16.93</v>
      </c>
    </row>
    <row r="438" customHeight="1" spans="1:2">
      <c r="A438" s="81">
        <v>42817</v>
      </c>
      <c r="B438" s="82">
        <v>16.93</v>
      </c>
    </row>
    <row r="439" customHeight="1" spans="1:2">
      <c r="A439" s="81">
        <v>42818</v>
      </c>
      <c r="B439" s="82">
        <v>16.93</v>
      </c>
    </row>
    <row r="440" customHeight="1" spans="1:2">
      <c r="A440" s="81">
        <v>42821</v>
      </c>
      <c r="B440" s="82">
        <v>16.93</v>
      </c>
    </row>
    <row r="441" customHeight="1" spans="1:2">
      <c r="A441" s="81">
        <v>42822</v>
      </c>
      <c r="B441" s="82">
        <v>16.92</v>
      </c>
    </row>
    <row r="442" customHeight="1" spans="1:2">
      <c r="A442" s="81">
        <v>42823</v>
      </c>
      <c r="B442" s="82">
        <v>16.91</v>
      </c>
    </row>
    <row r="443" customHeight="1" spans="1:2">
      <c r="A443" s="81">
        <v>42824</v>
      </c>
      <c r="B443" s="82">
        <v>16.89</v>
      </c>
    </row>
    <row r="444" customHeight="1" spans="1:2">
      <c r="A444" s="81">
        <v>42825</v>
      </c>
      <c r="B444" s="82">
        <v>16.88</v>
      </c>
    </row>
    <row r="445" customHeight="1" spans="1:2">
      <c r="A445" s="81">
        <v>42826</v>
      </c>
      <c r="B445" s="82">
        <v>16.85</v>
      </c>
    </row>
    <row r="446" customHeight="1" spans="1:2">
      <c r="A446" s="81">
        <v>42830</v>
      </c>
      <c r="B446" s="82">
        <v>16.83</v>
      </c>
    </row>
    <row r="447" customHeight="1" spans="1:2">
      <c r="A447" s="81">
        <v>42831</v>
      </c>
      <c r="B447" s="82">
        <v>16.8</v>
      </c>
    </row>
    <row r="448" customHeight="1" spans="1:2">
      <c r="A448" s="81">
        <v>42832</v>
      </c>
      <c r="B448" s="82">
        <v>16.85</v>
      </c>
    </row>
    <row r="449" customHeight="1" spans="1:2">
      <c r="A449" s="81">
        <v>42835</v>
      </c>
      <c r="B449" s="82">
        <v>16.86</v>
      </c>
    </row>
    <row r="450" customHeight="1" spans="1:2">
      <c r="A450" s="81">
        <v>42836</v>
      </c>
      <c r="B450" s="82">
        <v>16.86</v>
      </c>
    </row>
    <row r="451" customHeight="1" spans="1:2">
      <c r="A451" s="81">
        <v>42837</v>
      </c>
      <c r="B451" s="82">
        <v>16.84</v>
      </c>
    </row>
    <row r="452" customHeight="1" spans="1:2">
      <c r="A452" s="81">
        <v>42838</v>
      </c>
      <c r="B452" s="82">
        <v>16.81</v>
      </c>
    </row>
    <row r="453" customHeight="1" spans="1:2">
      <c r="A453" s="81">
        <v>42839</v>
      </c>
      <c r="B453" s="82">
        <v>16.8</v>
      </c>
    </row>
    <row r="454" customHeight="1" spans="1:2">
      <c r="A454" s="81">
        <v>42842</v>
      </c>
      <c r="B454" s="82">
        <v>16.77</v>
      </c>
    </row>
    <row r="455" customHeight="1" spans="1:2">
      <c r="A455" s="81">
        <v>42843</v>
      </c>
      <c r="B455" s="82">
        <v>16.77</v>
      </c>
    </row>
    <row r="456" customHeight="1" spans="1:2">
      <c r="A456" s="81">
        <v>42844</v>
      </c>
      <c r="B456" s="82">
        <v>16.78</v>
      </c>
    </row>
    <row r="457" customHeight="1" spans="1:2">
      <c r="A457" s="81">
        <v>42845</v>
      </c>
      <c r="B457" s="82">
        <v>16.77</v>
      </c>
    </row>
    <row r="458" customHeight="1" spans="1:2">
      <c r="A458" s="81">
        <v>42846</v>
      </c>
      <c r="B458" s="82">
        <v>16.76</v>
      </c>
    </row>
    <row r="459" customHeight="1" spans="1:2">
      <c r="A459" s="81">
        <v>42849</v>
      </c>
      <c r="B459" s="82">
        <v>16.74</v>
      </c>
    </row>
    <row r="460" customHeight="1" spans="1:2">
      <c r="A460" s="81">
        <v>42850</v>
      </c>
      <c r="B460" s="82">
        <v>16.74</v>
      </c>
    </row>
    <row r="461" customHeight="1" spans="1:2">
      <c r="A461" s="81">
        <v>42851</v>
      </c>
      <c r="B461" s="82">
        <v>16.71</v>
      </c>
    </row>
    <row r="462" customHeight="1" spans="1:2">
      <c r="A462" s="81">
        <v>42852</v>
      </c>
      <c r="B462" s="82">
        <v>16.68</v>
      </c>
    </row>
    <row r="463" customHeight="1" spans="1:2">
      <c r="A463" s="81">
        <v>42853</v>
      </c>
      <c r="B463" s="82">
        <v>16.66</v>
      </c>
    </row>
    <row r="464" customHeight="1" spans="1:2">
      <c r="A464" s="81">
        <v>42857</v>
      </c>
      <c r="B464" s="82">
        <v>16.64</v>
      </c>
    </row>
    <row r="465" customHeight="1" spans="1:2">
      <c r="A465" s="81">
        <v>42858</v>
      </c>
      <c r="B465" s="82">
        <v>16.6</v>
      </c>
    </row>
    <row r="466" customHeight="1" spans="1:2">
      <c r="A466" s="81">
        <v>42859</v>
      </c>
      <c r="B466" s="82">
        <v>16.59</v>
      </c>
    </row>
    <row r="467" customHeight="1" spans="1:2">
      <c r="A467" s="81">
        <v>42860</v>
      </c>
      <c r="B467" s="82">
        <v>16.61</v>
      </c>
    </row>
    <row r="468" customHeight="1" spans="1:2">
      <c r="A468" s="81">
        <v>42863</v>
      </c>
      <c r="B468" s="82">
        <v>16.61</v>
      </c>
    </row>
    <row r="469" customHeight="1" spans="1:2">
      <c r="A469" s="81">
        <v>42864</v>
      </c>
      <c r="B469" s="82">
        <v>16.61</v>
      </c>
    </row>
    <row r="470" customHeight="1" spans="1:2">
      <c r="A470" s="81">
        <v>42865</v>
      </c>
      <c r="B470" s="82">
        <v>16.6</v>
      </c>
    </row>
    <row r="471" customHeight="1" spans="1:2">
      <c r="A471" s="81">
        <v>42866</v>
      </c>
      <c r="B471" s="82">
        <v>16.57</v>
      </c>
    </row>
    <row r="472" customHeight="1" spans="1:2">
      <c r="A472" s="81">
        <v>42867</v>
      </c>
      <c r="B472" s="82">
        <v>16.54</v>
      </c>
    </row>
    <row r="473" customHeight="1" spans="1:2">
      <c r="A473" s="81">
        <v>42870</v>
      </c>
      <c r="B473" s="82">
        <v>16.53</v>
      </c>
    </row>
    <row r="474" customHeight="1" spans="1:2">
      <c r="A474" s="81">
        <v>42871</v>
      </c>
      <c r="B474" s="82">
        <v>16.46</v>
      </c>
    </row>
    <row r="475" customHeight="1" spans="1:2">
      <c r="A475" s="81">
        <v>42872</v>
      </c>
      <c r="B475" s="82">
        <v>16.46</v>
      </c>
    </row>
    <row r="476" customHeight="1" spans="1:2">
      <c r="A476" s="81">
        <v>42873</v>
      </c>
      <c r="B476" s="82">
        <v>16.43</v>
      </c>
    </row>
    <row r="477" customHeight="1" spans="1:2">
      <c r="A477" s="81">
        <v>42874</v>
      </c>
      <c r="B477" s="82">
        <v>16.39</v>
      </c>
    </row>
    <row r="478" customHeight="1" spans="1:2">
      <c r="A478" s="81">
        <v>42877</v>
      </c>
      <c r="B478" s="82">
        <v>16.34</v>
      </c>
    </row>
    <row r="479" customHeight="1" spans="1:2">
      <c r="A479" s="81">
        <v>42878</v>
      </c>
      <c r="B479" s="82">
        <v>16.32</v>
      </c>
    </row>
    <row r="480" customHeight="1" spans="1:2">
      <c r="A480" s="81">
        <v>42879</v>
      </c>
      <c r="B480" s="82">
        <v>16.35</v>
      </c>
    </row>
    <row r="481" customHeight="1" spans="1:2">
      <c r="A481" s="81">
        <v>42880</v>
      </c>
      <c r="B481" s="82">
        <v>16.33</v>
      </c>
    </row>
    <row r="482" customHeight="1" spans="1:2">
      <c r="A482" s="81">
        <v>42881</v>
      </c>
      <c r="B482" s="82">
        <v>16.31</v>
      </c>
    </row>
    <row r="483" customHeight="1" spans="1:2">
      <c r="A483" s="81">
        <v>42882</v>
      </c>
      <c r="B483" s="82">
        <v>16.32</v>
      </c>
    </row>
    <row r="484" customHeight="1" spans="1:2">
      <c r="A484" s="81">
        <v>42886</v>
      </c>
      <c r="B484" s="82">
        <v>16.28</v>
      </c>
    </row>
    <row r="485" customHeight="1" spans="1:2">
      <c r="A485" s="81">
        <v>42887</v>
      </c>
      <c r="B485" s="82">
        <v>16.22</v>
      </c>
    </row>
    <row r="486" customHeight="1" spans="1:2">
      <c r="A486" s="81">
        <v>42888</v>
      </c>
      <c r="B486" s="82">
        <v>16.17</v>
      </c>
    </row>
    <row r="487" customHeight="1" spans="1:2">
      <c r="A487" s="81">
        <v>42891</v>
      </c>
      <c r="B487" s="82">
        <v>16.13</v>
      </c>
    </row>
    <row r="488" customHeight="1" spans="1:2">
      <c r="A488" s="81">
        <v>42892</v>
      </c>
      <c r="B488" s="82">
        <v>16.07</v>
      </c>
    </row>
    <row r="489" customHeight="1" spans="1:2">
      <c r="A489" s="81">
        <v>42893</v>
      </c>
      <c r="B489" s="82">
        <v>16</v>
      </c>
    </row>
    <row r="490" customHeight="1" spans="1:2">
      <c r="A490" s="81">
        <v>42894</v>
      </c>
      <c r="B490" s="82">
        <v>15.98</v>
      </c>
    </row>
    <row r="491" customHeight="1" spans="1:2">
      <c r="A491" s="81">
        <v>42895</v>
      </c>
      <c r="B491" s="82">
        <v>15.95</v>
      </c>
    </row>
    <row r="492" customHeight="1" spans="1:2">
      <c r="A492" s="81">
        <v>42898</v>
      </c>
      <c r="B492" s="82">
        <v>15.92</v>
      </c>
    </row>
    <row r="493" customHeight="1" spans="1:2">
      <c r="A493" s="81">
        <v>42899</v>
      </c>
      <c r="B493" s="82">
        <v>15.94</v>
      </c>
    </row>
    <row r="494" customHeight="1" spans="1:2">
      <c r="A494" s="81">
        <v>42900</v>
      </c>
      <c r="B494" s="82">
        <v>15.95</v>
      </c>
    </row>
    <row r="495" customHeight="1" spans="1:2">
      <c r="A495" s="81">
        <v>42901</v>
      </c>
      <c r="B495" s="82">
        <v>15.93</v>
      </c>
    </row>
    <row r="496" customHeight="1" spans="1:2">
      <c r="A496" s="81">
        <v>42902</v>
      </c>
      <c r="B496" s="82">
        <v>15.93</v>
      </c>
    </row>
    <row r="497" customHeight="1" spans="1:2">
      <c r="A497" s="81">
        <v>42905</v>
      </c>
      <c r="B497" s="82">
        <v>15.94</v>
      </c>
    </row>
    <row r="498" customHeight="1" spans="1:2">
      <c r="A498" s="81">
        <v>42906</v>
      </c>
      <c r="B498" s="82">
        <v>15.94</v>
      </c>
    </row>
    <row r="499" customHeight="1" spans="1:2">
      <c r="A499" s="81">
        <v>42907</v>
      </c>
      <c r="B499" s="82">
        <v>15.94</v>
      </c>
    </row>
    <row r="500" customHeight="1" spans="1:2">
      <c r="A500" s="81">
        <v>42908</v>
      </c>
      <c r="B500" s="82">
        <v>15.9</v>
      </c>
    </row>
    <row r="501" customHeight="1" spans="1:2">
      <c r="A501" s="81">
        <v>42909</v>
      </c>
      <c r="B501" s="82">
        <v>15.91</v>
      </c>
    </row>
    <row r="502" customHeight="1" spans="1:2">
      <c r="A502" s="81">
        <v>42912</v>
      </c>
      <c r="B502" s="82">
        <v>15.93</v>
      </c>
    </row>
    <row r="503" customHeight="1" spans="1:2">
      <c r="A503" s="81">
        <v>42913</v>
      </c>
      <c r="B503" s="82">
        <v>15.97</v>
      </c>
    </row>
    <row r="504" customHeight="1" spans="1:2">
      <c r="A504" s="81">
        <v>42914</v>
      </c>
      <c r="B504" s="82">
        <v>15.95</v>
      </c>
    </row>
    <row r="505" customHeight="1" spans="1:2">
      <c r="A505" s="81">
        <v>42915</v>
      </c>
      <c r="B505" s="82">
        <v>15.96</v>
      </c>
    </row>
    <row r="506" customHeight="1" spans="1:2">
      <c r="A506" s="81">
        <v>42916</v>
      </c>
      <c r="B506" s="82">
        <v>15.98</v>
      </c>
    </row>
    <row r="507" customHeight="1" spans="1:2">
      <c r="A507" s="81">
        <v>42919</v>
      </c>
      <c r="B507" s="82">
        <v>15.96</v>
      </c>
    </row>
    <row r="508" customHeight="1" spans="1:2">
      <c r="A508" s="81">
        <v>42920</v>
      </c>
      <c r="B508" s="82">
        <v>15.93</v>
      </c>
    </row>
    <row r="509" customHeight="1" spans="1:2">
      <c r="A509" s="81">
        <v>42921</v>
      </c>
      <c r="B509" s="82">
        <v>15.93</v>
      </c>
    </row>
    <row r="510" customHeight="1" spans="1:2">
      <c r="A510" s="81">
        <v>42922</v>
      </c>
      <c r="B510" s="82">
        <v>15.9</v>
      </c>
    </row>
    <row r="511" customHeight="1" spans="1:2">
      <c r="A511" s="81">
        <v>42923</v>
      </c>
      <c r="B511" s="82">
        <v>15.91</v>
      </c>
    </row>
    <row r="512" customHeight="1" spans="1:2">
      <c r="A512" s="81">
        <v>42926</v>
      </c>
      <c r="B512" s="82">
        <v>15.88</v>
      </c>
    </row>
    <row r="513" customHeight="1" spans="1:2">
      <c r="A513" s="81">
        <v>42927</v>
      </c>
      <c r="B513" s="82">
        <v>15.89</v>
      </c>
    </row>
    <row r="514" customHeight="1" spans="1:2">
      <c r="A514" s="81">
        <v>42928</v>
      </c>
      <c r="B514" s="82">
        <v>15.91</v>
      </c>
    </row>
    <row r="515" customHeight="1" spans="1:2">
      <c r="A515" s="81">
        <v>42929</v>
      </c>
      <c r="B515" s="82">
        <v>15.92</v>
      </c>
    </row>
    <row r="516" customHeight="1" spans="1:2">
      <c r="A516" s="81">
        <v>42930</v>
      </c>
      <c r="B516" s="82">
        <v>15.9</v>
      </c>
    </row>
    <row r="517" customHeight="1" spans="1:2">
      <c r="A517" s="81">
        <v>42933</v>
      </c>
      <c r="B517" s="82">
        <v>15.89</v>
      </c>
    </row>
    <row r="518" customHeight="1" spans="1:2">
      <c r="A518" s="81">
        <v>42934</v>
      </c>
      <c r="B518" s="82">
        <v>15.92</v>
      </c>
    </row>
    <row r="519" customHeight="1" spans="1:2">
      <c r="A519" s="81">
        <v>42935</v>
      </c>
      <c r="B519" s="82">
        <v>15.91</v>
      </c>
    </row>
    <row r="520" customHeight="1" spans="1:2">
      <c r="A520" s="81">
        <v>42936</v>
      </c>
      <c r="B520" s="82">
        <v>15.91</v>
      </c>
    </row>
    <row r="521" customHeight="1" spans="1:2">
      <c r="A521" s="81">
        <v>42937</v>
      </c>
      <c r="B521" s="82">
        <v>15.92</v>
      </c>
    </row>
    <row r="522" customHeight="1" spans="1:2">
      <c r="A522" s="81">
        <v>42940</v>
      </c>
      <c r="B522" s="82">
        <v>15.91</v>
      </c>
    </row>
    <row r="523" customHeight="1" spans="1:2">
      <c r="A523" s="81">
        <v>42941</v>
      </c>
      <c r="B523" s="82">
        <v>15.92</v>
      </c>
    </row>
    <row r="524" customHeight="1" spans="1:2">
      <c r="A524" s="81">
        <v>42942</v>
      </c>
      <c r="B524" s="82">
        <v>15.89</v>
      </c>
    </row>
    <row r="525" customHeight="1" spans="1:2">
      <c r="A525" s="81">
        <v>42943</v>
      </c>
      <c r="B525" s="82">
        <v>15.89</v>
      </c>
    </row>
    <row r="526" customHeight="1" spans="1:2">
      <c r="A526" s="81">
        <v>42944</v>
      </c>
      <c r="B526" s="82">
        <v>15.88</v>
      </c>
    </row>
    <row r="527" customHeight="1" spans="1:2">
      <c r="A527" s="81">
        <v>42947</v>
      </c>
      <c r="B527" s="82">
        <v>15.88</v>
      </c>
    </row>
    <row r="528" customHeight="1" spans="1:2">
      <c r="A528" s="81">
        <v>42948</v>
      </c>
      <c r="B528" s="82">
        <v>15.9</v>
      </c>
    </row>
    <row r="529" customHeight="1" spans="1:2">
      <c r="A529" s="81">
        <v>42949</v>
      </c>
      <c r="B529" s="82">
        <v>15.9</v>
      </c>
    </row>
    <row r="530" customHeight="1" spans="1:2">
      <c r="A530" s="81">
        <v>42950</v>
      </c>
      <c r="B530" s="82">
        <v>15.88</v>
      </c>
    </row>
    <row r="531" customHeight="1" spans="1:2">
      <c r="A531" s="81">
        <v>42951</v>
      </c>
      <c r="B531" s="82">
        <v>15.9</v>
      </c>
    </row>
    <row r="532" customHeight="1" spans="1:2">
      <c r="A532" s="81">
        <v>42954</v>
      </c>
      <c r="B532" s="82">
        <v>15.9</v>
      </c>
    </row>
    <row r="533" customHeight="1" spans="1:2">
      <c r="A533" s="81">
        <v>42955</v>
      </c>
      <c r="B533" s="82">
        <v>15.89</v>
      </c>
    </row>
    <row r="534" customHeight="1" spans="1:2">
      <c r="A534" s="81">
        <v>42956</v>
      </c>
      <c r="B534" s="82">
        <v>15.91</v>
      </c>
    </row>
    <row r="535" customHeight="1" spans="1:2">
      <c r="A535" s="81">
        <v>42957</v>
      </c>
      <c r="B535" s="82">
        <v>15.91</v>
      </c>
    </row>
    <row r="536" customHeight="1" spans="1:2">
      <c r="A536" s="81">
        <v>42958</v>
      </c>
      <c r="B536" s="82">
        <v>15.92</v>
      </c>
    </row>
    <row r="537" customHeight="1" spans="1:2">
      <c r="A537" s="81">
        <v>42961</v>
      </c>
      <c r="B537" s="82">
        <v>15.95</v>
      </c>
    </row>
    <row r="538" customHeight="1" spans="1:2">
      <c r="A538" s="81">
        <v>42962</v>
      </c>
      <c r="B538" s="82">
        <v>15.95</v>
      </c>
    </row>
    <row r="539" customHeight="1" spans="1:2">
      <c r="A539" s="81">
        <v>42963</v>
      </c>
      <c r="B539" s="82">
        <v>15.92</v>
      </c>
    </row>
    <row r="540" customHeight="1" spans="1:2">
      <c r="A540" s="81">
        <v>42964</v>
      </c>
      <c r="B540" s="82">
        <v>15.94</v>
      </c>
    </row>
    <row r="541" customHeight="1" spans="1:2">
      <c r="A541" s="81">
        <v>42965</v>
      </c>
      <c r="B541" s="82">
        <v>15.94</v>
      </c>
    </row>
    <row r="542" customHeight="1" spans="1:2">
      <c r="A542" s="81">
        <v>42968</v>
      </c>
      <c r="B542" s="82">
        <v>15.92</v>
      </c>
    </row>
    <row r="543" customHeight="1" spans="1:2">
      <c r="A543" s="81">
        <v>42969</v>
      </c>
      <c r="B543" s="82">
        <v>15.93</v>
      </c>
    </row>
    <row r="544" customHeight="1" spans="1:2">
      <c r="A544" s="81">
        <v>42970</v>
      </c>
      <c r="B544" s="82">
        <v>15.94</v>
      </c>
    </row>
    <row r="545" customHeight="1" spans="1:2">
      <c r="A545" s="81">
        <v>42971</v>
      </c>
      <c r="B545" s="82">
        <v>15.96</v>
      </c>
    </row>
    <row r="546" customHeight="1" spans="1:2">
      <c r="A546" s="81">
        <v>42972</v>
      </c>
      <c r="B546" s="82">
        <v>15.96</v>
      </c>
    </row>
    <row r="547" customHeight="1" spans="1:2">
      <c r="A547" s="81">
        <v>42975</v>
      </c>
      <c r="B547" s="82">
        <v>15.96</v>
      </c>
    </row>
    <row r="548" customHeight="1" spans="1:2">
      <c r="A548" s="81">
        <v>42976</v>
      </c>
      <c r="B548" s="82">
        <v>15.98</v>
      </c>
    </row>
    <row r="549" customHeight="1" spans="1:2">
      <c r="A549" s="81">
        <v>42977</v>
      </c>
      <c r="B549" s="82">
        <v>16.01</v>
      </c>
    </row>
    <row r="550" customHeight="1" spans="1:2">
      <c r="A550" s="81">
        <v>42978</v>
      </c>
      <c r="B550" s="82">
        <v>16</v>
      </c>
    </row>
    <row r="551" customHeight="1" spans="1:2">
      <c r="A551" s="81">
        <v>42979</v>
      </c>
      <c r="B551" s="82">
        <v>15.99</v>
      </c>
    </row>
    <row r="552" customHeight="1" spans="1:2">
      <c r="A552" s="81">
        <v>42982</v>
      </c>
      <c r="B552" s="82">
        <v>15.98</v>
      </c>
    </row>
    <row r="553" customHeight="1" spans="1:2">
      <c r="A553" s="81">
        <v>42983</v>
      </c>
      <c r="B553" s="82">
        <v>16</v>
      </c>
    </row>
    <row r="554" customHeight="1" spans="1:2">
      <c r="A554" s="81">
        <v>42984</v>
      </c>
      <c r="B554" s="82">
        <v>15.99</v>
      </c>
    </row>
    <row r="555" customHeight="1" spans="1:2">
      <c r="A555" s="81">
        <v>42985</v>
      </c>
      <c r="B555" s="82">
        <v>16</v>
      </c>
    </row>
    <row r="556" customHeight="1" spans="1:2">
      <c r="A556" s="81">
        <v>42986</v>
      </c>
      <c r="B556" s="82">
        <v>15.98</v>
      </c>
    </row>
    <row r="557" customHeight="1" spans="1:2">
      <c r="A557" s="81">
        <v>42989</v>
      </c>
      <c r="B557" s="82">
        <v>16.04</v>
      </c>
    </row>
    <row r="558" customHeight="1" spans="1:2">
      <c r="A558" s="81">
        <v>42990</v>
      </c>
      <c r="B558" s="82">
        <v>16.04</v>
      </c>
    </row>
    <row r="559" customHeight="1" spans="1:2">
      <c r="A559" s="81">
        <v>42991</v>
      </c>
      <c r="B559" s="82">
        <v>16.08</v>
      </c>
    </row>
    <row r="560" customHeight="1" spans="1:2">
      <c r="A560" s="81">
        <v>42992</v>
      </c>
      <c r="B560" s="82">
        <v>16.09</v>
      </c>
    </row>
    <row r="561" customHeight="1" spans="1:2">
      <c r="A561" s="81">
        <v>42993</v>
      </c>
      <c r="B561" s="82">
        <v>16.09</v>
      </c>
    </row>
    <row r="562" customHeight="1" spans="1:2">
      <c r="A562" s="81">
        <v>42996</v>
      </c>
      <c r="B562" s="82">
        <v>16.1</v>
      </c>
    </row>
    <row r="563" customHeight="1" spans="1:2">
      <c r="A563" s="81">
        <v>42997</v>
      </c>
      <c r="B563" s="82">
        <v>16.1</v>
      </c>
    </row>
    <row r="564" customHeight="1" spans="1:2">
      <c r="A564" s="81">
        <v>42998</v>
      </c>
      <c r="B564" s="82">
        <v>16.09</v>
      </c>
    </row>
    <row r="565" customHeight="1" spans="1:2">
      <c r="A565" s="81">
        <v>42999</v>
      </c>
      <c r="B565" s="82">
        <v>16.06</v>
      </c>
    </row>
    <row r="566" customHeight="1" spans="1:2">
      <c r="A566" s="81">
        <v>43000</v>
      </c>
      <c r="B566" s="82">
        <v>16.05</v>
      </c>
    </row>
    <row r="567" customHeight="1" spans="1:2">
      <c r="A567" s="81">
        <v>43003</v>
      </c>
      <c r="B567" s="82">
        <v>16.03</v>
      </c>
    </row>
    <row r="568" customHeight="1" spans="1:2">
      <c r="A568" s="81">
        <v>43004</v>
      </c>
      <c r="B568" s="82">
        <v>16.01</v>
      </c>
    </row>
    <row r="569" customHeight="1" spans="1:2">
      <c r="A569" s="81">
        <v>43005</v>
      </c>
      <c r="B569" s="82">
        <v>16</v>
      </c>
    </row>
    <row r="570" customHeight="1" spans="1:2">
      <c r="A570" s="81">
        <v>43006</v>
      </c>
      <c r="B570" s="82">
        <v>15.98</v>
      </c>
    </row>
    <row r="571" customHeight="1" spans="1:2">
      <c r="A571" s="81">
        <v>43007</v>
      </c>
      <c r="B571" s="82">
        <v>16</v>
      </c>
    </row>
    <row r="572" customHeight="1" spans="1:2">
      <c r="A572" s="81">
        <v>43008</v>
      </c>
      <c r="B572" s="82">
        <v>16.01</v>
      </c>
    </row>
    <row r="573" customHeight="1" spans="1:2">
      <c r="A573" s="81">
        <v>43017</v>
      </c>
      <c r="B573" s="82">
        <v>15.93</v>
      </c>
    </row>
    <row r="574" customHeight="1" spans="1:2">
      <c r="A574" s="81">
        <v>43018</v>
      </c>
      <c r="B574" s="82">
        <v>15.93</v>
      </c>
    </row>
    <row r="575" customHeight="1" spans="1:2">
      <c r="A575" s="81">
        <v>43019</v>
      </c>
      <c r="B575" s="82">
        <v>15.93</v>
      </c>
    </row>
    <row r="576" customHeight="1" spans="1:2">
      <c r="A576" s="81">
        <v>43020</v>
      </c>
      <c r="B576" s="82">
        <v>15.92</v>
      </c>
    </row>
    <row r="577" customHeight="1" spans="1:2">
      <c r="A577" s="81">
        <v>43021</v>
      </c>
      <c r="B577" s="82">
        <v>15.93</v>
      </c>
    </row>
    <row r="578" customHeight="1" spans="1:2">
      <c r="A578" s="81">
        <v>43024</v>
      </c>
      <c r="B578" s="82">
        <v>15.98</v>
      </c>
    </row>
    <row r="579" customHeight="1" spans="1:2">
      <c r="A579" s="81">
        <v>43025</v>
      </c>
      <c r="B579" s="82">
        <v>15.97</v>
      </c>
    </row>
    <row r="580" customHeight="1" spans="1:2">
      <c r="A580" s="81">
        <v>43026</v>
      </c>
      <c r="B580" s="82">
        <v>15.99</v>
      </c>
    </row>
    <row r="581" customHeight="1" spans="1:2">
      <c r="A581" s="81">
        <v>43027</v>
      </c>
      <c r="B581" s="82">
        <v>15.97</v>
      </c>
    </row>
    <row r="582" customHeight="1" spans="1:2">
      <c r="A582" s="81">
        <v>43028</v>
      </c>
      <c r="B582" s="82">
        <v>15.96</v>
      </c>
    </row>
    <row r="583" customHeight="1" spans="1:2">
      <c r="A583" s="81">
        <v>43031</v>
      </c>
      <c r="B583" s="82">
        <v>15.97</v>
      </c>
    </row>
    <row r="584" customHeight="1" spans="1:2">
      <c r="A584" s="81">
        <v>43032</v>
      </c>
      <c r="B584" s="82">
        <v>16</v>
      </c>
    </row>
    <row r="585" customHeight="1" spans="1:2">
      <c r="A585" s="81">
        <v>43033</v>
      </c>
      <c r="B585" s="82">
        <v>16</v>
      </c>
    </row>
    <row r="586" customHeight="1" spans="1:2">
      <c r="A586" s="81">
        <v>43034</v>
      </c>
      <c r="B586" s="82">
        <v>15.98</v>
      </c>
    </row>
    <row r="587" customHeight="1" spans="1:2">
      <c r="A587" s="81">
        <v>43035</v>
      </c>
      <c r="B587" s="82">
        <v>15.97</v>
      </c>
    </row>
    <row r="588" customHeight="1" spans="1:2">
      <c r="A588" s="81">
        <v>43038</v>
      </c>
      <c r="B588" s="82">
        <v>15.95</v>
      </c>
    </row>
    <row r="589" customHeight="1" spans="1:2">
      <c r="A589" s="81">
        <v>43039</v>
      </c>
      <c r="B589" s="82">
        <v>15.95</v>
      </c>
    </row>
    <row r="590" customHeight="1" spans="1:2">
      <c r="A590" s="81">
        <v>43040</v>
      </c>
      <c r="B590" s="82">
        <v>15.92</v>
      </c>
    </row>
    <row r="591" customHeight="1" spans="1:2">
      <c r="A591" s="81">
        <v>43041</v>
      </c>
      <c r="B591" s="82">
        <v>15.92</v>
      </c>
    </row>
    <row r="592" customHeight="1" spans="1:2">
      <c r="A592" s="81">
        <v>43042</v>
      </c>
      <c r="B592" s="82">
        <v>15.89</v>
      </c>
    </row>
    <row r="593" customHeight="1" spans="1:2">
      <c r="A593" s="81">
        <v>43045</v>
      </c>
      <c r="B593" s="82">
        <v>15.9</v>
      </c>
    </row>
    <row r="594" customHeight="1" spans="1:2">
      <c r="A594" s="81">
        <v>43046</v>
      </c>
      <c r="B594" s="82">
        <v>15.88</v>
      </c>
    </row>
    <row r="595" customHeight="1" spans="1:2">
      <c r="A595" s="81">
        <v>43047</v>
      </c>
      <c r="B595" s="82">
        <v>15.91</v>
      </c>
    </row>
    <row r="596" customHeight="1" spans="1:2">
      <c r="A596" s="81">
        <v>43048</v>
      </c>
      <c r="B596" s="82">
        <v>15.83</v>
      </c>
    </row>
    <row r="597" customHeight="1" spans="1:2">
      <c r="A597" s="81">
        <v>43049</v>
      </c>
      <c r="B597" s="82">
        <v>15.85</v>
      </c>
    </row>
    <row r="598" customHeight="1" spans="1:2">
      <c r="A598" s="81">
        <v>43052</v>
      </c>
      <c r="B598" s="82">
        <v>15.84</v>
      </c>
    </row>
    <row r="599" customHeight="1" spans="1:2">
      <c r="A599" s="81">
        <v>43053</v>
      </c>
      <c r="B599" s="82">
        <v>15.86</v>
      </c>
    </row>
    <row r="600" customHeight="1" spans="1:2">
      <c r="A600" s="81">
        <v>43054</v>
      </c>
      <c r="B600" s="82">
        <v>15.83</v>
      </c>
    </row>
    <row r="601" customHeight="1" spans="1:2">
      <c r="A601" s="81">
        <v>43055</v>
      </c>
      <c r="B601" s="82">
        <v>15.83</v>
      </c>
    </row>
    <row r="602" customHeight="1" spans="1:2">
      <c r="A602" s="81">
        <v>43056</v>
      </c>
      <c r="B602" s="82">
        <v>15.84</v>
      </c>
    </row>
    <row r="603" customHeight="1" spans="1:2">
      <c r="A603" s="81">
        <v>43059</v>
      </c>
      <c r="B603" s="82">
        <v>15.82</v>
      </c>
    </row>
    <row r="604" customHeight="1" spans="1:2">
      <c r="A604" s="81">
        <v>43060</v>
      </c>
      <c r="B604" s="82">
        <v>15.85</v>
      </c>
    </row>
    <row r="605" customHeight="1" spans="1:2">
      <c r="A605" s="81">
        <v>43061</v>
      </c>
      <c r="B605" s="82">
        <v>15.84</v>
      </c>
    </row>
    <row r="606" customHeight="1" spans="1:2">
      <c r="A606" s="81">
        <v>43062</v>
      </c>
      <c r="B606" s="82">
        <v>15.8</v>
      </c>
    </row>
    <row r="607" customHeight="1" spans="1:2">
      <c r="A607" s="81">
        <v>43063</v>
      </c>
      <c r="B607" s="82">
        <v>15.77</v>
      </c>
    </row>
    <row r="608" customHeight="1" spans="1:2">
      <c r="A608" s="81">
        <v>43066</v>
      </c>
      <c r="B608" s="82">
        <v>15.8</v>
      </c>
    </row>
    <row r="609" customHeight="1" spans="1:2">
      <c r="A609" s="81">
        <v>43067</v>
      </c>
      <c r="B609" s="82">
        <v>15.81</v>
      </c>
    </row>
    <row r="610" customHeight="1" spans="1:2">
      <c r="A610" s="81">
        <v>43068</v>
      </c>
      <c r="B610" s="82">
        <v>15.83</v>
      </c>
    </row>
    <row r="611" customHeight="1" spans="1:2">
      <c r="A611" s="81">
        <v>43069</v>
      </c>
      <c r="B611" s="82">
        <v>15.84</v>
      </c>
    </row>
    <row r="612" customHeight="1" spans="1:2">
      <c r="A612" s="81">
        <v>43070</v>
      </c>
      <c r="B612" s="82">
        <v>15.9</v>
      </c>
    </row>
    <row r="613" customHeight="1" spans="1:2">
      <c r="A613" s="81">
        <v>43073</v>
      </c>
      <c r="B613" s="82">
        <v>15.91</v>
      </c>
    </row>
    <row r="614" customHeight="1" spans="1:2">
      <c r="A614" s="81">
        <v>43074</v>
      </c>
      <c r="B614" s="82">
        <v>15.89</v>
      </c>
    </row>
    <row r="615" customHeight="1" spans="1:2">
      <c r="A615" s="81">
        <v>43075</v>
      </c>
      <c r="B615" s="82">
        <v>15.9</v>
      </c>
    </row>
    <row r="616" customHeight="1" spans="1:2">
      <c r="A616" s="81">
        <v>43076</v>
      </c>
      <c r="B616" s="82">
        <v>15.92</v>
      </c>
    </row>
    <row r="617" customHeight="1" spans="1:2">
      <c r="A617" s="81">
        <v>43077</v>
      </c>
      <c r="B617" s="82">
        <v>15.91</v>
      </c>
    </row>
    <row r="618" customHeight="1" spans="1:2">
      <c r="A618" s="81">
        <v>43080</v>
      </c>
      <c r="B618" s="82">
        <v>15.92</v>
      </c>
    </row>
    <row r="619" customHeight="1" spans="1:2">
      <c r="A619" s="81">
        <v>43081</v>
      </c>
      <c r="B619" s="82">
        <v>15.94</v>
      </c>
    </row>
    <row r="620" customHeight="1" spans="1:2">
      <c r="A620" s="81">
        <v>43082</v>
      </c>
      <c r="B620" s="82">
        <v>15.95</v>
      </c>
    </row>
    <row r="621" customHeight="1" spans="1:2">
      <c r="A621" s="81">
        <v>43083</v>
      </c>
      <c r="B621" s="82">
        <v>15.97</v>
      </c>
    </row>
    <row r="622" customHeight="1" spans="1:2">
      <c r="A622" s="81">
        <v>43084</v>
      </c>
      <c r="B622" s="82">
        <v>15.99</v>
      </c>
    </row>
    <row r="623" customHeight="1" spans="1:2">
      <c r="A623" s="81">
        <v>43087</v>
      </c>
      <c r="B623" s="82">
        <v>16.01</v>
      </c>
    </row>
    <row r="624" customHeight="1" spans="1:2">
      <c r="A624" s="81">
        <v>43088</v>
      </c>
      <c r="B624" s="82">
        <v>16.02</v>
      </c>
    </row>
    <row r="625" customHeight="1" spans="1:2">
      <c r="A625" s="81">
        <v>43089</v>
      </c>
      <c r="B625" s="82">
        <v>16.05</v>
      </c>
    </row>
    <row r="626" customHeight="1" spans="1:2">
      <c r="A626" s="81">
        <v>43090</v>
      </c>
      <c r="B626" s="82">
        <v>16.05</v>
      </c>
    </row>
    <row r="627" customHeight="1" spans="1:2">
      <c r="A627" s="81">
        <v>43091</v>
      </c>
      <c r="B627" s="82">
        <v>16.09</v>
      </c>
    </row>
    <row r="628" customHeight="1" spans="1:2">
      <c r="A628" s="81">
        <v>43094</v>
      </c>
      <c r="B628" s="82">
        <v>16.06</v>
      </c>
    </row>
    <row r="629" customHeight="1" spans="1:2">
      <c r="A629" s="81">
        <v>43095</v>
      </c>
      <c r="B629" s="82">
        <v>16.09</v>
      </c>
    </row>
    <row r="630" customHeight="1" spans="1:2">
      <c r="A630" s="81">
        <v>43096</v>
      </c>
      <c r="B630" s="82">
        <v>16.12</v>
      </c>
    </row>
    <row r="631" customHeight="1" spans="1:2">
      <c r="A631" s="81">
        <v>43097</v>
      </c>
      <c r="B631" s="82">
        <v>16.11</v>
      </c>
    </row>
    <row r="632" customHeight="1" spans="1:2">
      <c r="A632" s="81">
        <v>43098</v>
      </c>
      <c r="B632" s="82">
        <v>16.09</v>
      </c>
    </row>
    <row r="633" customHeight="1" spans="1:2">
      <c r="A633" s="81">
        <v>43102</v>
      </c>
      <c r="B633" s="82">
        <v>16.08</v>
      </c>
    </row>
    <row r="634" customHeight="1" spans="1:2">
      <c r="A634" s="81">
        <v>43103</v>
      </c>
      <c r="B634" s="82">
        <v>16.08</v>
      </c>
    </row>
    <row r="635" customHeight="1" spans="1:2">
      <c r="A635" s="81">
        <v>43104</v>
      </c>
      <c r="B635" s="82">
        <v>16.13</v>
      </c>
    </row>
    <row r="636" customHeight="1" spans="1:2">
      <c r="A636" s="81">
        <v>43105</v>
      </c>
      <c r="B636" s="82">
        <v>16.15</v>
      </c>
    </row>
    <row r="637" customHeight="1" spans="1:2">
      <c r="A637" s="81">
        <v>43108</v>
      </c>
      <c r="B637" s="82">
        <v>16.16</v>
      </c>
    </row>
    <row r="638" customHeight="1" spans="1:2">
      <c r="A638" s="81">
        <v>43109</v>
      </c>
      <c r="B638" s="82">
        <v>16.16</v>
      </c>
    </row>
    <row r="639" customHeight="1" spans="1:2">
      <c r="A639" s="81">
        <v>43110</v>
      </c>
      <c r="B639" s="82">
        <v>16.18</v>
      </c>
    </row>
    <row r="640" customHeight="1" spans="1:2">
      <c r="A640" s="81">
        <v>43111</v>
      </c>
      <c r="B640" s="82">
        <v>16.15</v>
      </c>
    </row>
    <row r="641" customHeight="1" spans="1:2">
      <c r="A641" s="81">
        <v>43112</v>
      </c>
      <c r="B641" s="82">
        <v>16.16</v>
      </c>
    </row>
    <row r="642" customHeight="1" spans="1:2">
      <c r="A642" s="81">
        <v>43115</v>
      </c>
      <c r="B642" s="82">
        <v>16.13</v>
      </c>
    </row>
    <row r="643" customHeight="1" spans="1:2">
      <c r="A643" s="81">
        <v>43116</v>
      </c>
      <c r="B643" s="82">
        <v>16.13</v>
      </c>
    </row>
    <row r="644" customHeight="1" spans="1:2">
      <c r="A644" s="81">
        <v>43117</v>
      </c>
      <c r="B644" s="82">
        <v>16.16</v>
      </c>
    </row>
    <row r="645" customHeight="1" spans="1:2">
      <c r="A645" s="81">
        <v>43118</v>
      </c>
      <c r="B645" s="82">
        <v>16.18</v>
      </c>
    </row>
    <row r="646" customHeight="1" spans="1:2">
      <c r="A646" s="81">
        <v>43119</v>
      </c>
      <c r="B646" s="82">
        <v>16.18</v>
      </c>
    </row>
    <row r="647" customHeight="1" spans="1:2">
      <c r="A647" s="81">
        <v>43122</v>
      </c>
      <c r="B647" s="82">
        <v>16.22</v>
      </c>
    </row>
    <row r="648" customHeight="1" spans="1:2">
      <c r="A648" s="81">
        <v>43123</v>
      </c>
      <c r="B648" s="82">
        <v>16.19</v>
      </c>
    </row>
    <row r="649" customHeight="1" spans="1:2">
      <c r="A649" s="81">
        <v>43124</v>
      </c>
      <c r="B649" s="82">
        <v>16.16</v>
      </c>
    </row>
    <row r="650" customHeight="1" spans="1:2">
      <c r="A650" s="81">
        <v>43125</v>
      </c>
      <c r="B650" s="82">
        <v>16.18</v>
      </c>
    </row>
    <row r="651" customHeight="1" spans="1:2">
      <c r="A651" s="81">
        <v>43126</v>
      </c>
      <c r="B651" s="82">
        <v>16.19</v>
      </c>
    </row>
    <row r="652" customHeight="1" spans="1:2">
      <c r="A652" s="81">
        <v>43129</v>
      </c>
      <c r="B652" s="82">
        <v>16.21</v>
      </c>
    </row>
    <row r="653" customHeight="1" spans="1:2">
      <c r="A653" s="81">
        <v>43130</v>
      </c>
      <c r="B653" s="82">
        <v>16.21</v>
      </c>
    </row>
    <row r="654" customHeight="1" spans="1:2">
      <c r="A654" s="81">
        <v>43131</v>
      </c>
      <c r="B654" s="82">
        <v>16.22</v>
      </c>
    </row>
    <row r="655" customHeight="1" spans="1:2">
      <c r="A655" s="81">
        <v>43132</v>
      </c>
      <c r="B655" s="82">
        <v>16.23</v>
      </c>
    </row>
    <row r="656" customHeight="1" spans="1:2">
      <c r="A656" s="81">
        <v>43133</v>
      </c>
      <c r="B656" s="82">
        <v>16.2</v>
      </c>
    </row>
    <row r="657" customHeight="1" spans="1:2">
      <c r="A657" s="81">
        <v>43136</v>
      </c>
      <c r="B657" s="82">
        <v>16.19</v>
      </c>
    </row>
    <row r="658" customHeight="1" spans="1:2">
      <c r="A658" s="81">
        <v>43137</v>
      </c>
      <c r="B658" s="82">
        <v>16.17</v>
      </c>
    </row>
    <row r="659" customHeight="1" spans="1:2">
      <c r="A659" s="81">
        <v>43138</v>
      </c>
      <c r="B659" s="82">
        <v>16.16</v>
      </c>
    </row>
    <row r="660" customHeight="1" spans="1:2">
      <c r="A660" s="81">
        <v>43139</v>
      </c>
      <c r="B660" s="82">
        <v>16.17</v>
      </c>
    </row>
    <row r="661" customHeight="1" spans="1:2">
      <c r="A661" s="81">
        <v>43140</v>
      </c>
      <c r="B661" s="82">
        <v>16.19</v>
      </c>
    </row>
    <row r="662" customHeight="1" spans="1:2">
      <c r="A662" s="81">
        <v>43142</v>
      </c>
      <c r="B662" s="82">
        <v>16.18</v>
      </c>
    </row>
    <row r="663" customHeight="1" spans="1:2">
      <c r="A663" s="81">
        <v>43143</v>
      </c>
      <c r="B663" s="82">
        <v>16.19</v>
      </c>
    </row>
    <row r="664" customHeight="1" spans="1:2">
      <c r="A664" s="81">
        <v>43144</v>
      </c>
      <c r="B664" s="82">
        <v>16.24</v>
      </c>
    </row>
    <row r="665" customHeight="1" spans="1:2">
      <c r="A665" s="81">
        <v>43145</v>
      </c>
      <c r="B665" s="82">
        <v>16.34</v>
      </c>
    </row>
    <row r="666" customHeight="1" spans="1:2">
      <c r="A666" s="81">
        <v>43153</v>
      </c>
      <c r="B666" s="82">
        <v>16.44</v>
      </c>
    </row>
    <row r="667" customHeight="1" spans="1:2">
      <c r="A667" s="81">
        <v>43154</v>
      </c>
      <c r="B667" s="82">
        <v>16.42</v>
      </c>
    </row>
    <row r="668" customHeight="1" spans="1:2">
      <c r="A668" s="81">
        <v>43155</v>
      </c>
      <c r="B668" s="82">
        <v>16.4</v>
      </c>
    </row>
    <row r="669" customHeight="1" spans="1:2">
      <c r="A669" s="81">
        <v>43157</v>
      </c>
      <c r="B669" s="82">
        <v>16.36</v>
      </c>
    </row>
    <row r="670" customHeight="1" spans="1:2">
      <c r="A670" s="81">
        <v>43158</v>
      </c>
      <c r="B670" s="82">
        <v>16.34</v>
      </c>
    </row>
    <row r="671" customHeight="1" spans="1:2">
      <c r="A671" s="81">
        <v>43159</v>
      </c>
      <c r="B671" s="82">
        <v>16.29</v>
      </c>
    </row>
    <row r="672" customHeight="1" spans="1:2">
      <c r="A672" s="81">
        <v>43160</v>
      </c>
      <c r="B672" s="82">
        <v>16.24</v>
      </c>
    </row>
    <row r="673" customHeight="1" spans="1:2">
      <c r="A673" s="81">
        <v>43161</v>
      </c>
      <c r="B673" s="82">
        <v>16.15</v>
      </c>
    </row>
    <row r="674" customHeight="1" spans="1:2">
      <c r="A674" s="81">
        <v>43164</v>
      </c>
      <c r="B674" s="82">
        <v>16.08</v>
      </c>
    </row>
    <row r="675" customHeight="1" spans="1:2">
      <c r="A675" s="81">
        <v>43165</v>
      </c>
      <c r="B675" s="82">
        <v>16.05</v>
      </c>
    </row>
    <row r="676" customHeight="1" spans="1:2">
      <c r="A676" s="81">
        <v>43166</v>
      </c>
      <c r="B676" s="82">
        <v>15.99</v>
      </c>
    </row>
    <row r="677" customHeight="1" spans="1:2">
      <c r="A677" s="81">
        <v>43167</v>
      </c>
      <c r="B677" s="82">
        <v>15.94</v>
      </c>
    </row>
    <row r="678" customHeight="1" spans="1:2">
      <c r="A678" s="81">
        <v>43168</v>
      </c>
      <c r="B678" s="82">
        <v>15.89</v>
      </c>
    </row>
    <row r="679" customHeight="1" spans="1:2">
      <c r="A679" s="81">
        <v>43171</v>
      </c>
      <c r="B679" s="82">
        <v>15.84</v>
      </c>
    </row>
    <row r="680" customHeight="1" spans="1:2">
      <c r="A680" s="81">
        <v>43172</v>
      </c>
      <c r="B680" s="82">
        <v>15.76</v>
      </c>
    </row>
    <row r="681" customHeight="1" spans="1:2">
      <c r="A681" s="81">
        <v>43173</v>
      </c>
      <c r="B681" s="82">
        <v>15.69</v>
      </c>
    </row>
    <row r="682" customHeight="1" spans="1:2">
      <c r="A682" s="81">
        <v>43174</v>
      </c>
      <c r="B682" s="82">
        <v>15.64</v>
      </c>
    </row>
    <row r="683" customHeight="1" spans="1:2">
      <c r="A683" s="81">
        <v>43175</v>
      </c>
      <c r="B683" s="82">
        <v>15.6</v>
      </c>
    </row>
    <row r="684" customHeight="1" spans="1:2">
      <c r="A684" s="81">
        <v>43178</v>
      </c>
      <c r="B684" s="82">
        <v>15.51</v>
      </c>
    </row>
    <row r="685" customHeight="1" spans="1:2">
      <c r="A685" s="81">
        <v>43179</v>
      </c>
      <c r="B685" s="82">
        <v>15.49</v>
      </c>
    </row>
    <row r="686" customHeight="1" spans="1:2">
      <c r="A686" s="81">
        <v>43180</v>
      </c>
      <c r="B686" s="82">
        <v>15.44</v>
      </c>
    </row>
    <row r="687" customHeight="1" spans="1:2">
      <c r="A687" s="81">
        <v>43181</v>
      </c>
      <c r="B687" s="82">
        <v>15.36</v>
      </c>
    </row>
    <row r="688" customHeight="1" spans="1:2">
      <c r="A688" s="81">
        <v>43182</v>
      </c>
      <c r="B688" s="82">
        <v>15.31</v>
      </c>
    </row>
    <row r="689" customHeight="1" spans="1:2">
      <c r="A689" s="81">
        <v>43185</v>
      </c>
      <c r="B689" s="82">
        <v>15.23</v>
      </c>
    </row>
    <row r="690" customHeight="1" spans="1:2">
      <c r="A690" s="81">
        <v>43186</v>
      </c>
      <c r="B690" s="82">
        <v>15.21</v>
      </c>
    </row>
    <row r="691" customHeight="1" spans="1:2">
      <c r="A691" s="81">
        <v>43187</v>
      </c>
      <c r="B691" s="82">
        <v>15.19</v>
      </c>
    </row>
    <row r="692" customHeight="1" spans="1:2">
      <c r="A692" s="81">
        <v>43188</v>
      </c>
      <c r="B692" s="82">
        <v>15.19</v>
      </c>
    </row>
    <row r="693" customHeight="1" spans="1:2">
      <c r="A693" s="81">
        <v>43189</v>
      </c>
      <c r="B693" s="82">
        <v>15.12</v>
      </c>
    </row>
    <row r="694" customHeight="1" spans="1:2">
      <c r="A694" s="81">
        <v>43192</v>
      </c>
      <c r="B694" s="82">
        <v>15.06</v>
      </c>
    </row>
    <row r="695" customHeight="1" spans="1:2">
      <c r="A695" s="81">
        <v>43193</v>
      </c>
      <c r="B695" s="82">
        <v>15.06</v>
      </c>
    </row>
    <row r="696" customHeight="1" spans="1:2">
      <c r="A696" s="81">
        <v>43194</v>
      </c>
      <c r="B696" s="82">
        <v>14.99</v>
      </c>
    </row>
    <row r="697" customHeight="1" spans="1:2">
      <c r="A697" s="81">
        <v>43198</v>
      </c>
      <c r="B697" s="82">
        <v>14.91</v>
      </c>
    </row>
    <row r="698" customHeight="1" spans="1:2">
      <c r="A698" s="81">
        <v>43199</v>
      </c>
      <c r="B698" s="82">
        <v>14.86</v>
      </c>
    </row>
    <row r="699" customHeight="1" spans="1:2">
      <c r="A699" s="81">
        <v>43200</v>
      </c>
      <c r="B699" s="82">
        <v>14.84</v>
      </c>
    </row>
    <row r="700" customHeight="1" spans="1:2">
      <c r="A700" s="81">
        <v>43201</v>
      </c>
      <c r="B700" s="82">
        <v>14.85</v>
      </c>
    </row>
    <row r="701" customHeight="1" spans="1:2">
      <c r="A701" s="81">
        <v>43202</v>
      </c>
      <c r="B701" s="82">
        <v>14.79</v>
      </c>
    </row>
    <row r="702" customHeight="1" spans="1:2">
      <c r="A702" s="81">
        <v>43203</v>
      </c>
      <c r="B702" s="82">
        <v>14.74</v>
      </c>
    </row>
    <row r="703" customHeight="1" spans="1:2">
      <c r="A703" s="81">
        <v>43206</v>
      </c>
      <c r="B703" s="82">
        <v>14.66</v>
      </c>
    </row>
    <row r="704" customHeight="1" spans="1:2">
      <c r="A704" s="81">
        <v>43207</v>
      </c>
      <c r="B704" s="82">
        <v>14.62</v>
      </c>
    </row>
    <row r="705" customHeight="1" spans="1:2">
      <c r="A705" s="81">
        <v>43208</v>
      </c>
      <c r="B705" s="82">
        <v>14.59</v>
      </c>
    </row>
    <row r="706" customHeight="1" spans="1:2">
      <c r="A706" s="81">
        <v>43209</v>
      </c>
      <c r="B706" s="82">
        <v>14.53</v>
      </c>
    </row>
    <row r="707" customHeight="1" spans="1:2">
      <c r="A707" s="81">
        <v>43210</v>
      </c>
      <c r="B707" s="82">
        <v>14.51</v>
      </c>
    </row>
    <row r="708" customHeight="1" spans="1:2">
      <c r="A708" s="81">
        <v>43213</v>
      </c>
      <c r="B708" s="82">
        <v>14.5</v>
      </c>
    </row>
    <row r="709" customHeight="1" spans="1:2">
      <c r="A709" s="81">
        <v>43214</v>
      </c>
      <c r="B709" s="82">
        <v>14.47</v>
      </c>
    </row>
    <row r="710" customHeight="1" spans="1:2">
      <c r="A710" s="81">
        <v>43215</v>
      </c>
      <c r="B710" s="82">
        <v>14.45</v>
      </c>
    </row>
    <row r="711" customHeight="1" spans="1:2">
      <c r="A711" s="81">
        <v>43216</v>
      </c>
      <c r="B711" s="82">
        <v>14.43</v>
      </c>
    </row>
    <row r="712" customHeight="1" spans="1:2">
      <c r="A712" s="81">
        <v>43217</v>
      </c>
      <c r="B712" s="82">
        <v>14.41</v>
      </c>
    </row>
    <row r="713" customHeight="1" spans="1:2">
      <c r="A713" s="81">
        <v>43218</v>
      </c>
      <c r="B713" s="82">
        <v>14.4</v>
      </c>
    </row>
    <row r="714" customHeight="1" spans="1:2">
      <c r="A714" s="81">
        <v>43222</v>
      </c>
      <c r="B714" s="82">
        <v>14.4</v>
      </c>
    </row>
    <row r="715" customHeight="1" spans="1:2">
      <c r="A715" s="81">
        <v>43223</v>
      </c>
      <c r="B715" s="82">
        <v>14.37</v>
      </c>
    </row>
    <row r="716" customHeight="1" spans="1:2">
      <c r="A716" s="81">
        <v>43224</v>
      </c>
      <c r="B716" s="82">
        <v>14.38</v>
      </c>
    </row>
    <row r="717" customHeight="1" spans="1:2">
      <c r="A717" s="81">
        <v>43227</v>
      </c>
      <c r="B717" s="82">
        <v>14.34</v>
      </c>
    </row>
    <row r="718" customHeight="1" spans="1:2">
      <c r="A718" s="81">
        <v>43228</v>
      </c>
      <c r="B718" s="82">
        <v>14.3</v>
      </c>
    </row>
    <row r="719" customHeight="1" spans="1:2">
      <c r="A719" s="81">
        <v>43229</v>
      </c>
      <c r="B719" s="82">
        <v>14.27</v>
      </c>
    </row>
    <row r="720" customHeight="1" spans="1:2">
      <c r="A720" s="81">
        <v>43230</v>
      </c>
      <c r="B720" s="82">
        <v>14.25</v>
      </c>
    </row>
    <row r="721" customHeight="1" spans="1:2">
      <c r="A721" s="81">
        <v>43231</v>
      </c>
      <c r="B721" s="82">
        <v>14.22</v>
      </c>
    </row>
    <row r="722" customHeight="1" spans="1:2">
      <c r="A722" s="81">
        <v>43234</v>
      </c>
      <c r="B722" s="82">
        <v>14.2</v>
      </c>
    </row>
    <row r="723" customHeight="1" spans="1:2">
      <c r="A723" s="81">
        <v>43235</v>
      </c>
      <c r="B723" s="82">
        <v>14.17</v>
      </c>
    </row>
    <row r="724" customHeight="1" spans="1:2">
      <c r="A724" s="81">
        <v>43236</v>
      </c>
      <c r="B724" s="82">
        <v>14.1</v>
      </c>
    </row>
    <row r="725" customHeight="1" spans="1:2">
      <c r="A725" s="81">
        <v>43237</v>
      </c>
      <c r="B725" s="82">
        <v>14.08</v>
      </c>
    </row>
    <row r="726" customHeight="1" spans="1:2">
      <c r="A726" s="81">
        <v>43238</v>
      </c>
      <c r="B726" s="82">
        <v>14.03</v>
      </c>
    </row>
    <row r="727" customHeight="1" spans="1:2">
      <c r="A727" s="81">
        <v>43241</v>
      </c>
      <c r="B727" s="82">
        <v>14.05</v>
      </c>
    </row>
    <row r="728" customHeight="1" spans="1:2">
      <c r="A728" s="81">
        <v>43242</v>
      </c>
      <c r="B728" s="82">
        <v>14.06</v>
      </c>
    </row>
    <row r="729" customHeight="1" spans="1:2">
      <c r="A729" s="81">
        <v>43243</v>
      </c>
      <c r="B729" s="82">
        <v>14.02</v>
      </c>
    </row>
    <row r="730" customHeight="1" spans="1:2">
      <c r="A730" s="81">
        <v>43244</v>
      </c>
      <c r="B730" s="82">
        <v>14.04</v>
      </c>
    </row>
    <row r="731" customHeight="1" spans="1:2">
      <c r="A731" s="81">
        <v>43245</v>
      </c>
      <c r="B731" s="82">
        <v>14.03</v>
      </c>
    </row>
    <row r="732" customHeight="1" spans="1:2">
      <c r="A732" s="81">
        <v>43248</v>
      </c>
      <c r="B732" s="82">
        <v>14.1</v>
      </c>
    </row>
    <row r="733" customHeight="1" spans="1:2">
      <c r="A733" s="81">
        <v>43249</v>
      </c>
      <c r="B733" s="82">
        <v>14.11</v>
      </c>
    </row>
    <row r="734" customHeight="1" spans="1:2">
      <c r="A734" s="81">
        <v>43250</v>
      </c>
      <c r="B734" s="82">
        <v>14.13</v>
      </c>
    </row>
    <row r="735" customHeight="1" spans="1:2">
      <c r="A735" s="81">
        <v>43251</v>
      </c>
      <c r="B735" s="82">
        <v>14.17</v>
      </c>
    </row>
    <row r="736" customHeight="1" spans="1:2">
      <c r="A736" s="81">
        <v>43252</v>
      </c>
      <c r="B736" s="82">
        <v>14.18</v>
      </c>
    </row>
    <row r="737" customHeight="1" spans="1:2">
      <c r="A737" s="81">
        <v>43255</v>
      </c>
      <c r="B737" s="82">
        <v>14.22</v>
      </c>
    </row>
    <row r="738" customHeight="1" spans="1:2">
      <c r="A738" s="81">
        <v>43256</v>
      </c>
      <c r="B738" s="82">
        <v>14.18</v>
      </c>
    </row>
    <row r="739" customHeight="1" spans="1:2">
      <c r="A739" s="81">
        <v>43257</v>
      </c>
      <c r="B739" s="82">
        <v>14.17</v>
      </c>
    </row>
    <row r="740" customHeight="1" spans="1:2">
      <c r="A740" s="81">
        <v>43258</v>
      </c>
      <c r="B740" s="82">
        <v>14.17</v>
      </c>
    </row>
    <row r="741" customHeight="1" spans="1:2">
      <c r="A741" s="81">
        <v>43259</v>
      </c>
      <c r="B741" s="82">
        <v>14.15</v>
      </c>
    </row>
    <row r="742" customHeight="1" spans="1:2">
      <c r="A742" s="81">
        <v>43262</v>
      </c>
      <c r="B742" s="82">
        <v>14.15</v>
      </c>
    </row>
    <row r="743" customHeight="1" spans="1:2">
      <c r="A743" s="81">
        <v>43263</v>
      </c>
      <c r="B743" s="82">
        <v>14.16</v>
      </c>
    </row>
    <row r="744" customHeight="1" spans="1:2">
      <c r="A744" s="81">
        <v>43264</v>
      </c>
      <c r="B744" s="82">
        <v>14.15</v>
      </c>
    </row>
    <row r="745" customHeight="1" spans="1:2">
      <c r="A745" s="81">
        <v>43265</v>
      </c>
      <c r="B745" s="82">
        <v>14.15</v>
      </c>
    </row>
    <row r="746" customHeight="1" spans="1:2">
      <c r="A746" s="81">
        <v>43266</v>
      </c>
      <c r="B746" s="82">
        <v>14.15</v>
      </c>
    </row>
    <row r="747" customHeight="1" spans="1:2">
      <c r="A747" s="81">
        <v>43270</v>
      </c>
      <c r="B747" s="82">
        <v>14.18</v>
      </c>
    </row>
    <row r="748" customHeight="1" spans="1:2">
      <c r="A748" s="81">
        <v>43271</v>
      </c>
      <c r="B748" s="82">
        <v>14.18</v>
      </c>
    </row>
    <row r="749" customHeight="1" spans="1:2">
      <c r="A749" s="81">
        <v>43272</v>
      </c>
      <c r="B749" s="82">
        <v>14.17</v>
      </c>
    </row>
    <row r="750" customHeight="1" spans="1:2">
      <c r="A750" s="81">
        <v>43273</v>
      </c>
      <c r="B750" s="82">
        <v>14.18</v>
      </c>
    </row>
    <row r="751" customHeight="1" spans="1:2">
      <c r="A751" s="81">
        <v>43276</v>
      </c>
      <c r="B751" s="82">
        <v>14.21</v>
      </c>
    </row>
    <row r="752" customHeight="1" spans="1:2">
      <c r="A752" s="81">
        <v>43277</v>
      </c>
      <c r="B752" s="82">
        <v>14.2</v>
      </c>
    </row>
    <row r="753" customHeight="1" spans="1:2">
      <c r="A753" s="81">
        <v>43278</v>
      </c>
      <c r="B753" s="82">
        <v>14.21</v>
      </c>
    </row>
    <row r="754" customHeight="1" spans="1:2">
      <c r="A754" s="81">
        <v>43279</v>
      </c>
      <c r="B754" s="82">
        <v>14.22</v>
      </c>
    </row>
    <row r="755" customHeight="1" spans="1:2">
      <c r="A755" s="81">
        <v>43280</v>
      </c>
      <c r="B755" s="82">
        <v>14.24</v>
      </c>
    </row>
    <row r="756" customHeight="1" spans="1:2">
      <c r="A756" s="81">
        <v>43283</v>
      </c>
      <c r="B756" s="82">
        <v>14.24</v>
      </c>
    </row>
    <row r="757" customHeight="1" spans="1:2">
      <c r="A757" s="81">
        <v>43284</v>
      </c>
      <c r="B757" s="82">
        <v>14.21</v>
      </c>
    </row>
    <row r="758" customHeight="1" spans="1:2">
      <c r="A758" s="81">
        <v>43285</v>
      </c>
      <c r="B758" s="82">
        <v>14.2</v>
      </c>
    </row>
    <row r="759" customHeight="1" spans="1:2">
      <c r="A759" s="81">
        <v>43286</v>
      </c>
      <c r="B759" s="82">
        <v>14.21</v>
      </c>
    </row>
    <row r="760" customHeight="1" spans="1:2">
      <c r="A760" s="81">
        <v>43287</v>
      </c>
      <c r="B760" s="82">
        <v>14.21</v>
      </c>
    </row>
    <row r="761" customHeight="1" spans="1:2">
      <c r="A761" s="81">
        <v>43290</v>
      </c>
      <c r="B761" s="82">
        <v>14.2</v>
      </c>
    </row>
    <row r="762" customHeight="1" spans="1:2">
      <c r="A762" s="81">
        <v>43291</v>
      </c>
      <c r="B762" s="82">
        <v>14.23</v>
      </c>
    </row>
    <row r="763" customHeight="1" spans="1:2">
      <c r="A763" s="81">
        <v>43292</v>
      </c>
      <c r="B763" s="82">
        <v>14.24</v>
      </c>
    </row>
    <row r="764" customHeight="1" spans="1:2">
      <c r="A764" s="81">
        <v>43293</v>
      </c>
      <c r="B764" s="82">
        <v>14.27</v>
      </c>
    </row>
    <row r="765" customHeight="1" spans="1:2">
      <c r="A765" s="81">
        <v>43294</v>
      </c>
      <c r="B765" s="82">
        <v>14.33</v>
      </c>
    </row>
    <row r="766" customHeight="1" spans="1:2">
      <c r="A766" s="81">
        <v>43297</v>
      </c>
      <c r="B766" s="82">
        <v>14.4</v>
      </c>
    </row>
    <row r="767" customHeight="1" spans="1:2">
      <c r="A767" s="81">
        <v>43298</v>
      </c>
      <c r="B767" s="82">
        <v>14.4</v>
      </c>
    </row>
    <row r="768" customHeight="1" spans="1:2">
      <c r="A768" s="81">
        <v>43299</v>
      </c>
      <c r="B768" s="82">
        <v>14.39</v>
      </c>
    </row>
    <row r="769" customHeight="1" spans="1:2">
      <c r="A769" s="81">
        <v>43300</v>
      </c>
      <c r="B769" s="82">
        <v>14.41</v>
      </c>
    </row>
    <row r="770" customHeight="1" spans="1:2">
      <c r="A770" s="81">
        <v>43301</v>
      </c>
      <c r="B770" s="82">
        <v>14.4</v>
      </c>
    </row>
    <row r="771" customHeight="1" spans="1:2">
      <c r="A771" s="81">
        <v>43304</v>
      </c>
      <c r="B771" s="82">
        <v>14.42</v>
      </c>
    </row>
    <row r="772" customHeight="1" spans="1:2">
      <c r="A772" s="81">
        <v>43305</v>
      </c>
      <c r="B772" s="82">
        <v>14.41</v>
      </c>
    </row>
    <row r="773" customHeight="1" spans="1:2">
      <c r="A773" s="81">
        <v>43306</v>
      </c>
      <c r="B773" s="82">
        <v>14.42</v>
      </c>
    </row>
    <row r="774" customHeight="1" spans="1:2">
      <c r="A774" s="81">
        <v>43307</v>
      </c>
      <c r="B774" s="82">
        <v>14.42</v>
      </c>
    </row>
    <row r="775" customHeight="1" spans="1:2">
      <c r="A775" s="81">
        <v>43308</v>
      </c>
      <c r="B775" s="82">
        <v>14.44</v>
      </c>
    </row>
    <row r="776" customHeight="1" spans="1:2">
      <c r="A776" s="81">
        <v>43311</v>
      </c>
      <c r="B776" s="82">
        <v>14.49</v>
      </c>
    </row>
    <row r="777" customHeight="1" spans="1:2">
      <c r="A777" s="81">
        <v>43312</v>
      </c>
      <c r="B777" s="82">
        <v>14.48</v>
      </c>
    </row>
    <row r="778" customHeight="1" spans="1:2">
      <c r="A778" s="81">
        <v>43313</v>
      </c>
      <c r="B778" s="82">
        <v>14.5</v>
      </c>
    </row>
    <row r="779" customHeight="1" spans="1:2">
      <c r="A779" s="81">
        <v>43314</v>
      </c>
      <c r="B779" s="82">
        <v>14.52</v>
      </c>
    </row>
    <row r="780" customHeight="1" spans="1:2">
      <c r="A780" s="81">
        <v>43315</v>
      </c>
      <c r="B780" s="82">
        <v>14.56</v>
      </c>
    </row>
    <row r="781" customHeight="1" spans="1:2">
      <c r="A781" s="81">
        <v>43318</v>
      </c>
      <c r="B781" s="82">
        <v>14.62</v>
      </c>
    </row>
    <row r="782" customHeight="1" spans="1:2">
      <c r="A782" s="81">
        <v>43319</v>
      </c>
      <c r="B782" s="82">
        <v>14.64</v>
      </c>
    </row>
    <row r="783" customHeight="1" spans="1:2">
      <c r="A783" s="81">
        <v>43320</v>
      </c>
      <c r="B783" s="82">
        <v>14.65</v>
      </c>
    </row>
    <row r="784" customHeight="1" spans="1:2">
      <c r="A784" s="81">
        <v>43321</v>
      </c>
      <c r="B784" s="82">
        <v>14.7</v>
      </c>
    </row>
    <row r="785" customHeight="1" spans="1:2">
      <c r="A785" s="81">
        <v>43322</v>
      </c>
      <c r="B785" s="82">
        <v>14.73</v>
      </c>
    </row>
    <row r="786" customHeight="1" spans="1:2">
      <c r="A786" s="81">
        <v>43325</v>
      </c>
      <c r="B786" s="82">
        <v>14.78</v>
      </c>
    </row>
    <row r="787" customHeight="1" spans="1:2">
      <c r="A787" s="81">
        <v>43326</v>
      </c>
      <c r="B787" s="82">
        <v>14.78</v>
      </c>
    </row>
    <row r="788" customHeight="1" spans="1:2">
      <c r="A788" s="81">
        <v>43327</v>
      </c>
      <c r="B788" s="82">
        <v>14.79</v>
      </c>
    </row>
    <row r="789" customHeight="1" spans="1:2">
      <c r="A789" s="81">
        <v>43328</v>
      </c>
      <c r="B789" s="82">
        <v>14.82</v>
      </c>
    </row>
    <row r="790" customHeight="1" spans="1:2">
      <c r="A790" s="81">
        <v>43329</v>
      </c>
      <c r="B790" s="82">
        <v>14.82</v>
      </c>
    </row>
    <row r="791" customHeight="1" spans="1:2">
      <c r="A791" s="81">
        <v>43332</v>
      </c>
      <c r="B791" s="82">
        <v>14.84</v>
      </c>
    </row>
    <row r="792" customHeight="1" spans="1:2">
      <c r="A792" s="81">
        <v>43333</v>
      </c>
      <c r="B792" s="82">
        <v>14.9</v>
      </c>
    </row>
    <row r="793" customHeight="1" spans="1:2">
      <c r="A793" s="81">
        <v>43334</v>
      </c>
      <c r="B793" s="82">
        <v>14.93</v>
      </c>
    </row>
    <row r="794" customHeight="1" spans="1:2">
      <c r="A794" s="81">
        <v>43335</v>
      </c>
      <c r="B794" s="82">
        <v>14.99</v>
      </c>
    </row>
    <row r="795" customHeight="1" spans="1:2">
      <c r="A795" s="81">
        <v>43336</v>
      </c>
      <c r="B795" s="82">
        <v>15.04</v>
      </c>
    </row>
    <row r="796" customHeight="1" spans="1:2">
      <c r="A796" s="81">
        <v>43339</v>
      </c>
      <c r="B796" s="82">
        <v>15.06</v>
      </c>
    </row>
    <row r="797" customHeight="1" spans="1:2">
      <c r="A797" s="81">
        <v>43340</v>
      </c>
      <c r="B797" s="82">
        <v>15.05</v>
      </c>
    </row>
    <row r="798" customHeight="1" spans="1:2">
      <c r="A798" s="81">
        <v>43341</v>
      </c>
      <c r="B798" s="82">
        <v>15.09</v>
      </c>
    </row>
    <row r="799" customHeight="1" spans="1:2">
      <c r="A799" s="81">
        <v>43342</v>
      </c>
      <c r="B799" s="82">
        <v>15.08</v>
      </c>
    </row>
    <row r="800" customHeight="1" spans="1:2">
      <c r="A800" s="81">
        <v>43343</v>
      </c>
      <c r="B800" s="82">
        <v>15.07</v>
      </c>
    </row>
    <row r="801" customHeight="1" spans="1:2">
      <c r="A801" s="81">
        <v>43346</v>
      </c>
      <c r="B801" s="82">
        <v>15.09</v>
      </c>
    </row>
    <row r="802" customHeight="1" spans="1:2">
      <c r="A802" s="81">
        <v>43347</v>
      </c>
      <c r="B802" s="82">
        <v>15.1</v>
      </c>
    </row>
    <row r="803" customHeight="1" spans="1:2">
      <c r="A803" s="81">
        <v>43348</v>
      </c>
      <c r="B803" s="82">
        <v>15.14</v>
      </c>
    </row>
    <row r="804" customHeight="1" spans="1:2">
      <c r="A804" s="81">
        <v>43349</v>
      </c>
      <c r="B804" s="82">
        <v>15.13</v>
      </c>
    </row>
    <row r="805" customHeight="1" spans="1:2">
      <c r="A805" s="81">
        <v>43350</v>
      </c>
      <c r="B805" s="82">
        <v>15.12</v>
      </c>
    </row>
    <row r="806" customHeight="1" spans="1:2">
      <c r="A806" s="81">
        <v>43353</v>
      </c>
      <c r="B806" s="82">
        <v>15.12</v>
      </c>
    </row>
    <row r="807" customHeight="1" spans="1:2">
      <c r="A807" s="81">
        <v>43354</v>
      </c>
      <c r="B807" s="82">
        <v>15.15</v>
      </c>
    </row>
    <row r="808" customHeight="1" spans="1:2">
      <c r="A808" s="81">
        <v>43355</v>
      </c>
      <c r="B808" s="82">
        <v>15.17</v>
      </c>
    </row>
    <row r="809" customHeight="1" spans="1:2">
      <c r="A809" s="81">
        <v>43356</v>
      </c>
      <c r="B809" s="82">
        <v>15.17</v>
      </c>
    </row>
    <row r="810" customHeight="1" spans="1:2">
      <c r="A810" s="81">
        <v>43357</v>
      </c>
      <c r="B810" s="82">
        <v>15.21</v>
      </c>
    </row>
    <row r="811" customHeight="1" spans="1:2">
      <c r="A811" s="81">
        <v>43360</v>
      </c>
      <c r="B811" s="82">
        <v>15.31</v>
      </c>
    </row>
    <row r="812" customHeight="1" spans="1:2">
      <c r="A812" s="81">
        <v>43361</v>
      </c>
      <c r="B812" s="82">
        <v>15.33</v>
      </c>
    </row>
    <row r="813" customHeight="1" spans="1:2">
      <c r="A813" s="81">
        <v>43362</v>
      </c>
      <c r="B813" s="82">
        <v>15.39</v>
      </c>
    </row>
    <row r="814" customHeight="1" spans="1:2">
      <c r="A814" s="81">
        <v>43363</v>
      </c>
      <c r="B814" s="82">
        <v>15.39</v>
      </c>
    </row>
    <row r="815" customHeight="1" spans="1:2">
      <c r="A815" s="81">
        <v>43364</v>
      </c>
      <c r="B815" s="82">
        <v>15.35</v>
      </c>
    </row>
    <row r="816" customHeight="1" spans="1:2">
      <c r="A816" s="81">
        <v>43368</v>
      </c>
      <c r="B816" s="82">
        <v>15.43</v>
      </c>
    </row>
    <row r="817" customHeight="1" spans="1:2">
      <c r="A817" s="81">
        <v>43369</v>
      </c>
      <c r="B817" s="82">
        <v>15.36</v>
      </c>
    </row>
    <row r="818" customHeight="1" spans="1:2">
      <c r="A818" s="81">
        <v>43370</v>
      </c>
      <c r="B818" s="82">
        <v>15.4</v>
      </c>
    </row>
    <row r="819" customHeight="1" spans="1:2">
      <c r="A819" s="81">
        <v>43371</v>
      </c>
      <c r="B819" s="82">
        <v>15.42</v>
      </c>
    </row>
    <row r="820" customHeight="1" spans="1:2">
      <c r="A820" s="81">
        <v>43372</v>
      </c>
      <c r="B820" s="82">
        <v>15.47</v>
      </c>
    </row>
    <row r="821" customHeight="1" spans="1:2">
      <c r="A821" s="81">
        <v>43373</v>
      </c>
      <c r="B821" s="82">
        <v>15.51</v>
      </c>
    </row>
    <row r="822" customHeight="1" spans="1:2">
      <c r="A822" s="81">
        <v>43381</v>
      </c>
      <c r="B822" s="82">
        <v>15.55</v>
      </c>
    </row>
    <row r="823" customHeight="1" spans="1:2">
      <c r="A823" s="81">
        <v>43382</v>
      </c>
      <c r="B823" s="82">
        <v>15.53</v>
      </c>
    </row>
    <row r="824" customHeight="1" spans="1:2">
      <c r="A824" s="81">
        <v>43383</v>
      </c>
      <c r="B824" s="82">
        <v>15.53</v>
      </c>
    </row>
    <row r="825" customHeight="1" spans="1:2">
      <c r="A825" s="81">
        <v>43384</v>
      </c>
      <c r="B825" s="82">
        <v>15.54</v>
      </c>
    </row>
    <row r="826" customHeight="1" spans="1:2">
      <c r="A826" s="81">
        <v>43385</v>
      </c>
      <c r="B826" s="82">
        <v>15.56</v>
      </c>
    </row>
    <row r="827" customHeight="1" spans="1:2">
      <c r="A827" s="81">
        <v>43388</v>
      </c>
      <c r="B827" s="82">
        <v>15.63</v>
      </c>
    </row>
    <row r="828" customHeight="1" spans="1:2">
      <c r="A828" s="81">
        <v>43389</v>
      </c>
      <c r="B828" s="82">
        <v>15.6</v>
      </c>
    </row>
    <row r="829" customHeight="1" spans="1:2">
      <c r="A829" s="81">
        <v>43390</v>
      </c>
      <c r="B829" s="82">
        <v>15.59</v>
      </c>
    </row>
    <row r="830" customHeight="1" spans="1:2">
      <c r="A830" s="81">
        <v>43391</v>
      </c>
      <c r="B830" s="82">
        <v>15.6</v>
      </c>
    </row>
    <row r="831" customHeight="1" spans="1:2">
      <c r="A831" s="81">
        <v>43392</v>
      </c>
      <c r="B831" s="82">
        <v>15.59</v>
      </c>
    </row>
    <row r="832" customHeight="1" spans="1:2">
      <c r="A832" s="81">
        <v>43395</v>
      </c>
      <c r="B832" s="82">
        <v>15.57</v>
      </c>
    </row>
    <row r="833" customHeight="1" spans="1:2">
      <c r="A833" s="81">
        <v>43396</v>
      </c>
      <c r="B833" s="82">
        <v>15.55</v>
      </c>
    </row>
    <row r="834" customHeight="1" spans="1:2">
      <c r="A834" s="81">
        <v>43397</v>
      </c>
      <c r="B834" s="82">
        <v>15.53</v>
      </c>
    </row>
    <row r="835" customHeight="1" spans="1:2">
      <c r="A835" s="81">
        <v>43398</v>
      </c>
      <c r="B835" s="82">
        <v>15.58</v>
      </c>
    </row>
    <row r="836" customHeight="1" spans="1:2">
      <c r="A836" s="81">
        <v>43399</v>
      </c>
      <c r="B836" s="82">
        <v>15.62</v>
      </c>
    </row>
    <row r="837" customHeight="1" spans="1:2">
      <c r="A837" s="81">
        <v>43402</v>
      </c>
      <c r="B837" s="82">
        <v>15.66</v>
      </c>
    </row>
    <row r="838" customHeight="1" spans="1:2">
      <c r="A838" s="81">
        <v>43403</v>
      </c>
      <c r="B838" s="82">
        <v>15.67</v>
      </c>
    </row>
    <row r="839" customHeight="1" spans="1:2">
      <c r="A839" s="81">
        <v>43404</v>
      </c>
      <c r="B839" s="82">
        <v>15.69</v>
      </c>
    </row>
    <row r="840" customHeight="1" spans="1:2">
      <c r="A840" s="81">
        <v>43405</v>
      </c>
      <c r="B840" s="82">
        <v>15.68</v>
      </c>
    </row>
    <row r="841" customHeight="1" spans="1:2">
      <c r="A841" s="81">
        <v>43406</v>
      </c>
      <c r="B841" s="82">
        <v>15.7</v>
      </c>
    </row>
    <row r="842" customHeight="1" spans="1:2">
      <c r="A842" s="81">
        <v>43409</v>
      </c>
      <c r="B842" s="82">
        <v>15.71</v>
      </c>
    </row>
    <row r="843" customHeight="1" spans="1:2">
      <c r="A843" s="81">
        <v>43410</v>
      </c>
      <c r="B843" s="82">
        <v>15.65</v>
      </c>
    </row>
    <row r="844" customHeight="1" spans="1:2">
      <c r="A844" s="81">
        <v>43411</v>
      </c>
      <c r="B844" s="82">
        <v>15.64</v>
      </c>
    </row>
    <row r="845" customHeight="1" spans="1:2">
      <c r="A845" s="81">
        <v>43412</v>
      </c>
      <c r="B845" s="82">
        <v>15.63</v>
      </c>
    </row>
    <row r="846" customHeight="1" spans="1:2">
      <c r="A846" s="81">
        <v>43413</v>
      </c>
      <c r="B846" s="82">
        <v>15.57</v>
      </c>
    </row>
    <row r="847" customHeight="1" spans="1:2">
      <c r="A847" s="81">
        <v>43416</v>
      </c>
      <c r="B847" s="82">
        <v>15.55</v>
      </c>
    </row>
    <row r="848" customHeight="1" spans="1:2">
      <c r="A848" s="81">
        <v>43417</v>
      </c>
      <c r="B848" s="82">
        <v>15.55</v>
      </c>
    </row>
    <row r="849" customHeight="1" spans="1:2">
      <c r="A849" s="81">
        <v>43418</v>
      </c>
      <c r="B849" s="82">
        <v>15.56</v>
      </c>
    </row>
    <row r="850" customHeight="1" spans="1:2">
      <c r="A850" s="81">
        <v>43419</v>
      </c>
      <c r="B850" s="82">
        <v>15.57</v>
      </c>
    </row>
    <row r="851" customHeight="1" spans="1:2">
      <c r="A851" s="81">
        <v>43420</v>
      </c>
      <c r="B851" s="82">
        <v>15.57</v>
      </c>
    </row>
    <row r="852" customHeight="1" spans="1:2">
      <c r="A852" s="81">
        <v>43423</v>
      </c>
      <c r="B852" s="82">
        <v>15.58</v>
      </c>
    </row>
    <row r="853" customHeight="1" spans="1:2">
      <c r="A853" s="81">
        <v>43424</v>
      </c>
      <c r="B853" s="82">
        <v>15.58</v>
      </c>
    </row>
    <row r="854" customHeight="1" spans="1:2">
      <c r="A854" s="81">
        <v>43425</v>
      </c>
      <c r="B854" s="82">
        <v>15.56</v>
      </c>
    </row>
    <row r="855" customHeight="1" spans="1:2">
      <c r="A855" s="81">
        <v>43426</v>
      </c>
      <c r="B855" s="82">
        <v>15.56</v>
      </c>
    </row>
    <row r="856" customHeight="1" spans="1:2">
      <c r="A856" s="81">
        <v>43427</v>
      </c>
      <c r="B856" s="82">
        <v>15.56</v>
      </c>
    </row>
    <row r="857" customHeight="1" spans="1:2">
      <c r="A857" s="81">
        <v>43430</v>
      </c>
      <c r="B857" s="82">
        <v>15.55</v>
      </c>
    </row>
    <row r="858" customHeight="1" spans="1:2">
      <c r="A858" s="81">
        <v>43431</v>
      </c>
      <c r="B858" s="82">
        <v>15.54</v>
      </c>
    </row>
    <row r="859" customHeight="1" spans="1:2">
      <c r="A859" s="81">
        <v>43432</v>
      </c>
      <c r="B859" s="82">
        <v>15.51</v>
      </c>
    </row>
    <row r="860" customHeight="1" spans="1:2">
      <c r="A860" s="81">
        <v>43433</v>
      </c>
      <c r="B860" s="82">
        <v>15.49</v>
      </c>
    </row>
    <row r="861" customHeight="1" spans="1:2">
      <c r="A861" s="81">
        <v>43434</v>
      </c>
      <c r="B861" s="82">
        <v>15.49</v>
      </c>
    </row>
    <row r="862" customHeight="1" spans="1:2">
      <c r="A862" s="81">
        <v>43437</v>
      </c>
      <c r="B862" s="82">
        <v>15.51</v>
      </c>
    </row>
    <row r="863" customHeight="1" spans="1:2">
      <c r="A863" s="81">
        <v>43438</v>
      </c>
      <c r="B863" s="82">
        <v>15.56</v>
      </c>
    </row>
    <row r="864" customHeight="1" spans="1:2">
      <c r="A864" s="81">
        <v>43439</v>
      </c>
      <c r="B864" s="82">
        <v>15.59</v>
      </c>
    </row>
    <row r="865" customHeight="1" spans="1:2">
      <c r="A865" s="81">
        <v>43440</v>
      </c>
      <c r="B865" s="82">
        <v>15.62</v>
      </c>
    </row>
    <row r="866" customHeight="1" spans="1:2">
      <c r="A866" s="81">
        <v>43441</v>
      </c>
      <c r="B866" s="82">
        <v>15.65</v>
      </c>
    </row>
    <row r="867" customHeight="1" spans="1:2">
      <c r="A867" s="81">
        <v>43444</v>
      </c>
      <c r="B867" s="82">
        <v>15.66</v>
      </c>
    </row>
    <row r="868" customHeight="1" spans="1:2">
      <c r="A868" s="81">
        <v>43445</v>
      </c>
      <c r="B868" s="82">
        <v>15.63</v>
      </c>
    </row>
    <row r="869" customHeight="1" spans="1:2">
      <c r="A869" s="81">
        <v>43446</v>
      </c>
      <c r="B869" s="82">
        <v>15.57</v>
      </c>
    </row>
    <row r="870" customHeight="1" spans="1:2">
      <c r="A870" s="81">
        <v>43447</v>
      </c>
      <c r="B870" s="82">
        <v>15.63</v>
      </c>
    </row>
    <row r="871" customHeight="1" spans="1:2">
      <c r="A871" s="81">
        <v>43448</v>
      </c>
      <c r="B871" s="82">
        <v>15.67</v>
      </c>
    </row>
    <row r="872" customHeight="1" spans="1:2">
      <c r="A872" s="81">
        <v>43451</v>
      </c>
      <c r="B872" s="82">
        <v>15.69</v>
      </c>
    </row>
    <row r="873" customHeight="1" spans="1:2">
      <c r="A873" s="81">
        <v>43452</v>
      </c>
      <c r="B873" s="82">
        <v>15.7</v>
      </c>
    </row>
    <row r="874" customHeight="1" spans="1:2">
      <c r="A874" s="81">
        <v>43453</v>
      </c>
      <c r="B874" s="82">
        <v>15.71</v>
      </c>
    </row>
    <row r="875" customHeight="1" spans="1:2">
      <c r="A875" s="81">
        <v>43454</v>
      </c>
      <c r="B875" s="82">
        <v>15.71</v>
      </c>
    </row>
    <row r="876" customHeight="1" spans="1:2">
      <c r="A876" s="81">
        <v>43455</v>
      </c>
      <c r="B876" s="82">
        <v>15.67</v>
      </c>
    </row>
    <row r="877" customHeight="1" spans="1:2">
      <c r="A877" s="81">
        <v>43458</v>
      </c>
      <c r="B877" s="82">
        <v>15.67</v>
      </c>
    </row>
    <row r="878" customHeight="1" spans="1:2">
      <c r="A878" s="81">
        <v>43459</v>
      </c>
      <c r="B878" s="82">
        <v>15.69</v>
      </c>
    </row>
    <row r="879" customHeight="1" spans="1:2">
      <c r="A879" s="81">
        <v>43460</v>
      </c>
      <c r="B879" s="82">
        <v>15.76</v>
      </c>
    </row>
    <row r="880" customHeight="1" spans="1:2">
      <c r="A880" s="81">
        <v>43461</v>
      </c>
      <c r="B880" s="82">
        <v>15.85</v>
      </c>
    </row>
    <row r="881" customHeight="1" spans="1:2">
      <c r="A881" s="81">
        <v>43462</v>
      </c>
      <c r="B881" s="82">
        <v>15.91</v>
      </c>
    </row>
    <row r="882" customHeight="1" spans="1:2">
      <c r="A882" s="81">
        <v>43463</v>
      </c>
      <c r="B882" s="82">
        <v>15.89</v>
      </c>
    </row>
    <row r="883" customHeight="1" spans="1:2">
      <c r="A883" s="81">
        <v>43467</v>
      </c>
      <c r="B883" s="82">
        <v>15.76</v>
      </c>
    </row>
    <row r="884" customHeight="1" spans="1:2">
      <c r="A884" s="81">
        <v>43468</v>
      </c>
      <c r="B884" s="82">
        <v>15.71</v>
      </c>
    </row>
    <row r="885" customHeight="1" spans="1:2">
      <c r="A885" s="81">
        <v>43469</v>
      </c>
      <c r="B885" s="82">
        <v>15.74</v>
      </c>
    </row>
    <row r="886" customHeight="1" spans="1:2">
      <c r="A886" s="81">
        <v>43472</v>
      </c>
      <c r="B886" s="82">
        <v>15.73</v>
      </c>
    </row>
    <row r="887" customHeight="1" spans="1:2">
      <c r="A887" s="81">
        <v>43473</v>
      </c>
      <c r="B887" s="82">
        <v>15.7</v>
      </c>
    </row>
    <row r="888" customHeight="1" spans="1:2">
      <c r="A888" s="81">
        <v>43474</v>
      </c>
      <c r="B888" s="82">
        <v>15.72</v>
      </c>
    </row>
    <row r="889" customHeight="1" spans="1:2">
      <c r="A889" s="81">
        <v>43475</v>
      </c>
      <c r="B889" s="82">
        <v>15.72</v>
      </c>
    </row>
    <row r="890" customHeight="1" spans="1:2">
      <c r="A890" s="81">
        <v>43476</v>
      </c>
      <c r="B890" s="82">
        <v>15.73</v>
      </c>
    </row>
    <row r="891" customHeight="1" spans="1:2">
      <c r="A891" s="81">
        <v>43479</v>
      </c>
      <c r="B891" s="82">
        <v>15.71</v>
      </c>
    </row>
    <row r="892" customHeight="1" spans="1:2">
      <c r="A892" s="81">
        <v>43480</v>
      </c>
      <c r="B892" s="82">
        <v>15.69</v>
      </c>
    </row>
    <row r="893" customHeight="1" spans="1:2">
      <c r="A893" s="81">
        <v>43481</v>
      </c>
      <c r="B893" s="82">
        <v>15.66</v>
      </c>
    </row>
    <row r="894" customHeight="1" spans="1:2">
      <c r="A894" s="81">
        <v>43482</v>
      </c>
      <c r="B894" s="82">
        <v>15.64</v>
      </c>
    </row>
    <row r="895" customHeight="1" spans="1:2">
      <c r="A895" s="81">
        <v>43483</v>
      </c>
      <c r="B895" s="82">
        <v>15.64</v>
      </c>
    </row>
    <row r="896" customHeight="1" spans="1:2">
      <c r="A896" s="81">
        <v>43486</v>
      </c>
      <c r="B896" s="82">
        <v>15.65</v>
      </c>
    </row>
    <row r="897" customHeight="1" spans="1:2">
      <c r="A897" s="81">
        <v>43487</v>
      </c>
      <c r="B897" s="82">
        <v>15.66</v>
      </c>
    </row>
    <row r="898" customHeight="1" spans="1:2">
      <c r="A898" s="81">
        <v>43488</v>
      </c>
      <c r="B898" s="82">
        <v>15.64</v>
      </c>
    </row>
    <row r="899" customHeight="1" spans="1:2">
      <c r="A899" s="81">
        <v>43489</v>
      </c>
      <c r="B899" s="82">
        <v>15.61</v>
      </c>
    </row>
    <row r="900" customHeight="1" spans="1:2">
      <c r="A900" s="81">
        <v>43490</v>
      </c>
      <c r="B900" s="82">
        <v>15.58</v>
      </c>
    </row>
    <row r="901" customHeight="1" spans="1:2">
      <c r="A901" s="81">
        <v>43493</v>
      </c>
      <c r="B901" s="82">
        <v>15.59</v>
      </c>
    </row>
    <row r="902" customHeight="1" spans="1:2">
      <c r="A902" s="81">
        <v>43494</v>
      </c>
      <c r="B902" s="82">
        <v>15.56</v>
      </c>
    </row>
    <row r="903" customHeight="1" spans="1:2">
      <c r="A903" s="81">
        <v>43495</v>
      </c>
      <c r="B903" s="82">
        <v>15.54</v>
      </c>
    </row>
    <row r="904" customHeight="1" spans="1:2">
      <c r="A904" s="81">
        <v>43496</v>
      </c>
      <c r="B904" s="82">
        <v>15.52</v>
      </c>
    </row>
    <row r="905" customHeight="1" spans="1:2">
      <c r="A905" s="81">
        <v>43497</v>
      </c>
      <c r="B905" s="82">
        <v>15.46</v>
      </c>
    </row>
    <row r="906" customHeight="1" spans="1:2">
      <c r="A906" s="81">
        <v>43498</v>
      </c>
      <c r="B906" s="82">
        <v>15.48</v>
      </c>
    </row>
    <row r="907" customHeight="1" spans="1:2">
      <c r="A907" s="81">
        <v>43499</v>
      </c>
      <c r="B907" s="82">
        <v>15.56</v>
      </c>
    </row>
    <row r="908" customHeight="1" spans="1:2">
      <c r="A908" s="81">
        <v>43507</v>
      </c>
      <c r="B908" s="82">
        <v>15.72</v>
      </c>
    </row>
    <row r="909" customHeight="1" spans="1:2">
      <c r="A909" s="81">
        <v>43508</v>
      </c>
      <c r="B909" s="82">
        <v>15.7</v>
      </c>
    </row>
    <row r="910" customHeight="1" spans="1:2">
      <c r="A910" s="81">
        <v>43509</v>
      </c>
      <c r="B910" s="82">
        <v>15.73</v>
      </c>
    </row>
    <row r="911" customHeight="1" spans="1:2">
      <c r="A911" s="81">
        <v>43510</v>
      </c>
      <c r="B911" s="82">
        <v>15.67</v>
      </c>
    </row>
    <row r="912" customHeight="1" spans="1:2">
      <c r="A912" s="81">
        <v>43511</v>
      </c>
      <c r="B912" s="82">
        <v>15.66</v>
      </c>
    </row>
    <row r="913" customHeight="1" spans="1:2">
      <c r="A913" s="81">
        <v>43514</v>
      </c>
      <c r="B913" s="82">
        <v>15.65</v>
      </c>
    </row>
    <row r="914" customHeight="1" spans="1:2">
      <c r="A914" s="81">
        <v>43515</v>
      </c>
      <c r="B914" s="82">
        <v>15.64</v>
      </c>
    </row>
    <row r="915" customHeight="1" spans="1:2">
      <c r="A915" s="81">
        <v>43516</v>
      </c>
      <c r="B915" s="82">
        <v>15.62</v>
      </c>
    </row>
    <row r="916" customHeight="1" spans="1:2">
      <c r="A916" s="81">
        <v>43517</v>
      </c>
      <c r="B916" s="82">
        <v>15.63</v>
      </c>
    </row>
    <row r="917" customHeight="1" spans="1:2">
      <c r="A917" s="81">
        <v>43518</v>
      </c>
      <c r="B917" s="82">
        <v>15.55</v>
      </c>
    </row>
    <row r="918" customHeight="1" spans="1:2">
      <c r="A918" s="81">
        <v>43521</v>
      </c>
      <c r="B918" s="82">
        <v>15.43</v>
      </c>
    </row>
    <row r="919" customHeight="1" spans="1:2">
      <c r="A919" s="81">
        <v>43522</v>
      </c>
      <c r="B919" s="82">
        <v>15.37</v>
      </c>
    </row>
    <row r="920" customHeight="1" spans="1:2">
      <c r="A920" s="81">
        <v>43523</v>
      </c>
      <c r="B920" s="82">
        <v>15.38</v>
      </c>
    </row>
    <row r="921" customHeight="1" spans="1:2">
      <c r="A921" s="81">
        <v>43524</v>
      </c>
      <c r="B921" s="82">
        <v>15.4</v>
      </c>
    </row>
    <row r="922" customHeight="1" spans="1:2">
      <c r="A922" s="81">
        <v>43525</v>
      </c>
      <c r="B922" s="82">
        <v>15.4</v>
      </c>
    </row>
    <row r="923" customHeight="1" spans="1:2">
      <c r="A923" s="81">
        <v>43528</v>
      </c>
      <c r="B923" s="82">
        <v>15.4</v>
      </c>
    </row>
    <row r="924" customHeight="1" spans="1:2">
      <c r="A924" s="81">
        <v>43529</v>
      </c>
      <c r="B924" s="82">
        <v>15.36</v>
      </c>
    </row>
    <row r="925" customHeight="1" spans="1:2">
      <c r="A925" s="81">
        <v>43530</v>
      </c>
      <c r="B925" s="82">
        <v>15.34</v>
      </c>
    </row>
    <row r="926" customHeight="1" spans="1:2">
      <c r="A926" s="81">
        <v>43531</v>
      </c>
      <c r="B926" s="82">
        <v>15.34</v>
      </c>
    </row>
    <row r="927" customHeight="1" spans="1:2">
      <c r="A927" s="81">
        <v>43532</v>
      </c>
      <c r="B927" s="82">
        <v>15.33</v>
      </c>
    </row>
    <row r="928" customHeight="1" spans="1:2">
      <c r="A928" s="81">
        <v>43535</v>
      </c>
      <c r="B928" s="82">
        <v>15.41</v>
      </c>
    </row>
    <row r="929" customHeight="1" spans="1:2">
      <c r="A929" s="81">
        <v>43536</v>
      </c>
      <c r="B929" s="82">
        <v>15.44</v>
      </c>
    </row>
    <row r="930" customHeight="1" spans="1:2">
      <c r="A930" s="81">
        <v>43537</v>
      </c>
      <c r="B930" s="82">
        <v>15.5</v>
      </c>
    </row>
    <row r="931" customHeight="1" spans="1:2">
      <c r="A931" s="81">
        <v>43538</v>
      </c>
      <c r="B931" s="82">
        <v>15.52</v>
      </c>
    </row>
    <row r="932" customHeight="1" spans="1:2">
      <c r="A932" s="81">
        <v>43539</v>
      </c>
      <c r="B932" s="82">
        <v>15.51</v>
      </c>
    </row>
    <row r="933" customHeight="1" spans="1:2">
      <c r="A933" s="81">
        <v>43542</v>
      </c>
      <c r="B933" s="82">
        <v>15.54</v>
      </c>
    </row>
    <row r="934" customHeight="1" spans="1:2">
      <c r="A934" s="81">
        <v>43543</v>
      </c>
      <c r="B934" s="82">
        <v>15.58</v>
      </c>
    </row>
    <row r="935" customHeight="1" spans="1:2">
      <c r="A935" s="81">
        <v>43544</v>
      </c>
      <c r="B935" s="82">
        <v>15.56</v>
      </c>
    </row>
    <row r="936" customHeight="1" spans="1:2">
      <c r="A936" s="81">
        <v>43545</v>
      </c>
      <c r="B936" s="82">
        <v>15.6</v>
      </c>
    </row>
    <row r="937" customHeight="1" spans="1:2">
      <c r="A937" s="81">
        <v>43546</v>
      </c>
      <c r="B937" s="82">
        <v>15.63</v>
      </c>
    </row>
    <row r="938" customHeight="1" spans="1:2">
      <c r="A938" s="81">
        <v>43549</v>
      </c>
      <c r="B938" s="82">
        <v>15.64</v>
      </c>
    </row>
    <row r="939" customHeight="1" spans="1:2">
      <c r="A939" s="81">
        <v>43550</v>
      </c>
      <c r="B939" s="82">
        <v>15.61</v>
      </c>
    </row>
    <row r="940" customHeight="1" spans="1:2">
      <c r="A940" s="81">
        <v>43551</v>
      </c>
      <c r="B940" s="82">
        <v>15.65</v>
      </c>
    </row>
    <row r="941" customHeight="1" spans="1:2">
      <c r="A941" s="81">
        <v>43552</v>
      </c>
      <c r="B941" s="82">
        <v>15.66</v>
      </c>
    </row>
    <row r="942" customHeight="1" spans="1:2">
      <c r="A942" s="81">
        <v>43553</v>
      </c>
      <c r="B942" s="82">
        <v>15.61</v>
      </c>
    </row>
    <row r="943" customHeight="1" spans="1:2">
      <c r="A943" s="81">
        <v>43556</v>
      </c>
      <c r="B943" s="82">
        <v>15.6</v>
      </c>
    </row>
    <row r="944" customHeight="1" spans="1:2">
      <c r="A944" s="81">
        <v>43557</v>
      </c>
      <c r="B944" s="82">
        <v>15.62</v>
      </c>
    </row>
    <row r="945" customHeight="1" spans="1:2">
      <c r="A945" s="81">
        <v>43558</v>
      </c>
      <c r="B945" s="82">
        <v>15.66</v>
      </c>
    </row>
    <row r="946" customHeight="1" spans="1:2">
      <c r="A946" s="81">
        <v>43559</v>
      </c>
      <c r="B946" s="82">
        <v>15.68</v>
      </c>
    </row>
    <row r="947" customHeight="1" spans="1:2">
      <c r="A947" s="81">
        <v>43563</v>
      </c>
      <c r="B947" s="82">
        <v>15.77</v>
      </c>
    </row>
    <row r="948" customHeight="1" spans="1:2">
      <c r="A948" s="81">
        <v>43564</v>
      </c>
      <c r="B948" s="82">
        <v>15.78</v>
      </c>
    </row>
    <row r="949" customHeight="1" spans="1:2">
      <c r="A949" s="81">
        <v>43565</v>
      </c>
      <c r="B949" s="82">
        <v>15.8</v>
      </c>
    </row>
    <row r="950" customHeight="1" spans="1:2">
      <c r="A950" s="81">
        <v>43566</v>
      </c>
      <c r="B950" s="82">
        <v>15.81</v>
      </c>
    </row>
    <row r="951" customHeight="1" spans="1:2">
      <c r="A951" s="81">
        <v>43567</v>
      </c>
      <c r="B951" s="82">
        <v>15.78</v>
      </c>
    </row>
    <row r="952" customHeight="1" spans="1:2">
      <c r="A952" s="81">
        <v>43570</v>
      </c>
      <c r="B952" s="82">
        <v>15.73</v>
      </c>
    </row>
    <row r="953" customHeight="1" spans="1:2">
      <c r="A953" s="81">
        <v>43571</v>
      </c>
      <c r="B953" s="82">
        <v>15.69</v>
      </c>
    </row>
    <row r="954" customHeight="1" spans="1:2">
      <c r="A954" s="81">
        <v>43572</v>
      </c>
      <c r="B954" s="82">
        <v>15.66</v>
      </c>
    </row>
    <row r="955" customHeight="1" spans="1:2">
      <c r="A955" s="81">
        <v>43573</v>
      </c>
      <c r="B955" s="82">
        <v>15.69</v>
      </c>
    </row>
    <row r="956" customHeight="1" spans="1:2">
      <c r="A956" s="81">
        <v>43574</v>
      </c>
      <c r="B956" s="82">
        <v>15.7</v>
      </c>
    </row>
    <row r="957" customHeight="1" spans="1:2">
      <c r="A957" s="81">
        <v>43577</v>
      </c>
      <c r="B957" s="82">
        <v>15.71</v>
      </c>
    </row>
    <row r="958" customHeight="1" spans="1:2">
      <c r="A958" s="81">
        <v>43578</v>
      </c>
      <c r="B958" s="82">
        <v>15.65</v>
      </c>
    </row>
    <row r="959" customHeight="1" spans="1:2">
      <c r="A959" s="81">
        <v>43579</v>
      </c>
      <c r="B959" s="82">
        <v>15.67</v>
      </c>
    </row>
    <row r="960" customHeight="1" spans="1:2">
      <c r="A960" s="81">
        <v>43580</v>
      </c>
      <c r="B960" s="82">
        <v>15.65</v>
      </c>
    </row>
    <row r="961" customHeight="1" spans="1:2">
      <c r="A961" s="81">
        <v>43581</v>
      </c>
      <c r="B961" s="82">
        <v>15.64</v>
      </c>
    </row>
    <row r="962" customHeight="1" spans="1:2">
      <c r="A962" s="81">
        <v>43583</v>
      </c>
      <c r="B962" s="82">
        <v>15.61</v>
      </c>
    </row>
    <row r="963" customHeight="1" spans="1:2">
      <c r="A963" s="81">
        <v>43584</v>
      </c>
      <c r="B963" s="82">
        <v>15.72</v>
      </c>
    </row>
    <row r="964" customHeight="1" spans="1:2">
      <c r="A964" s="81">
        <v>43585</v>
      </c>
      <c r="B964" s="82">
        <v>15.78</v>
      </c>
    </row>
    <row r="965" customHeight="1" spans="1:2">
      <c r="A965" s="81">
        <v>43590</v>
      </c>
      <c r="B965" s="82">
        <v>15.79</v>
      </c>
    </row>
    <row r="966" customHeight="1" spans="1:2">
      <c r="A966" s="81">
        <v>43591</v>
      </c>
      <c r="B966" s="82">
        <v>15.8</v>
      </c>
    </row>
    <row r="967" customHeight="1" spans="1:2">
      <c r="A967" s="81">
        <v>43592</v>
      </c>
      <c r="B967" s="82">
        <v>15.83</v>
      </c>
    </row>
    <row r="968" customHeight="1" spans="1:2">
      <c r="A968" s="81">
        <v>43593</v>
      </c>
      <c r="B968" s="82">
        <v>15.87</v>
      </c>
    </row>
    <row r="969" customHeight="1" spans="1:2">
      <c r="A969" s="81">
        <v>43594</v>
      </c>
      <c r="B969" s="82">
        <v>15.87</v>
      </c>
    </row>
    <row r="970" customHeight="1" spans="1:2">
      <c r="A970" s="81">
        <v>43595</v>
      </c>
      <c r="B970" s="82">
        <v>15.91</v>
      </c>
    </row>
    <row r="971" customHeight="1" spans="1:2">
      <c r="A971" s="81">
        <v>43598</v>
      </c>
      <c r="B971" s="82">
        <v>15.81</v>
      </c>
    </row>
    <row r="972" customHeight="1" spans="1:2">
      <c r="A972" s="81">
        <v>43599</v>
      </c>
      <c r="B972" s="82">
        <v>15.83</v>
      </c>
    </row>
    <row r="973" customHeight="1" spans="1:2">
      <c r="A973" s="81">
        <v>43600</v>
      </c>
      <c r="B973" s="82">
        <v>15.83</v>
      </c>
    </row>
    <row r="974" customHeight="1" spans="1:2">
      <c r="A974" s="81">
        <v>43601</v>
      </c>
      <c r="B974" s="82">
        <v>15.81</v>
      </c>
    </row>
    <row r="975" customHeight="1" spans="1:2">
      <c r="A975" s="81">
        <v>43602</v>
      </c>
      <c r="B975" s="82">
        <v>15.84</v>
      </c>
    </row>
    <row r="976" customHeight="1" spans="1:2">
      <c r="A976" s="81">
        <v>43605</v>
      </c>
      <c r="B976" s="82">
        <v>15.82</v>
      </c>
    </row>
    <row r="977" customHeight="1" spans="1:2">
      <c r="A977" s="81">
        <v>43606</v>
      </c>
      <c r="B977" s="82">
        <v>15.85</v>
      </c>
    </row>
    <row r="978" customHeight="1" spans="1:2">
      <c r="A978" s="81">
        <v>43607</v>
      </c>
      <c r="B978" s="82">
        <v>15.83</v>
      </c>
    </row>
    <row r="979" customHeight="1" spans="1:2">
      <c r="A979" s="81">
        <v>43608</v>
      </c>
      <c r="B979" s="82">
        <v>15.83</v>
      </c>
    </row>
    <row r="980" customHeight="1" spans="1:2">
      <c r="A980" s="81">
        <v>43609</v>
      </c>
      <c r="B980" s="82">
        <v>15.8</v>
      </c>
    </row>
    <row r="981" customHeight="1" spans="1:2">
      <c r="A981" s="81">
        <v>43612</v>
      </c>
      <c r="B981" s="82">
        <v>15.81</v>
      </c>
    </row>
    <row r="982" customHeight="1" spans="1:2">
      <c r="A982" s="81">
        <v>43613</v>
      </c>
      <c r="B982" s="82">
        <v>15.78</v>
      </c>
    </row>
    <row r="983" customHeight="1" spans="1:2">
      <c r="A983" s="81">
        <v>43614</v>
      </c>
      <c r="B983" s="82">
        <v>15.8</v>
      </c>
    </row>
    <row r="984" customHeight="1" spans="1:2">
      <c r="A984" s="81">
        <v>43615</v>
      </c>
      <c r="B984" s="82">
        <v>15.81</v>
      </c>
    </row>
    <row r="985" customHeight="1" spans="1:2">
      <c r="A985" s="81">
        <v>43616</v>
      </c>
      <c r="B985" s="82">
        <v>15.82</v>
      </c>
    </row>
    <row r="986" customHeight="1" spans="1:2">
      <c r="A986" s="81">
        <v>43619</v>
      </c>
      <c r="B986" s="82">
        <v>15.77</v>
      </c>
    </row>
    <row r="987" customHeight="1" spans="1:2">
      <c r="A987" s="81">
        <v>43620</v>
      </c>
      <c r="B987" s="82">
        <v>15.8</v>
      </c>
    </row>
    <row r="988" customHeight="1" spans="1:2">
      <c r="A988" s="81">
        <v>43621</v>
      </c>
      <c r="B988" s="82">
        <v>15.81</v>
      </c>
    </row>
    <row r="989" customHeight="1" spans="1:2">
      <c r="A989" s="81">
        <v>43622</v>
      </c>
      <c r="B989" s="82">
        <v>15.89</v>
      </c>
    </row>
    <row r="990" customHeight="1" spans="1:2">
      <c r="A990" s="81">
        <v>43626</v>
      </c>
      <c r="B990" s="82">
        <v>15.89</v>
      </c>
    </row>
    <row r="991" customHeight="1" spans="1:2">
      <c r="A991" s="81">
        <v>43627</v>
      </c>
      <c r="B991" s="82">
        <v>15.88</v>
      </c>
    </row>
    <row r="992" customHeight="1" spans="1:2">
      <c r="A992" s="81">
        <v>43628</v>
      </c>
      <c r="B992" s="82">
        <v>15.89</v>
      </c>
    </row>
    <row r="993" customHeight="1" spans="1:2">
      <c r="A993" s="81">
        <v>43629</v>
      </c>
      <c r="B993" s="82">
        <v>15.91</v>
      </c>
    </row>
    <row r="994" customHeight="1" spans="1:2">
      <c r="A994" s="81">
        <v>43630</v>
      </c>
      <c r="B994" s="82">
        <v>15.91</v>
      </c>
    </row>
    <row r="995" customHeight="1" spans="1:2">
      <c r="A995" s="81">
        <v>43633</v>
      </c>
      <c r="B995" s="82">
        <v>16.02</v>
      </c>
    </row>
    <row r="996" customHeight="1" spans="1:2">
      <c r="A996" s="81">
        <v>43634</v>
      </c>
      <c r="B996" s="82">
        <v>16.03</v>
      </c>
    </row>
    <row r="997" customHeight="1" spans="1:2">
      <c r="A997" s="81">
        <v>43635</v>
      </c>
      <c r="B997" s="82">
        <v>16.17</v>
      </c>
    </row>
    <row r="998" customHeight="1" spans="1:2">
      <c r="A998" s="81">
        <v>43636</v>
      </c>
      <c r="B998" s="82">
        <v>16.25</v>
      </c>
    </row>
    <row r="999" customHeight="1" spans="1:2">
      <c r="A999" s="81">
        <v>43637</v>
      </c>
      <c r="B999" s="82">
        <v>16.26</v>
      </c>
    </row>
    <row r="1000" customHeight="1" spans="1:2">
      <c r="A1000" s="81">
        <v>43640</v>
      </c>
      <c r="B1000" s="82">
        <v>16.37</v>
      </c>
    </row>
    <row r="1001" customHeight="1" spans="1:2">
      <c r="A1001" s="81">
        <v>43641</v>
      </c>
      <c r="B1001" s="82">
        <v>16.52</v>
      </c>
    </row>
    <row r="1002" customHeight="1" spans="1:2">
      <c r="A1002" s="81">
        <v>43642</v>
      </c>
      <c r="B1002" s="82">
        <v>16.56</v>
      </c>
    </row>
    <row r="1003" customHeight="1" spans="1:2">
      <c r="A1003" s="81">
        <v>43643</v>
      </c>
      <c r="B1003" s="82">
        <v>16.63</v>
      </c>
    </row>
    <row r="1004" customHeight="1" spans="1:2">
      <c r="A1004" s="81">
        <v>43644</v>
      </c>
      <c r="B1004" s="82">
        <v>16.67</v>
      </c>
    </row>
    <row r="1005" customHeight="1" spans="1:2">
      <c r="A1005" s="81">
        <v>43647</v>
      </c>
      <c r="B1005" s="82">
        <v>16.73</v>
      </c>
    </row>
    <row r="1006" customHeight="1" spans="1:2">
      <c r="A1006" s="81">
        <v>43648</v>
      </c>
      <c r="B1006" s="82">
        <v>16.7</v>
      </c>
    </row>
    <row r="1007" customHeight="1" spans="1:2">
      <c r="A1007" s="81">
        <v>43649</v>
      </c>
      <c r="B1007" s="82">
        <v>16.72</v>
      </c>
    </row>
    <row r="1008" customHeight="1" spans="1:2">
      <c r="A1008" s="81">
        <v>43650</v>
      </c>
      <c r="B1008" s="82">
        <v>16.78</v>
      </c>
    </row>
    <row r="1009" customHeight="1" spans="1:2">
      <c r="A1009" s="81">
        <v>43651</v>
      </c>
      <c r="B1009" s="82">
        <v>16.83</v>
      </c>
    </row>
    <row r="1010" customHeight="1" spans="1:2">
      <c r="A1010" s="81">
        <v>43654</v>
      </c>
      <c r="B1010" s="82">
        <v>16.85</v>
      </c>
    </row>
    <row r="1011" customHeight="1" spans="1:2">
      <c r="A1011" s="81">
        <v>43655</v>
      </c>
      <c r="B1011" s="82">
        <v>16.87</v>
      </c>
    </row>
    <row r="1012" customHeight="1" spans="1:2">
      <c r="A1012" s="81">
        <v>43656</v>
      </c>
      <c r="B1012" s="82">
        <v>16.88</v>
      </c>
    </row>
    <row r="1013" customHeight="1" spans="1:2">
      <c r="A1013" s="81">
        <v>43657</v>
      </c>
      <c r="B1013" s="82">
        <v>16.93</v>
      </c>
    </row>
    <row r="1014" customHeight="1" spans="1:2">
      <c r="A1014" s="81">
        <v>43658</v>
      </c>
      <c r="B1014" s="82">
        <v>16.98</v>
      </c>
    </row>
    <row r="1015" customHeight="1" spans="1:2">
      <c r="A1015" s="81">
        <v>43661</v>
      </c>
      <c r="B1015" s="82">
        <v>17.14</v>
      </c>
    </row>
    <row r="1016" customHeight="1" spans="1:2">
      <c r="A1016" s="81">
        <v>43662</v>
      </c>
      <c r="B1016" s="82">
        <v>17.23</v>
      </c>
    </row>
    <row r="1017" customHeight="1" spans="1:2">
      <c r="A1017" s="81">
        <v>43663</v>
      </c>
      <c r="B1017" s="82">
        <v>17.33</v>
      </c>
    </row>
    <row r="1018" customHeight="1" spans="1:2">
      <c r="A1018" s="81">
        <v>43664</v>
      </c>
      <c r="B1018" s="82">
        <v>17.38</v>
      </c>
    </row>
    <row r="1019" customHeight="1" spans="1:2">
      <c r="A1019" s="81">
        <v>43665</v>
      </c>
      <c r="B1019" s="82">
        <v>17.38</v>
      </c>
    </row>
    <row r="1020" customHeight="1" spans="1:2">
      <c r="A1020" s="81">
        <v>43668</v>
      </c>
      <c r="B1020" s="82">
        <v>17.51</v>
      </c>
    </row>
    <row r="1021" customHeight="1" spans="1:2">
      <c r="A1021" s="81">
        <v>43669</v>
      </c>
      <c r="B1021" s="82">
        <v>17.56</v>
      </c>
    </row>
    <row r="1022" customHeight="1" spans="1:2">
      <c r="A1022" s="81">
        <v>43670</v>
      </c>
      <c r="B1022" s="82">
        <v>17.58</v>
      </c>
    </row>
    <row r="1023" customHeight="1" spans="1:2">
      <c r="A1023" s="81">
        <v>43671</v>
      </c>
      <c r="B1023" s="82">
        <v>17.61</v>
      </c>
    </row>
    <row r="1024" customHeight="1" spans="1:2">
      <c r="A1024" s="81">
        <v>43672</v>
      </c>
      <c r="B1024" s="82">
        <v>17.63</v>
      </c>
    </row>
    <row r="1025" customHeight="1" spans="1:2">
      <c r="A1025" s="81">
        <v>43675</v>
      </c>
      <c r="B1025" s="82">
        <v>17.71</v>
      </c>
    </row>
    <row r="1026" customHeight="1" spans="1:2">
      <c r="A1026" s="81">
        <v>43676</v>
      </c>
      <c r="B1026" s="82">
        <v>17.76</v>
      </c>
    </row>
    <row r="1027" customHeight="1" spans="1:2">
      <c r="A1027" s="81">
        <v>43677</v>
      </c>
      <c r="B1027" s="82">
        <v>17.79</v>
      </c>
    </row>
    <row r="1028" customHeight="1" spans="1:2">
      <c r="A1028" s="81">
        <v>43678</v>
      </c>
      <c r="B1028" s="82">
        <v>17.84</v>
      </c>
    </row>
    <row r="1029" customHeight="1" spans="1:2">
      <c r="A1029" s="81">
        <v>43679</v>
      </c>
      <c r="B1029" s="82">
        <v>17.86</v>
      </c>
    </row>
    <row r="1030" customHeight="1" spans="1:2">
      <c r="A1030" s="81">
        <v>43682</v>
      </c>
      <c r="B1030" s="82">
        <v>17.95</v>
      </c>
    </row>
    <row r="1031" customHeight="1" spans="1:2">
      <c r="A1031" s="81">
        <v>43683</v>
      </c>
      <c r="B1031" s="82">
        <v>18.05</v>
      </c>
    </row>
    <row r="1032" customHeight="1" spans="1:2">
      <c r="A1032" s="81">
        <v>43684</v>
      </c>
      <c r="B1032" s="82">
        <v>18.19</v>
      </c>
    </row>
    <row r="1033" customHeight="1" spans="1:2">
      <c r="A1033" s="81">
        <v>43685</v>
      </c>
      <c r="B1033" s="82">
        <v>18.23</v>
      </c>
    </row>
    <row r="1034" customHeight="1" spans="1:2">
      <c r="A1034" s="81">
        <v>43686</v>
      </c>
      <c r="B1034" s="82">
        <v>18.5</v>
      </c>
    </row>
    <row r="1035" customHeight="1" spans="1:2">
      <c r="A1035" s="81">
        <v>43689</v>
      </c>
      <c r="B1035" s="82">
        <v>18.94</v>
      </c>
    </row>
    <row r="1036" customHeight="1" spans="1:2">
      <c r="A1036" s="81">
        <v>43690</v>
      </c>
      <c r="B1036" s="82">
        <v>19.13</v>
      </c>
    </row>
    <row r="1037" customHeight="1" spans="1:2">
      <c r="A1037" s="81">
        <v>43691</v>
      </c>
      <c r="B1037" s="82">
        <v>19.37</v>
      </c>
    </row>
    <row r="1038" customHeight="1" spans="1:2">
      <c r="A1038" s="81">
        <v>43692</v>
      </c>
      <c r="B1038" s="82">
        <v>19.6</v>
      </c>
    </row>
    <row r="1039" customHeight="1" spans="1:2">
      <c r="A1039" s="81">
        <v>43693</v>
      </c>
      <c r="B1039" s="82">
        <v>19.74</v>
      </c>
    </row>
    <row r="1040" customHeight="1" spans="1:2">
      <c r="A1040" s="81">
        <v>43696</v>
      </c>
      <c r="B1040" s="82">
        <v>20.49</v>
      </c>
    </row>
    <row r="1041" customHeight="1" spans="1:2">
      <c r="A1041" s="81">
        <v>43697</v>
      </c>
      <c r="B1041" s="82">
        <v>20.61</v>
      </c>
    </row>
    <row r="1042" customHeight="1" spans="1:2">
      <c r="A1042" s="81">
        <v>43698</v>
      </c>
      <c r="B1042" s="82">
        <v>20.93</v>
      </c>
    </row>
    <row r="1043" customHeight="1" spans="1:2">
      <c r="A1043" s="81">
        <v>43699</v>
      </c>
      <c r="B1043" s="82">
        <v>21.19</v>
      </c>
    </row>
    <row r="1044" customHeight="1" spans="1:2">
      <c r="A1044" s="81">
        <v>43700</v>
      </c>
      <c r="B1044" s="82">
        <v>21.39</v>
      </c>
    </row>
    <row r="1045" customHeight="1" spans="1:2">
      <c r="A1045" s="81">
        <v>43703</v>
      </c>
      <c r="B1045" s="82">
        <v>22.09</v>
      </c>
    </row>
    <row r="1046" customHeight="1" spans="1:2">
      <c r="A1046" s="81">
        <v>43704</v>
      </c>
      <c r="B1046" s="82">
        <v>22.35</v>
      </c>
    </row>
    <row r="1047" customHeight="1" spans="1:2">
      <c r="A1047" s="81">
        <v>43705</v>
      </c>
      <c r="B1047" s="82">
        <v>22.56</v>
      </c>
    </row>
    <row r="1048" customHeight="1" spans="1:2">
      <c r="A1048" s="81">
        <v>43706</v>
      </c>
      <c r="B1048" s="82">
        <v>22.92</v>
      </c>
    </row>
    <row r="1049" customHeight="1" spans="1:2">
      <c r="A1049" s="81">
        <v>43707</v>
      </c>
      <c r="B1049" s="82">
        <v>23.26</v>
      </c>
    </row>
    <row r="1050" customHeight="1" spans="1:2">
      <c r="A1050" s="81">
        <v>43710</v>
      </c>
      <c r="B1050" s="82">
        <v>23.67</v>
      </c>
    </row>
    <row r="1051" customHeight="1" spans="1:2">
      <c r="A1051" s="81">
        <v>43711</v>
      </c>
      <c r="B1051" s="82">
        <v>23.83</v>
      </c>
    </row>
    <row r="1052" customHeight="1" spans="1:2">
      <c r="A1052" s="81">
        <v>43712</v>
      </c>
      <c r="B1052" s="82">
        <v>24.06</v>
      </c>
    </row>
    <row r="1053" customHeight="1" spans="1:2">
      <c r="A1053" s="81">
        <v>43713</v>
      </c>
      <c r="B1053" s="82">
        <v>24.18</v>
      </c>
    </row>
    <row r="1054" customHeight="1" spans="1:2">
      <c r="A1054" s="81">
        <v>43714</v>
      </c>
      <c r="B1054" s="82">
        <v>24.35</v>
      </c>
    </row>
    <row r="1055" customHeight="1" spans="1:2">
      <c r="A1055" s="81">
        <v>43717</v>
      </c>
      <c r="B1055" s="82">
        <v>24.64</v>
      </c>
    </row>
    <row r="1056" customHeight="1" spans="1:2">
      <c r="A1056" s="81">
        <v>43718</v>
      </c>
      <c r="B1056" s="82">
        <v>24.7</v>
      </c>
    </row>
    <row r="1057" customHeight="1" spans="1:2">
      <c r="A1057" s="81">
        <v>43719</v>
      </c>
      <c r="B1057" s="82">
        <v>24.7</v>
      </c>
    </row>
    <row r="1058" customHeight="1" spans="1:2">
      <c r="A1058" s="81">
        <v>43720</v>
      </c>
      <c r="B1058" s="82">
        <v>24.8</v>
      </c>
    </row>
    <row r="1059" customHeight="1" spans="1:2">
      <c r="A1059" s="81">
        <v>43724</v>
      </c>
      <c r="B1059" s="82">
        <v>25.17</v>
      </c>
    </row>
    <row r="1060" customHeight="1" spans="1:2">
      <c r="A1060" s="81">
        <v>43725</v>
      </c>
      <c r="B1060" s="82">
        <v>25.19</v>
      </c>
    </row>
    <row r="1061" customHeight="1" spans="1:2">
      <c r="A1061" s="81">
        <v>43726</v>
      </c>
      <c r="B1061" s="82">
        <v>25.2</v>
      </c>
    </row>
    <row r="1062" customHeight="1" spans="1:2">
      <c r="A1062" s="81">
        <v>43727</v>
      </c>
      <c r="B1062" s="82">
        <v>25.23</v>
      </c>
    </row>
    <row r="1063" customHeight="1" spans="1:2">
      <c r="A1063" s="81">
        <v>43728</v>
      </c>
      <c r="B1063" s="82">
        <v>25.26</v>
      </c>
    </row>
    <row r="1064" customHeight="1" spans="1:2">
      <c r="A1064" s="81">
        <v>43731</v>
      </c>
      <c r="B1064" s="82">
        <v>25.38</v>
      </c>
    </row>
    <row r="1065" customHeight="1" spans="1:2">
      <c r="A1065" s="81">
        <v>43732</v>
      </c>
      <c r="B1065" s="82">
        <v>25.37</v>
      </c>
    </row>
    <row r="1066" customHeight="1" spans="1:2">
      <c r="A1066" s="81">
        <v>43733</v>
      </c>
      <c r="B1066" s="82">
        <v>25.36</v>
      </c>
    </row>
    <row r="1067" customHeight="1" spans="1:2">
      <c r="A1067" s="81">
        <v>43734</v>
      </c>
      <c r="B1067" s="82">
        <v>25.33</v>
      </c>
    </row>
    <row r="1068" customHeight="1" spans="1:2">
      <c r="A1068" s="81">
        <v>43735</v>
      </c>
      <c r="B1068" s="82">
        <v>25.32</v>
      </c>
    </row>
    <row r="1069" customHeight="1" spans="1:2">
      <c r="A1069" s="81">
        <v>43737</v>
      </c>
      <c r="B1069" s="82">
        <v>25.34</v>
      </c>
    </row>
    <row r="1070" customHeight="1" spans="1:2">
      <c r="A1070" s="81">
        <v>43738</v>
      </c>
      <c r="B1070" s="82">
        <v>25.42</v>
      </c>
    </row>
    <row r="1071" customHeight="1" spans="1:2">
      <c r="A1071" s="81">
        <v>43746</v>
      </c>
      <c r="B1071" s="82">
        <v>26.1</v>
      </c>
    </row>
    <row r="1072" customHeight="1" spans="1:2">
      <c r="A1072" s="81">
        <v>43747</v>
      </c>
      <c r="B1072" s="82">
        <v>26.52</v>
      </c>
    </row>
    <row r="1073" customHeight="1" spans="1:2">
      <c r="A1073" s="81">
        <v>43748</v>
      </c>
      <c r="B1073" s="82">
        <v>26.98</v>
      </c>
    </row>
    <row r="1074" customHeight="1" spans="1:2">
      <c r="A1074" s="81">
        <v>43749</v>
      </c>
      <c r="B1074" s="82">
        <v>27.47</v>
      </c>
    </row>
    <row r="1075" customHeight="1" spans="1:2">
      <c r="A1075" s="81">
        <v>43750</v>
      </c>
      <c r="B1075" s="82">
        <v>27.69</v>
      </c>
    </row>
    <row r="1076" customHeight="1" spans="1:2">
      <c r="A1076" s="81">
        <v>43752</v>
      </c>
      <c r="B1076" s="82">
        <v>28.25</v>
      </c>
    </row>
    <row r="1077" customHeight="1" spans="1:2">
      <c r="A1077" s="81">
        <v>43753</v>
      </c>
      <c r="B1077" s="82">
        <v>28.58</v>
      </c>
    </row>
    <row r="1078" customHeight="1" spans="1:2">
      <c r="A1078" s="81">
        <v>43754</v>
      </c>
      <c r="B1078" s="82">
        <v>28.95</v>
      </c>
    </row>
    <row r="1079" customHeight="1" spans="1:2">
      <c r="A1079" s="81">
        <v>43755</v>
      </c>
      <c r="B1079" s="82">
        <v>29.34</v>
      </c>
    </row>
    <row r="1080" customHeight="1" spans="1:2">
      <c r="A1080" s="81">
        <v>43756</v>
      </c>
      <c r="B1080" s="82">
        <v>29.47</v>
      </c>
    </row>
    <row r="1081" customHeight="1" spans="1:2">
      <c r="A1081" s="81">
        <v>43759</v>
      </c>
      <c r="B1081" s="82">
        <v>30.37</v>
      </c>
    </row>
    <row r="1082" customHeight="1" spans="1:2">
      <c r="A1082" s="81">
        <v>43760</v>
      </c>
      <c r="B1082" s="82">
        <v>30.84</v>
      </c>
    </row>
    <row r="1083" customHeight="1" spans="1:2">
      <c r="A1083" s="81">
        <v>43761</v>
      </c>
      <c r="B1083" s="82">
        <v>31.34</v>
      </c>
    </row>
    <row r="1084" customHeight="1" spans="1:2">
      <c r="A1084" s="81">
        <v>43762</v>
      </c>
      <c r="B1084" s="82">
        <v>31.89</v>
      </c>
    </row>
    <row r="1085" customHeight="1" spans="1:2">
      <c r="A1085" s="81">
        <v>43763</v>
      </c>
      <c r="B1085" s="82">
        <v>32.38</v>
      </c>
    </row>
    <row r="1086" customHeight="1" spans="1:2">
      <c r="A1086" s="81">
        <v>43766</v>
      </c>
      <c r="B1086" s="82">
        <v>32.97</v>
      </c>
    </row>
    <row r="1087" customHeight="1" spans="1:2">
      <c r="A1087" s="81">
        <v>43767</v>
      </c>
      <c r="B1087" s="82">
        <v>33.35</v>
      </c>
    </row>
    <row r="1088" customHeight="1" spans="1:2">
      <c r="A1088" s="81">
        <v>43768</v>
      </c>
      <c r="B1088" s="82">
        <v>33.65</v>
      </c>
    </row>
    <row r="1089" customHeight="1" spans="1:2">
      <c r="A1089" s="81">
        <v>43769</v>
      </c>
      <c r="B1089" s="82">
        <v>33.94</v>
      </c>
    </row>
    <row r="1090" customHeight="1" spans="1:2">
      <c r="A1090" s="81">
        <v>43770</v>
      </c>
      <c r="B1090" s="82">
        <v>34.06</v>
      </c>
    </row>
    <row r="1091" customHeight="1" spans="1:2">
      <c r="A1091" s="81">
        <v>43773</v>
      </c>
      <c r="B1091" s="82">
        <v>34.23</v>
      </c>
    </row>
    <row r="1092" customHeight="1" spans="1:2">
      <c r="A1092" s="81">
        <v>43774</v>
      </c>
      <c r="B1092" s="82">
        <v>34.22</v>
      </c>
    </row>
    <row r="1093" customHeight="1" spans="1:2">
      <c r="A1093" s="81">
        <v>43775</v>
      </c>
      <c r="B1093" s="82">
        <v>34.1</v>
      </c>
    </row>
    <row r="1094" customHeight="1" spans="1:2">
      <c r="A1094" s="81">
        <v>43776</v>
      </c>
      <c r="B1094" s="82">
        <v>34.26</v>
      </c>
    </row>
    <row r="1095" customHeight="1" spans="1:2">
      <c r="A1095" s="81">
        <v>43777</v>
      </c>
      <c r="B1095" s="82">
        <v>34.24</v>
      </c>
    </row>
    <row r="1096" customHeight="1" spans="1:2">
      <c r="A1096" s="81">
        <v>43780</v>
      </c>
      <c r="B1096" s="82">
        <v>33.97</v>
      </c>
    </row>
    <row r="1097" customHeight="1" spans="1:2">
      <c r="A1097" s="81">
        <v>43781</v>
      </c>
      <c r="B1097" s="82">
        <v>33.74</v>
      </c>
    </row>
    <row r="1098" customHeight="1" spans="1:2">
      <c r="A1098" s="81">
        <v>43782</v>
      </c>
      <c r="B1098" s="82">
        <v>33.61</v>
      </c>
    </row>
    <row r="1099" customHeight="1" spans="1:2">
      <c r="A1099" s="81">
        <v>43783</v>
      </c>
      <c r="B1099" s="82">
        <v>33.46</v>
      </c>
    </row>
    <row r="1100" customHeight="1" spans="1:2">
      <c r="A1100" s="81">
        <v>43784</v>
      </c>
      <c r="B1100" s="82">
        <v>33.36</v>
      </c>
    </row>
    <row r="1101" customHeight="1" spans="1:2">
      <c r="A1101" s="81">
        <v>43787</v>
      </c>
      <c r="B1101" s="82">
        <v>32.78</v>
      </c>
    </row>
    <row r="1102" customHeight="1" spans="1:2">
      <c r="A1102" s="81">
        <v>43789</v>
      </c>
      <c r="B1102" s="82">
        <v>32.29</v>
      </c>
    </row>
    <row r="1103" customHeight="1" spans="1:2">
      <c r="A1103" s="81">
        <v>43790</v>
      </c>
      <c r="B1103" s="82">
        <v>32.06</v>
      </c>
    </row>
    <row r="1104" customHeight="1" spans="1:2">
      <c r="A1104" s="81">
        <v>43791</v>
      </c>
      <c r="B1104" s="82">
        <v>31.81</v>
      </c>
    </row>
    <row r="1105" customHeight="1" spans="1:2">
      <c r="A1105" s="81">
        <v>43794</v>
      </c>
      <c r="B1105" s="82">
        <v>31.42</v>
      </c>
    </row>
    <row r="1106" customHeight="1" spans="1:2">
      <c r="A1106" s="81">
        <v>43795</v>
      </c>
      <c r="B1106" s="82">
        <v>31.24</v>
      </c>
    </row>
    <row r="1107" customHeight="1" spans="1:2">
      <c r="A1107" s="81">
        <v>43796</v>
      </c>
      <c r="B1107" s="82">
        <v>30.94</v>
      </c>
    </row>
    <row r="1108" customHeight="1" spans="1:2">
      <c r="A1108" s="81">
        <v>43797</v>
      </c>
      <c r="B1108" s="82">
        <v>30.67</v>
      </c>
    </row>
    <row r="1109" customHeight="1" spans="1:2">
      <c r="A1109" s="81">
        <v>43798</v>
      </c>
      <c r="B1109" s="82">
        <v>30.57</v>
      </c>
    </row>
    <row r="1110" customHeight="1" spans="1:2">
      <c r="A1110" s="81">
        <v>43801</v>
      </c>
      <c r="B1110" s="82">
        <v>30.57</v>
      </c>
    </row>
    <row r="1111" customHeight="1" spans="1:2">
      <c r="A1111" s="81">
        <v>43802</v>
      </c>
      <c r="B1111" s="82">
        <v>30.49</v>
      </c>
    </row>
    <row r="1112" customHeight="1" spans="1:2">
      <c r="A1112" s="81">
        <v>43803</v>
      </c>
      <c r="B1112" s="82">
        <v>30.56</v>
      </c>
    </row>
    <row r="1113" customHeight="1" spans="1:2">
      <c r="A1113" s="81">
        <v>43804</v>
      </c>
      <c r="B1113" s="82">
        <v>30.65</v>
      </c>
    </row>
    <row r="1114" customHeight="1" spans="1:2">
      <c r="A1114" s="81">
        <v>43805</v>
      </c>
      <c r="B1114" s="82">
        <v>30.76</v>
      </c>
    </row>
    <row r="1115" customHeight="1" spans="1:2">
      <c r="A1115" s="81">
        <v>43808</v>
      </c>
      <c r="B1115" s="82">
        <v>30.75</v>
      </c>
    </row>
    <row r="1116" customHeight="1" spans="1:2">
      <c r="A1116" s="81">
        <v>43809</v>
      </c>
      <c r="B1116" s="82">
        <v>30.76</v>
      </c>
    </row>
    <row r="1117" customHeight="1" spans="1:2">
      <c r="A1117" s="81">
        <v>43810</v>
      </c>
      <c r="B1117" s="82">
        <v>30.79</v>
      </c>
    </row>
    <row r="1118" customHeight="1" spans="1:2">
      <c r="A1118" s="81">
        <v>43811</v>
      </c>
      <c r="B1118" s="82">
        <v>30.71</v>
      </c>
    </row>
    <row r="1119" customHeight="1" spans="1:2">
      <c r="A1119" s="81">
        <v>43812</v>
      </c>
      <c r="B1119" s="82">
        <v>30.74</v>
      </c>
    </row>
    <row r="1120" customHeight="1" spans="1:2">
      <c r="A1120" s="81">
        <v>43815</v>
      </c>
      <c r="B1120" s="82">
        <v>30.73</v>
      </c>
    </row>
    <row r="1121" customHeight="1" spans="1:2">
      <c r="A1121" s="81">
        <v>43816</v>
      </c>
      <c r="B1121" s="82">
        <v>30.71</v>
      </c>
    </row>
    <row r="1122" customHeight="1" spans="1:2">
      <c r="A1122" s="81">
        <v>43817</v>
      </c>
      <c r="B1122" s="82">
        <v>30.67</v>
      </c>
    </row>
    <row r="1123" customHeight="1" spans="1:2">
      <c r="A1123" s="81">
        <v>43818</v>
      </c>
      <c r="B1123" s="82">
        <v>30.67</v>
      </c>
    </row>
    <row r="1124" customHeight="1" spans="1:2">
      <c r="A1124" s="81">
        <v>43819</v>
      </c>
      <c r="B1124" s="82">
        <v>30.68</v>
      </c>
    </row>
    <row r="1125" customHeight="1" spans="1:2">
      <c r="A1125" s="81">
        <v>43822</v>
      </c>
      <c r="B1125" s="82">
        <v>30.73</v>
      </c>
    </row>
    <row r="1126" customHeight="1" spans="1:2">
      <c r="A1126" s="81">
        <v>43823</v>
      </c>
      <c r="B1126" s="82">
        <v>30.73</v>
      </c>
    </row>
    <row r="1127" customHeight="1" spans="1:2">
      <c r="A1127" s="81">
        <v>43824</v>
      </c>
      <c r="B1127" s="82">
        <v>30.79</v>
      </c>
    </row>
    <row r="1128" customHeight="1" spans="1:2">
      <c r="A1128" s="81">
        <v>43825</v>
      </c>
      <c r="B1128" s="82">
        <v>30.68</v>
      </c>
    </row>
    <row r="1129" customHeight="1" spans="1:2">
      <c r="A1129" s="81">
        <v>43826</v>
      </c>
      <c r="B1129" s="82">
        <v>30.59</v>
      </c>
    </row>
    <row r="1130" customHeight="1" spans="1:2">
      <c r="A1130" s="81">
        <v>43829</v>
      </c>
      <c r="B1130" s="82">
        <v>30.58</v>
      </c>
    </row>
    <row r="1131" customHeight="1" spans="1:2">
      <c r="A1131" s="81">
        <v>43830</v>
      </c>
      <c r="B1131" s="82">
        <v>30.45</v>
      </c>
    </row>
    <row r="1132" customHeight="1" spans="1:2">
      <c r="A1132" s="81">
        <v>43832</v>
      </c>
      <c r="B1132" s="82">
        <v>30.51</v>
      </c>
    </row>
    <row r="1133" customHeight="1" spans="1:2">
      <c r="A1133" s="81">
        <v>43833</v>
      </c>
      <c r="B1133" s="82">
        <v>30.53</v>
      </c>
    </row>
    <row r="1134" customHeight="1" spans="1:2">
      <c r="A1134" s="81">
        <v>43836</v>
      </c>
      <c r="B1134" s="82">
        <v>30.74</v>
      </c>
    </row>
    <row r="1135" customHeight="1" spans="1:2">
      <c r="A1135" s="81">
        <v>43837</v>
      </c>
      <c r="B1135" s="82">
        <v>30.72</v>
      </c>
    </row>
    <row r="1136" customHeight="1" spans="1:2">
      <c r="A1136" s="81">
        <v>43838</v>
      </c>
      <c r="B1136" s="82">
        <v>30.78</v>
      </c>
    </row>
    <row r="1137" customHeight="1" spans="1:2">
      <c r="A1137" s="81">
        <v>43839</v>
      </c>
      <c r="B1137" s="82">
        <v>30.95</v>
      </c>
    </row>
    <row r="1138" customHeight="1" spans="1:2">
      <c r="A1138" s="81">
        <v>43840</v>
      </c>
      <c r="B1138" s="82">
        <v>31.02</v>
      </c>
    </row>
    <row r="1139" customHeight="1" spans="1:2">
      <c r="A1139" s="81">
        <v>43843</v>
      </c>
      <c r="B1139" s="82">
        <v>31.1</v>
      </c>
    </row>
    <row r="1140" customHeight="1" spans="1:2">
      <c r="A1140" s="81">
        <v>43844</v>
      </c>
      <c r="B1140" s="82">
        <v>31.12</v>
      </c>
    </row>
    <row r="1141" customHeight="1" spans="1:2">
      <c r="A1141" s="81">
        <v>43845</v>
      </c>
      <c r="B1141" s="82">
        <v>31.3</v>
      </c>
    </row>
    <row r="1142" customHeight="1" spans="1:2">
      <c r="A1142" s="81">
        <v>43846</v>
      </c>
      <c r="B1142" s="82">
        <v>31.41</v>
      </c>
    </row>
    <row r="1143" customHeight="1" spans="1:2">
      <c r="A1143" s="81">
        <v>43847</v>
      </c>
      <c r="B1143" s="82">
        <v>31.45</v>
      </c>
    </row>
    <row r="1144" customHeight="1" spans="1:2">
      <c r="A1144" s="81">
        <v>43849</v>
      </c>
      <c r="B1144" s="82">
        <v>31.6</v>
      </c>
    </row>
    <row r="1145" customHeight="1" spans="1:2">
      <c r="A1145" s="81">
        <v>43850</v>
      </c>
      <c r="B1145" s="82">
        <v>31.74</v>
      </c>
    </row>
    <row r="1146" customHeight="1" spans="1:2">
      <c r="A1146" s="81">
        <v>43851</v>
      </c>
      <c r="B1146" s="82">
        <v>31.94</v>
      </c>
    </row>
    <row r="1147" customHeight="1" spans="1:2">
      <c r="A1147" s="81">
        <v>43852</v>
      </c>
      <c r="B1147" s="82">
        <v>32.29</v>
      </c>
    </row>
    <row r="1148" customHeight="1" spans="1:2">
      <c r="A1148" s="81">
        <v>43853</v>
      </c>
      <c r="B1148" s="82">
        <v>32.8</v>
      </c>
    </row>
    <row r="1149" customHeight="1" spans="1:2">
      <c r="A1149" s="81">
        <v>43864</v>
      </c>
      <c r="B1149" s="82">
        <v>34.01</v>
      </c>
    </row>
    <row r="1150" customHeight="1" spans="1:2">
      <c r="A1150" s="81">
        <v>43865</v>
      </c>
      <c r="B1150" s="82">
        <v>34.07</v>
      </c>
    </row>
    <row r="1151" customHeight="1" spans="1:2">
      <c r="A1151" s="81">
        <v>43866</v>
      </c>
      <c r="B1151" s="82">
        <v>34.04</v>
      </c>
    </row>
    <row r="1152" customHeight="1" spans="1:2">
      <c r="A1152" s="81">
        <v>43867</v>
      </c>
      <c r="B1152" s="82">
        <v>34.18</v>
      </c>
    </row>
    <row r="1153" customHeight="1" spans="1:2">
      <c r="A1153" s="81">
        <v>43868</v>
      </c>
      <c r="B1153" s="82">
        <v>34.26</v>
      </c>
    </row>
    <row r="1154" customHeight="1" spans="1:2">
      <c r="A1154" s="81">
        <v>43871</v>
      </c>
      <c r="B1154" s="82">
        <v>34.53</v>
      </c>
    </row>
    <row r="1155" customHeight="1" spans="1:2">
      <c r="A1155" s="81">
        <v>43872</v>
      </c>
      <c r="B1155" s="82">
        <v>34.6</v>
      </c>
    </row>
    <row r="1156" customHeight="1" spans="1:2">
      <c r="A1156" s="81">
        <v>43873</v>
      </c>
      <c r="B1156" s="82">
        <v>34.55</v>
      </c>
    </row>
    <row r="1157" customHeight="1" spans="1:2">
      <c r="A1157" s="81">
        <v>43874</v>
      </c>
      <c r="B1157" s="82">
        <v>34.57</v>
      </c>
    </row>
    <row r="1158" customHeight="1" spans="1:2">
      <c r="A1158" s="81">
        <v>43875</v>
      </c>
      <c r="B1158" s="82">
        <v>34.58</v>
      </c>
    </row>
    <row r="1159" customHeight="1" spans="1:2">
      <c r="A1159" s="81">
        <v>43878</v>
      </c>
      <c r="B1159" s="82">
        <v>34.63</v>
      </c>
    </row>
    <row r="1160" customHeight="1" spans="1:2">
      <c r="A1160" s="81">
        <v>43879</v>
      </c>
      <c r="B1160" s="82">
        <v>34.57</v>
      </c>
    </row>
    <row r="1161" customHeight="1" spans="1:2">
      <c r="A1161" s="81">
        <v>43880</v>
      </c>
      <c r="B1161" s="82">
        <v>34.5</v>
      </c>
    </row>
    <row r="1162" customHeight="1" spans="1:2">
      <c r="A1162" s="81">
        <v>43881</v>
      </c>
      <c r="B1162" s="82">
        <v>34.46</v>
      </c>
    </row>
    <row r="1163" customHeight="1" spans="1:2">
      <c r="A1163" s="81">
        <v>43882</v>
      </c>
      <c r="B1163" s="82">
        <v>34.46</v>
      </c>
    </row>
    <row r="1164" customHeight="1" spans="1:2">
      <c r="A1164" s="81">
        <v>43885</v>
      </c>
      <c r="B1164" s="82">
        <v>34.33</v>
      </c>
    </row>
    <row r="1165" customHeight="1" spans="1:2">
      <c r="A1165" s="81">
        <v>43886</v>
      </c>
      <c r="B1165" s="82">
        <v>34.18</v>
      </c>
    </row>
    <row r="1166" customHeight="1" spans="1:2">
      <c r="A1166" s="81">
        <v>43887</v>
      </c>
      <c r="B1166" s="82">
        <v>34.06</v>
      </c>
    </row>
    <row r="1167" customHeight="1" spans="1:2">
      <c r="A1167" s="81">
        <v>43888</v>
      </c>
      <c r="B1167" s="82">
        <v>33.93</v>
      </c>
    </row>
    <row r="1168" customHeight="1" spans="1:2">
      <c r="A1168" s="81">
        <v>43889</v>
      </c>
      <c r="B1168" s="82">
        <v>33.77</v>
      </c>
    </row>
    <row r="1169" customHeight="1" spans="1:2">
      <c r="A1169" s="81">
        <v>43892</v>
      </c>
      <c r="B1169" s="82">
        <v>33.7</v>
      </c>
    </row>
    <row r="1170" customHeight="1" spans="1:2">
      <c r="A1170" s="81">
        <v>43893</v>
      </c>
      <c r="B1170" s="82">
        <v>33.61</v>
      </c>
    </row>
    <row r="1171" customHeight="1" spans="1:2">
      <c r="A1171" s="81">
        <v>43894</v>
      </c>
      <c r="B1171" s="82">
        <v>33.53</v>
      </c>
    </row>
    <row r="1172" customHeight="1" spans="1:2">
      <c r="A1172" s="81">
        <v>43895</v>
      </c>
      <c r="B1172" s="82">
        <v>33.48</v>
      </c>
    </row>
    <row r="1173" customHeight="1" spans="1:2">
      <c r="A1173" s="81">
        <v>43896</v>
      </c>
      <c r="B1173" s="82">
        <v>33.34</v>
      </c>
    </row>
    <row r="1174" customHeight="1" spans="1:2">
      <c r="A1174" s="81">
        <v>43899</v>
      </c>
      <c r="B1174" s="82">
        <v>33.1</v>
      </c>
    </row>
    <row r="1175" customHeight="1" spans="1:2">
      <c r="A1175" s="81">
        <v>43900</v>
      </c>
      <c r="B1175" s="82">
        <v>33.03</v>
      </c>
    </row>
    <row r="1176" customHeight="1" spans="1:2">
      <c r="A1176" s="81">
        <v>43901</v>
      </c>
      <c r="B1176" s="82">
        <v>32.89</v>
      </c>
    </row>
    <row r="1177" customHeight="1" spans="1:2">
      <c r="A1177" s="81">
        <v>43902</v>
      </c>
      <c r="B1177" s="82">
        <v>32.82</v>
      </c>
    </row>
    <row r="1178" customHeight="1" spans="1:2">
      <c r="A1178" s="81">
        <v>43903</v>
      </c>
      <c r="B1178" s="82">
        <v>32.68</v>
      </c>
    </row>
    <row r="1179" customHeight="1" spans="1:2">
      <c r="A1179" s="81">
        <v>43906</v>
      </c>
      <c r="B1179" s="82">
        <v>32.4</v>
      </c>
    </row>
    <row r="1180" customHeight="1" spans="1:2">
      <c r="A1180" s="81">
        <v>43907</v>
      </c>
      <c r="B1180" s="82">
        <v>32.29</v>
      </c>
    </row>
    <row r="1181" customHeight="1" spans="1:2">
      <c r="A1181" s="81">
        <v>43908</v>
      </c>
      <c r="B1181" s="82">
        <v>32.21</v>
      </c>
    </row>
    <row r="1182" customHeight="1" spans="1:2">
      <c r="A1182" s="81">
        <v>43909</v>
      </c>
      <c r="B1182" s="82">
        <v>32.09</v>
      </c>
    </row>
    <row r="1183" customHeight="1" spans="1:2">
      <c r="A1183" s="81">
        <v>43910</v>
      </c>
      <c r="B1183" s="82">
        <v>32.05</v>
      </c>
    </row>
    <row r="1184" customHeight="1" spans="1:2">
      <c r="A1184" s="81">
        <v>43913</v>
      </c>
      <c r="B1184" s="82">
        <v>31.94</v>
      </c>
    </row>
    <row r="1185" customHeight="1" spans="1:2">
      <c r="A1185" s="81">
        <v>43914</v>
      </c>
      <c r="B1185" s="82">
        <v>31.82</v>
      </c>
    </row>
    <row r="1186" customHeight="1" spans="1:2">
      <c r="A1186" s="81">
        <v>43915</v>
      </c>
      <c r="B1186" s="82">
        <v>31.79</v>
      </c>
    </row>
    <row r="1187" customHeight="1" spans="1:2">
      <c r="A1187" s="81">
        <v>43916</v>
      </c>
      <c r="B1187" s="82">
        <v>31.74</v>
      </c>
    </row>
    <row r="1188" customHeight="1" spans="1:2">
      <c r="A1188" s="81">
        <v>43917</v>
      </c>
      <c r="B1188" s="82">
        <v>31.69</v>
      </c>
    </row>
    <row r="1189" customHeight="1" spans="1:2">
      <c r="A1189" s="81">
        <v>43920</v>
      </c>
      <c r="B1189" s="82">
        <v>31.59</v>
      </c>
    </row>
    <row r="1190" customHeight="1" spans="1:2">
      <c r="A1190" s="81">
        <v>43921</v>
      </c>
      <c r="B1190" s="82">
        <v>31.54</v>
      </c>
    </row>
    <row r="1191" customHeight="1" spans="1:2">
      <c r="A1191" s="81">
        <v>43922</v>
      </c>
      <c r="B1191" s="82">
        <v>31.39</v>
      </c>
    </row>
    <row r="1192" customHeight="1" spans="1:2">
      <c r="A1192" s="81">
        <v>43923</v>
      </c>
      <c r="B1192" s="82">
        <v>31.28</v>
      </c>
    </row>
    <row r="1193" customHeight="1" spans="1:2">
      <c r="A1193" s="81">
        <v>43924</v>
      </c>
      <c r="B1193" s="82">
        <v>31.27</v>
      </c>
    </row>
    <row r="1194" customHeight="1" spans="1:2">
      <c r="A1194" s="81">
        <v>43928</v>
      </c>
      <c r="B1194" s="82">
        <v>31.1</v>
      </c>
    </row>
    <row r="1195" customHeight="1" spans="1:2">
      <c r="A1195" s="81">
        <v>43929</v>
      </c>
      <c r="B1195" s="82">
        <v>31.05</v>
      </c>
    </row>
    <row r="1196" customHeight="1" spans="1:2">
      <c r="A1196" s="81">
        <v>43930</v>
      </c>
      <c r="B1196" s="82">
        <v>31.03</v>
      </c>
    </row>
    <row r="1197" customHeight="1" spans="1:2">
      <c r="A1197" s="81">
        <v>43931</v>
      </c>
      <c r="B1197" s="82">
        <v>30.99</v>
      </c>
    </row>
    <row r="1198" customHeight="1" spans="1:2">
      <c r="A1198" s="81">
        <v>43934</v>
      </c>
      <c r="B1198" s="82">
        <v>30.87</v>
      </c>
    </row>
    <row r="1199" customHeight="1" spans="1:2">
      <c r="A1199" s="81">
        <v>43935</v>
      </c>
      <c r="B1199" s="82">
        <v>30.85</v>
      </c>
    </row>
    <row r="1200" customHeight="1" spans="1:2">
      <c r="A1200" s="81">
        <v>43936</v>
      </c>
      <c r="B1200" s="82">
        <v>30.79</v>
      </c>
    </row>
    <row r="1201" customHeight="1" spans="1:2">
      <c r="A1201" s="81">
        <v>43937</v>
      </c>
      <c r="B1201" s="82">
        <v>30.7</v>
      </c>
    </row>
    <row r="1202" customHeight="1" spans="1:2">
      <c r="A1202" s="81">
        <v>43938</v>
      </c>
      <c r="B1202" s="82">
        <v>30.66</v>
      </c>
    </row>
    <row r="1203" customHeight="1" spans="1:2">
      <c r="A1203" s="81">
        <v>43941</v>
      </c>
      <c r="B1203" s="82">
        <v>30.45</v>
      </c>
    </row>
    <row r="1204" customHeight="1" spans="1:2">
      <c r="A1204" s="81">
        <v>43942</v>
      </c>
      <c r="B1204" s="82">
        <v>30.42</v>
      </c>
    </row>
    <row r="1205" customHeight="1" spans="1:2">
      <c r="A1205" s="81">
        <v>43943</v>
      </c>
      <c r="B1205" s="82">
        <v>30.4</v>
      </c>
    </row>
    <row r="1206" customHeight="1" spans="1:2">
      <c r="A1206" s="81">
        <v>43944</v>
      </c>
      <c r="B1206" s="82">
        <v>30.31</v>
      </c>
    </row>
    <row r="1207" customHeight="1" spans="1:2">
      <c r="A1207" s="81">
        <v>43945</v>
      </c>
      <c r="B1207" s="82">
        <v>30.23</v>
      </c>
    </row>
    <row r="1208" customHeight="1" spans="1:2">
      <c r="A1208" s="81">
        <v>43947</v>
      </c>
      <c r="B1208" s="82">
        <v>30.16</v>
      </c>
    </row>
    <row r="1209" customHeight="1" spans="1:2">
      <c r="A1209" s="81">
        <v>43948</v>
      </c>
      <c r="B1209" s="82">
        <v>30.1</v>
      </c>
    </row>
    <row r="1210" customHeight="1" spans="1:2">
      <c r="A1210" s="81">
        <v>43949</v>
      </c>
      <c r="B1210" s="82">
        <v>30.02</v>
      </c>
    </row>
    <row r="1211" customHeight="1" spans="1:2">
      <c r="A1211" s="81">
        <v>43950</v>
      </c>
      <c r="B1211" s="82">
        <v>29.92</v>
      </c>
    </row>
    <row r="1212" customHeight="1" spans="1:2">
      <c r="A1212" s="81">
        <v>43951</v>
      </c>
      <c r="B1212" s="82">
        <v>29.9</v>
      </c>
    </row>
    <row r="1213" customHeight="1" spans="1:2">
      <c r="A1213" s="81">
        <v>43957</v>
      </c>
      <c r="B1213" s="82">
        <v>29.67</v>
      </c>
    </row>
    <row r="1214" customHeight="1" spans="1:2">
      <c r="A1214" s="81">
        <v>43958</v>
      </c>
      <c r="B1214" s="82">
        <v>29.53</v>
      </c>
    </row>
    <row r="1215" customHeight="1" spans="1:2">
      <c r="A1215" s="81">
        <v>43959</v>
      </c>
      <c r="B1215" s="82">
        <v>29.52</v>
      </c>
    </row>
    <row r="1216" customHeight="1" spans="1:2">
      <c r="A1216" s="81">
        <v>43960</v>
      </c>
      <c r="B1216" s="82">
        <v>29.37</v>
      </c>
    </row>
    <row r="1217" customHeight="1" spans="1:2">
      <c r="A1217" s="81">
        <v>43962</v>
      </c>
      <c r="B1217" s="82">
        <v>29.26</v>
      </c>
    </row>
    <row r="1218" customHeight="1" spans="1:2">
      <c r="A1218" s="81">
        <v>43963</v>
      </c>
      <c r="B1218" s="82">
        <v>29.19</v>
      </c>
    </row>
    <row r="1219" customHeight="1" spans="1:2">
      <c r="A1219" s="81">
        <v>43964</v>
      </c>
      <c r="B1219" s="82">
        <v>29.04</v>
      </c>
    </row>
    <row r="1220" customHeight="1" spans="1:2">
      <c r="A1220" s="81">
        <v>43965</v>
      </c>
      <c r="B1220" s="82">
        <v>28.86</v>
      </c>
    </row>
    <row r="1221" customHeight="1" spans="1:2">
      <c r="A1221" s="81">
        <v>43969</v>
      </c>
      <c r="B1221" s="82">
        <v>28.37</v>
      </c>
    </row>
    <row r="1222" customHeight="1" spans="1:2">
      <c r="A1222" s="81">
        <v>43970</v>
      </c>
      <c r="B1222" s="82">
        <v>28.18</v>
      </c>
    </row>
    <row r="1223" customHeight="1" spans="1:2">
      <c r="A1223" s="81">
        <v>43971</v>
      </c>
      <c r="B1223" s="82">
        <v>28.08</v>
      </c>
    </row>
    <row r="1224" customHeight="1" spans="1:2">
      <c r="A1224" s="81">
        <v>43972</v>
      </c>
      <c r="B1224" s="82">
        <v>27.96</v>
      </c>
    </row>
    <row r="1225" customHeight="1" spans="1:2">
      <c r="A1225" s="81">
        <v>43973</v>
      </c>
      <c r="B1225" s="82">
        <v>27.89</v>
      </c>
    </row>
    <row r="1226" customHeight="1" spans="1:2">
      <c r="A1226" s="81">
        <v>43976</v>
      </c>
      <c r="B1226" s="82">
        <v>27.84</v>
      </c>
    </row>
    <row r="1227" customHeight="1" spans="1:2">
      <c r="A1227" s="81">
        <v>43977</v>
      </c>
      <c r="B1227" s="82">
        <v>27.79</v>
      </c>
    </row>
    <row r="1228" customHeight="1" spans="1:2">
      <c r="A1228" s="81">
        <v>43978</v>
      </c>
      <c r="B1228" s="82">
        <v>27.77</v>
      </c>
    </row>
    <row r="1229" customHeight="1" spans="1:2">
      <c r="A1229" s="81">
        <v>43979</v>
      </c>
      <c r="B1229" s="82">
        <v>27.7</v>
      </c>
    </row>
    <row r="1230" customHeight="1" spans="1:2">
      <c r="A1230" s="81">
        <v>43980</v>
      </c>
      <c r="B1230" s="82">
        <v>27.71</v>
      </c>
    </row>
    <row r="1231" customHeight="1" spans="1:2">
      <c r="A1231" s="81">
        <v>43983</v>
      </c>
      <c r="B1231" s="82">
        <v>27.56</v>
      </c>
    </row>
    <row r="1232" customHeight="1" spans="1:2">
      <c r="A1232" s="81">
        <v>43984</v>
      </c>
      <c r="B1232" s="82">
        <v>27.51</v>
      </c>
    </row>
    <row r="1233" customHeight="1" spans="1:2">
      <c r="A1233" s="81">
        <v>43985</v>
      </c>
      <c r="B1233" s="82">
        <v>27.5</v>
      </c>
    </row>
    <row r="1234" customHeight="1" spans="1:2">
      <c r="A1234" s="81">
        <v>43986</v>
      </c>
      <c r="B1234" s="82">
        <v>27.52</v>
      </c>
    </row>
    <row r="1235" customHeight="1" spans="1:2">
      <c r="A1235" s="81">
        <v>43987</v>
      </c>
      <c r="B1235" s="82">
        <v>27.62</v>
      </c>
    </row>
    <row r="1236" customHeight="1" spans="1:2">
      <c r="A1236" s="81">
        <v>43990</v>
      </c>
      <c r="B1236" s="82">
        <v>27.67</v>
      </c>
    </row>
    <row r="1237" customHeight="1" spans="1:2">
      <c r="A1237" s="81">
        <v>43991</v>
      </c>
      <c r="B1237" s="82">
        <v>27.66</v>
      </c>
    </row>
    <row r="1238" customHeight="1" spans="1:2">
      <c r="A1238" s="81">
        <v>43992</v>
      </c>
      <c r="B1238" s="82">
        <v>27.67</v>
      </c>
    </row>
    <row r="1239" customHeight="1" spans="1:2">
      <c r="A1239" s="81">
        <v>43993</v>
      </c>
      <c r="B1239" s="82">
        <v>27.69</v>
      </c>
    </row>
    <row r="1240" customHeight="1" spans="1:2">
      <c r="A1240" s="81">
        <v>43994</v>
      </c>
      <c r="B1240" s="82">
        <v>27.66</v>
      </c>
    </row>
    <row r="1241" customHeight="1" spans="1:2">
      <c r="A1241" s="81">
        <v>43997</v>
      </c>
      <c r="B1241" s="82">
        <v>27.78</v>
      </c>
    </row>
    <row r="1242" customHeight="1" spans="1:2">
      <c r="A1242" s="81">
        <v>43998</v>
      </c>
      <c r="B1242" s="82">
        <v>27.86</v>
      </c>
    </row>
    <row r="1243" customHeight="1" spans="1:2">
      <c r="A1243" s="81">
        <v>43999</v>
      </c>
      <c r="B1243" s="82">
        <v>27.91</v>
      </c>
    </row>
    <row r="1244" customHeight="1" spans="1:2">
      <c r="A1244" s="81">
        <v>44000</v>
      </c>
      <c r="B1244" s="82">
        <v>28.1</v>
      </c>
    </row>
    <row r="1245" customHeight="1" spans="1:2">
      <c r="A1245" s="81">
        <v>44001</v>
      </c>
      <c r="B1245" s="82">
        <v>28.3</v>
      </c>
    </row>
    <row r="1246" customHeight="1" spans="1:2">
      <c r="A1246" s="81">
        <v>44004</v>
      </c>
      <c r="B1246" s="82">
        <v>28.71</v>
      </c>
    </row>
    <row r="1247" customHeight="1" spans="1:2">
      <c r="A1247" s="81">
        <v>44005</v>
      </c>
      <c r="B1247" s="82">
        <v>28.79</v>
      </c>
    </row>
    <row r="1248" customHeight="1" spans="1:2">
      <c r="A1248" s="81">
        <v>44006</v>
      </c>
      <c r="B1248" s="82">
        <v>28.86</v>
      </c>
    </row>
    <row r="1249" customHeight="1" spans="1:2">
      <c r="A1249" s="81">
        <v>44010</v>
      </c>
      <c r="B1249" s="82">
        <v>29.19</v>
      </c>
    </row>
    <row r="1250" customHeight="1" spans="1:2">
      <c r="A1250" s="81">
        <v>44011</v>
      </c>
      <c r="B1250" s="82">
        <v>29.28</v>
      </c>
    </row>
    <row r="1251" customHeight="1" spans="1:2">
      <c r="A1251" s="81">
        <v>44012</v>
      </c>
      <c r="B1251" s="82">
        <v>29.4</v>
      </c>
    </row>
    <row r="1252" customHeight="1" spans="1:2">
      <c r="A1252" s="81">
        <v>44013</v>
      </c>
      <c r="B1252" s="82">
        <v>29.56</v>
      </c>
    </row>
    <row r="1253" customHeight="1" spans="1:2">
      <c r="A1253" s="81">
        <v>44014</v>
      </c>
      <c r="B1253" s="82">
        <v>29.7</v>
      </c>
    </row>
    <row r="1254" customHeight="1" spans="1:2">
      <c r="A1254" s="81">
        <v>44015</v>
      </c>
      <c r="B1254" s="82">
        <v>29.74</v>
      </c>
    </row>
    <row r="1255" customHeight="1" spans="1:2">
      <c r="A1255" s="81">
        <v>44018</v>
      </c>
      <c r="B1255" s="82">
        <v>30.04</v>
      </c>
    </row>
    <row r="1256" customHeight="1" spans="1:2">
      <c r="A1256" s="81">
        <v>44019</v>
      </c>
      <c r="B1256" s="82">
        <v>30.22</v>
      </c>
    </row>
    <row r="1257" customHeight="1" spans="1:2">
      <c r="A1257" s="81">
        <v>44020</v>
      </c>
      <c r="B1257" s="82">
        <v>30.45</v>
      </c>
    </row>
    <row r="1258" customHeight="1" spans="1:2">
      <c r="A1258" s="81">
        <v>44021</v>
      </c>
      <c r="B1258" s="82">
        <v>30.63</v>
      </c>
    </row>
    <row r="1259" customHeight="1" spans="1:2">
      <c r="A1259" s="81">
        <v>44022</v>
      </c>
      <c r="B1259" s="82">
        <v>30.76</v>
      </c>
    </row>
    <row r="1260" customHeight="1" spans="1:2">
      <c r="A1260" s="81">
        <v>44026</v>
      </c>
      <c r="B1260" s="82">
        <v>31.11</v>
      </c>
    </row>
    <row r="1261" customHeight="1" spans="1:2">
      <c r="A1261" s="81">
        <v>44027</v>
      </c>
      <c r="B1261" s="82">
        <v>31.23</v>
      </c>
    </row>
    <row r="1262" customHeight="1" spans="1:2">
      <c r="A1262" s="81">
        <v>44028</v>
      </c>
      <c r="B1262" s="82">
        <v>31.22</v>
      </c>
    </row>
    <row r="1263" customHeight="1" spans="1:2">
      <c r="A1263" s="81">
        <v>44029</v>
      </c>
      <c r="B1263" s="82">
        <v>31.3</v>
      </c>
    </row>
    <row r="1264" customHeight="1" spans="1:2">
      <c r="A1264" s="81">
        <v>44032</v>
      </c>
      <c r="B1264" s="82">
        <v>31.44</v>
      </c>
    </row>
    <row r="1265" customHeight="1" spans="1:2">
      <c r="A1265" s="81">
        <v>44033</v>
      </c>
      <c r="B1265" s="82">
        <v>31.44</v>
      </c>
    </row>
    <row r="1266" customHeight="1" spans="1:2">
      <c r="A1266" s="81">
        <v>44034</v>
      </c>
      <c r="B1266" s="82">
        <v>31.45</v>
      </c>
    </row>
    <row r="1267" customHeight="1" spans="1:2">
      <c r="A1267" s="81">
        <v>44035</v>
      </c>
      <c r="B1267" s="82">
        <v>31.47</v>
      </c>
    </row>
    <row r="1268" customHeight="1" spans="1:2">
      <c r="A1268" s="81">
        <v>44036</v>
      </c>
      <c r="B1268" s="82">
        <v>31.45</v>
      </c>
    </row>
    <row r="1269" customHeight="1" spans="1:2">
      <c r="A1269" s="81">
        <v>44039</v>
      </c>
      <c r="B1269" s="82">
        <v>31.42</v>
      </c>
    </row>
    <row r="1270" customHeight="1" spans="1:2">
      <c r="A1270" s="81">
        <v>44040</v>
      </c>
      <c r="B1270" s="82">
        <v>31.4</v>
      </c>
    </row>
    <row r="1271" customHeight="1" spans="1:2">
      <c r="A1271" s="81">
        <v>44041</v>
      </c>
      <c r="B1271" s="82">
        <v>31.51</v>
      </c>
    </row>
    <row r="1272" customHeight="1" spans="1:2">
      <c r="A1272" s="81">
        <v>44042</v>
      </c>
      <c r="B1272" s="82">
        <v>31.49</v>
      </c>
    </row>
    <row r="1273" customHeight="1" spans="1:2">
      <c r="A1273" s="81">
        <v>44043</v>
      </c>
      <c r="B1273" s="82">
        <v>31.48</v>
      </c>
    </row>
    <row r="1274" customHeight="1" spans="1:2">
      <c r="A1274" s="81">
        <v>44046</v>
      </c>
      <c r="B1274" s="82">
        <v>31.51</v>
      </c>
    </row>
    <row r="1275" customHeight="1" spans="1:2">
      <c r="A1275" s="81">
        <v>44047</v>
      </c>
      <c r="B1275" s="82">
        <v>31.53</v>
      </c>
    </row>
    <row r="1276" customHeight="1" spans="1:2">
      <c r="A1276" s="81">
        <v>44048</v>
      </c>
      <c r="B1276" s="82">
        <v>31.54</v>
      </c>
    </row>
    <row r="1277" customHeight="1" spans="1:2">
      <c r="A1277" s="81">
        <v>44049</v>
      </c>
      <c r="B1277" s="82">
        <v>31.58</v>
      </c>
    </row>
    <row r="1278" customHeight="1" spans="1:2">
      <c r="A1278" s="81">
        <v>44050</v>
      </c>
      <c r="B1278" s="82">
        <v>31.57</v>
      </c>
    </row>
    <row r="1279" customHeight="1" spans="1:2">
      <c r="A1279" s="81">
        <v>44053</v>
      </c>
      <c r="B1279" s="82">
        <v>31.57</v>
      </c>
    </row>
    <row r="1280" customHeight="1" spans="1:2">
      <c r="A1280" s="81">
        <v>44054</v>
      </c>
      <c r="B1280" s="82">
        <v>31.59</v>
      </c>
    </row>
    <row r="1281" customHeight="1" spans="1:2">
      <c r="A1281" s="81">
        <v>44055</v>
      </c>
      <c r="B1281" s="82">
        <v>31.59</v>
      </c>
    </row>
    <row r="1282" customHeight="1" spans="1:2">
      <c r="A1282" s="81">
        <v>44056</v>
      </c>
      <c r="B1282" s="82">
        <v>31.6</v>
      </c>
    </row>
    <row r="1283" customHeight="1" spans="1:2">
      <c r="A1283" s="81">
        <v>44057</v>
      </c>
      <c r="B1283" s="82">
        <v>31.65</v>
      </c>
    </row>
    <row r="1284" customHeight="1" spans="1:2">
      <c r="A1284" s="81">
        <v>44060</v>
      </c>
      <c r="B1284" s="82">
        <v>31.62</v>
      </c>
    </row>
    <row r="1285" customHeight="1" spans="1:2">
      <c r="A1285" s="81">
        <v>44061</v>
      </c>
      <c r="B1285" s="82">
        <v>31.62</v>
      </c>
    </row>
    <row r="1286" customHeight="1" spans="1:2">
      <c r="A1286" s="81">
        <v>44062</v>
      </c>
      <c r="B1286" s="82">
        <v>31.62</v>
      </c>
    </row>
    <row r="1287" customHeight="1" spans="1:2">
      <c r="A1287" s="81">
        <v>44063</v>
      </c>
      <c r="B1287" s="82">
        <v>31.58</v>
      </c>
    </row>
    <row r="1288" customHeight="1" spans="1:2">
      <c r="A1288" s="81">
        <v>44064</v>
      </c>
      <c r="B1288" s="82">
        <v>31.62</v>
      </c>
    </row>
    <row r="1289" customHeight="1" spans="1:2">
      <c r="A1289" s="81">
        <v>44067</v>
      </c>
      <c r="B1289" s="82">
        <v>31.6</v>
      </c>
    </row>
    <row r="1290" customHeight="1" spans="1:2">
      <c r="A1290" s="81">
        <v>44068</v>
      </c>
      <c r="B1290" s="82">
        <v>31.68</v>
      </c>
    </row>
    <row r="1291" customHeight="1" spans="1:2">
      <c r="A1291" s="81">
        <v>44069</v>
      </c>
      <c r="B1291" s="82">
        <v>31.65</v>
      </c>
    </row>
    <row r="1292" customHeight="1" spans="1:2">
      <c r="A1292" s="81">
        <v>44070</v>
      </c>
      <c r="B1292" s="82">
        <v>31.67</v>
      </c>
    </row>
    <row r="1293" customHeight="1" spans="1:2">
      <c r="A1293" s="81">
        <v>44071</v>
      </c>
      <c r="B1293" s="82">
        <v>31.63</v>
      </c>
    </row>
    <row r="1294" customHeight="1" spans="1:2">
      <c r="A1294" s="81">
        <v>44074</v>
      </c>
      <c r="B1294" s="82">
        <v>31.66</v>
      </c>
    </row>
    <row r="1295" customHeight="1" spans="1:2">
      <c r="A1295" s="81">
        <v>44075</v>
      </c>
      <c r="B1295" s="82">
        <v>31.65</v>
      </c>
    </row>
    <row r="1296" customHeight="1" spans="1:2">
      <c r="A1296" s="81">
        <v>44076</v>
      </c>
      <c r="B1296" s="82">
        <v>31.67</v>
      </c>
    </row>
    <row r="1297" customHeight="1" spans="1:2">
      <c r="A1297" s="81">
        <v>44077</v>
      </c>
      <c r="B1297" s="82">
        <v>31.64</v>
      </c>
    </row>
    <row r="1298" customHeight="1" spans="1:2">
      <c r="A1298" s="81">
        <v>44078</v>
      </c>
      <c r="B1298" s="82">
        <v>31.61</v>
      </c>
    </row>
    <row r="1299" customHeight="1" spans="1:2">
      <c r="A1299" s="81">
        <v>44081</v>
      </c>
      <c r="B1299" s="82">
        <v>31.58</v>
      </c>
    </row>
    <row r="1300" customHeight="1" spans="1:2">
      <c r="A1300" s="81">
        <v>44082</v>
      </c>
      <c r="B1300" s="82">
        <v>31.61</v>
      </c>
    </row>
    <row r="1301" customHeight="1" spans="1:2">
      <c r="A1301" s="81">
        <v>44083</v>
      </c>
      <c r="B1301" s="82">
        <v>31.57</v>
      </c>
    </row>
    <row r="1302" customHeight="1" spans="1:2">
      <c r="A1302" s="81">
        <v>44084</v>
      </c>
      <c r="B1302" s="82">
        <v>31.55</v>
      </c>
    </row>
    <row r="1303" customHeight="1" spans="1:2">
      <c r="A1303" s="81">
        <v>44085</v>
      </c>
      <c r="B1303" s="82">
        <v>31.51</v>
      </c>
    </row>
    <row r="1304" customHeight="1" spans="1:2">
      <c r="A1304" s="81">
        <v>44088</v>
      </c>
      <c r="B1304" s="82">
        <v>31.48</v>
      </c>
    </row>
    <row r="1305" customHeight="1" spans="1:2">
      <c r="A1305" s="81">
        <v>44089</v>
      </c>
      <c r="B1305" s="82">
        <v>31.48</v>
      </c>
    </row>
    <row r="1306" customHeight="1" spans="1:2">
      <c r="A1306" s="81">
        <v>44090</v>
      </c>
      <c r="B1306" s="82">
        <v>31.45</v>
      </c>
    </row>
    <row r="1307" customHeight="1" spans="1:2">
      <c r="A1307" s="81">
        <v>44091</v>
      </c>
      <c r="B1307" s="82">
        <v>31.42</v>
      </c>
    </row>
    <row r="1308" customHeight="1" spans="1:2">
      <c r="A1308" s="81">
        <v>44092</v>
      </c>
      <c r="B1308" s="82">
        <v>31.42</v>
      </c>
    </row>
    <row r="1309" customHeight="1" spans="1:2">
      <c r="A1309" s="81">
        <v>44095</v>
      </c>
      <c r="B1309" s="82">
        <v>31.37</v>
      </c>
    </row>
    <row r="1310" customHeight="1" spans="1:2">
      <c r="A1310" s="81">
        <v>44096</v>
      </c>
      <c r="B1310" s="82">
        <v>31.33</v>
      </c>
    </row>
    <row r="1311" customHeight="1" spans="1:2">
      <c r="A1311" s="81">
        <v>44097</v>
      </c>
      <c r="B1311" s="82">
        <v>31.27</v>
      </c>
    </row>
    <row r="1312" customHeight="1" spans="1:2">
      <c r="A1312" s="81">
        <v>44098</v>
      </c>
      <c r="B1312" s="82">
        <v>31.12</v>
      </c>
    </row>
    <row r="1313" customHeight="1" spans="1:2">
      <c r="A1313" s="81">
        <v>44099</v>
      </c>
      <c r="B1313" s="82">
        <v>30.95</v>
      </c>
    </row>
    <row r="1314" customHeight="1" spans="1:2">
      <c r="A1314" s="81">
        <v>44101</v>
      </c>
      <c r="B1314" s="82">
        <v>30.86</v>
      </c>
    </row>
    <row r="1315" customHeight="1" spans="1:2">
      <c r="A1315" s="81">
        <v>44102</v>
      </c>
      <c r="B1315" s="82">
        <v>30.81</v>
      </c>
    </row>
    <row r="1316" customHeight="1" spans="1:2">
      <c r="A1316" s="81">
        <v>44103</v>
      </c>
      <c r="B1316" s="82">
        <v>30.81</v>
      </c>
    </row>
    <row r="1317" customHeight="1" spans="1:2">
      <c r="A1317" s="81">
        <v>44104</v>
      </c>
      <c r="B1317" s="82">
        <v>30.74</v>
      </c>
    </row>
    <row r="1318" customHeight="1" spans="1:2">
      <c r="A1318" s="81">
        <v>44112</v>
      </c>
      <c r="B1318" s="82">
        <v>30.56</v>
      </c>
    </row>
    <row r="1319" customHeight="1" spans="1:2">
      <c r="A1319" s="81">
        <v>44113</v>
      </c>
      <c r="B1319" s="82">
        <v>30.47</v>
      </c>
    </row>
    <row r="1320" customHeight="1" spans="1:2">
      <c r="A1320" s="81">
        <v>44114</v>
      </c>
      <c r="B1320" s="82">
        <v>30.31</v>
      </c>
    </row>
    <row r="1321" customHeight="1" spans="1:2">
      <c r="A1321" s="81">
        <v>44116</v>
      </c>
      <c r="B1321" s="82">
        <v>30.14</v>
      </c>
    </row>
    <row r="1322" customHeight="1" spans="1:2">
      <c r="A1322" s="81">
        <v>44117</v>
      </c>
      <c r="B1322" s="82">
        <v>30.05</v>
      </c>
    </row>
    <row r="1323" customHeight="1" spans="1:2">
      <c r="A1323" s="81">
        <v>44118</v>
      </c>
      <c r="B1323" s="82">
        <v>29.92</v>
      </c>
    </row>
    <row r="1324" customHeight="1" spans="1:2">
      <c r="A1324" s="81">
        <v>44119</v>
      </c>
      <c r="B1324" s="82">
        <v>29.77</v>
      </c>
    </row>
    <row r="1325" customHeight="1" spans="1:2">
      <c r="A1325" s="81">
        <v>44120</v>
      </c>
      <c r="B1325" s="82">
        <v>29.58</v>
      </c>
    </row>
    <row r="1326" customHeight="1" spans="1:2">
      <c r="A1326" s="81">
        <v>44123</v>
      </c>
      <c r="B1326" s="82">
        <v>29.4</v>
      </c>
    </row>
    <row r="1327" customHeight="1" spans="1:2">
      <c r="A1327" s="81">
        <v>44124</v>
      </c>
      <c r="B1327" s="82">
        <v>29.27</v>
      </c>
    </row>
    <row r="1328" customHeight="1" spans="1:2">
      <c r="A1328" s="81">
        <v>44125</v>
      </c>
      <c r="B1328" s="82">
        <v>29.1</v>
      </c>
    </row>
    <row r="1329" customHeight="1" spans="1:2">
      <c r="A1329" s="81">
        <v>44126</v>
      </c>
      <c r="B1329" s="82">
        <v>29</v>
      </c>
    </row>
    <row r="1330" customHeight="1" spans="1:2">
      <c r="A1330" s="81">
        <v>44127</v>
      </c>
      <c r="B1330" s="82">
        <v>28.88</v>
      </c>
    </row>
    <row r="1331" customHeight="1" spans="1:2">
      <c r="A1331" s="81">
        <v>44130</v>
      </c>
      <c r="B1331" s="82">
        <v>28.69</v>
      </c>
    </row>
    <row r="1332" customHeight="1" spans="1:2">
      <c r="A1332" s="81">
        <v>44131</v>
      </c>
      <c r="B1332" s="82">
        <v>28.53</v>
      </c>
    </row>
    <row r="1333" customHeight="1" spans="1:2">
      <c r="A1333" s="81">
        <v>44132</v>
      </c>
      <c r="B1333" s="82">
        <v>28.47</v>
      </c>
    </row>
    <row r="1334" customHeight="1" spans="1:2">
      <c r="A1334" s="81">
        <v>44133</v>
      </c>
      <c r="B1334" s="82">
        <v>28.36</v>
      </c>
    </row>
    <row r="1335" customHeight="1" spans="1:2">
      <c r="A1335" s="81">
        <v>44134</v>
      </c>
      <c r="B1335" s="82">
        <v>28.18</v>
      </c>
    </row>
    <row r="1336" customHeight="1" spans="1:2">
      <c r="A1336" s="81">
        <v>44137</v>
      </c>
      <c r="B1336" s="82">
        <v>28.04</v>
      </c>
    </row>
    <row r="1337" customHeight="1" spans="1:2">
      <c r="A1337" s="81">
        <v>44138</v>
      </c>
      <c r="B1337" s="82">
        <v>27.99</v>
      </c>
    </row>
    <row r="1338" customHeight="1" spans="1:2">
      <c r="A1338" s="81">
        <v>44139</v>
      </c>
      <c r="B1338" s="82">
        <v>27.92</v>
      </c>
    </row>
    <row r="1339" customHeight="1" spans="1:2">
      <c r="A1339" s="81">
        <v>44140</v>
      </c>
      <c r="B1339" s="82">
        <v>27.88</v>
      </c>
    </row>
    <row r="1340" customHeight="1" spans="1:2">
      <c r="A1340" s="81">
        <v>44141</v>
      </c>
      <c r="B1340" s="82">
        <v>27.82</v>
      </c>
    </row>
    <row r="1341" customHeight="1" spans="1:2">
      <c r="A1341" s="81">
        <v>44144</v>
      </c>
      <c r="B1341" s="82">
        <v>27.69</v>
      </c>
    </row>
    <row r="1342" customHeight="1" spans="1:2">
      <c r="A1342" s="81">
        <v>44145</v>
      </c>
      <c r="B1342" s="82">
        <v>27.7</v>
      </c>
    </row>
    <row r="1343" customHeight="1" spans="1:2">
      <c r="A1343" s="81">
        <v>44146</v>
      </c>
      <c r="B1343" s="82">
        <v>27.58</v>
      </c>
    </row>
    <row r="1344" customHeight="1" spans="1:2">
      <c r="A1344" s="81">
        <v>44147</v>
      </c>
      <c r="B1344" s="82">
        <v>27.59</v>
      </c>
    </row>
    <row r="1345" customHeight="1" spans="1:2">
      <c r="A1345" s="81">
        <v>44148</v>
      </c>
      <c r="B1345" s="82">
        <v>27.58</v>
      </c>
    </row>
    <row r="1346" customHeight="1" spans="1:2">
      <c r="A1346" s="81">
        <v>44151</v>
      </c>
      <c r="B1346" s="82">
        <v>27.55</v>
      </c>
    </row>
    <row r="1347" customHeight="1" spans="1:2">
      <c r="A1347" s="81">
        <v>44152</v>
      </c>
      <c r="B1347" s="82">
        <v>27.52</v>
      </c>
    </row>
    <row r="1348" customHeight="1" spans="1:2">
      <c r="A1348" s="81">
        <v>44153</v>
      </c>
      <c r="B1348" s="82">
        <v>27.46</v>
      </c>
    </row>
    <row r="1349" customHeight="1" spans="1:2">
      <c r="A1349" s="81">
        <v>44154</v>
      </c>
      <c r="B1349" s="82">
        <v>27.39</v>
      </c>
    </row>
    <row r="1350" customHeight="1" spans="1:2">
      <c r="A1350" s="81">
        <v>44155</v>
      </c>
      <c r="B1350" s="82">
        <v>27.33</v>
      </c>
    </row>
    <row r="1351" customHeight="1" spans="1:2">
      <c r="A1351" s="81">
        <v>44158</v>
      </c>
      <c r="B1351" s="82">
        <v>27.25</v>
      </c>
    </row>
    <row r="1352" customHeight="1" spans="1:2">
      <c r="A1352" s="81">
        <v>44159</v>
      </c>
      <c r="B1352" s="82">
        <v>27.25</v>
      </c>
    </row>
    <row r="1353" customHeight="1" spans="1:2">
      <c r="A1353" s="81">
        <v>44160</v>
      </c>
      <c r="B1353" s="82">
        <v>27.21</v>
      </c>
    </row>
    <row r="1354" customHeight="1" spans="1:2">
      <c r="A1354" s="81">
        <v>44161</v>
      </c>
      <c r="B1354" s="82">
        <v>27.21</v>
      </c>
    </row>
    <row r="1355" customHeight="1" spans="1:2">
      <c r="A1355" s="81">
        <v>44162</v>
      </c>
      <c r="B1355" s="82">
        <v>27.19</v>
      </c>
    </row>
    <row r="1356" customHeight="1" spans="1:2">
      <c r="A1356" s="81">
        <v>44165</v>
      </c>
      <c r="B1356" s="82">
        <v>27.4</v>
      </c>
    </row>
    <row r="1357" customHeight="1" spans="1:2">
      <c r="A1357" s="81">
        <v>44166</v>
      </c>
      <c r="B1357" s="82">
        <v>27.48</v>
      </c>
    </row>
    <row r="1358" customHeight="1" spans="1:2">
      <c r="A1358" s="81">
        <v>44167</v>
      </c>
      <c r="B1358" s="82">
        <v>27.5</v>
      </c>
    </row>
    <row r="1359" customHeight="1" spans="1:2">
      <c r="A1359" s="81">
        <v>44168</v>
      </c>
      <c r="B1359" s="82">
        <v>27.71</v>
      </c>
    </row>
    <row r="1360" customHeight="1" spans="1:2">
      <c r="A1360" s="81">
        <v>44169</v>
      </c>
      <c r="B1360" s="82">
        <v>27.8</v>
      </c>
    </row>
    <row r="1361" customHeight="1" spans="1:2">
      <c r="A1361" s="81">
        <v>44172</v>
      </c>
      <c r="B1361" s="82">
        <v>28.03</v>
      </c>
    </row>
    <row r="1362" customHeight="1" spans="1:2">
      <c r="A1362" s="81">
        <v>44173</v>
      </c>
      <c r="B1362" s="82">
        <v>28.06</v>
      </c>
    </row>
    <row r="1363" customHeight="1" spans="1:2">
      <c r="A1363" s="81">
        <v>44174</v>
      </c>
      <c r="B1363" s="82">
        <v>28.17</v>
      </c>
    </row>
    <row r="1364" customHeight="1" spans="1:2">
      <c r="A1364" s="81">
        <v>44175</v>
      </c>
      <c r="B1364" s="82">
        <v>28.24</v>
      </c>
    </row>
    <row r="1365" customHeight="1" spans="1:2">
      <c r="A1365" s="81">
        <v>44176</v>
      </c>
      <c r="B1365" s="82">
        <v>28.3</v>
      </c>
    </row>
    <row r="1366" customHeight="1" spans="1:2">
      <c r="A1366" s="81">
        <v>44179</v>
      </c>
      <c r="B1366" s="82">
        <v>28.49</v>
      </c>
    </row>
    <row r="1367" customHeight="1" spans="1:2">
      <c r="A1367" s="81">
        <v>44180</v>
      </c>
      <c r="B1367" s="82">
        <v>28.65</v>
      </c>
    </row>
    <row r="1368" customHeight="1" spans="1:2">
      <c r="A1368" s="81">
        <v>44181</v>
      </c>
      <c r="B1368" s="82">
        <v>28.67</v>
      </c>
    </row>
    <row r="1369" customHeight="1" spans="1:2">
      <c r="A1369" s="81">
        <v>44182</v>
      </c>
      <c r="B1369" s="82">
        <v>28.75</v>
      </c>
    </row>
    <row r="1370" customHeight="1" spans="1:2">
      <c r="A1370" s="81">
        <v>44183</v>
      </c>
      <c r="B1370" s="82">
        <v>28.72</v>
      </c>
    </row>
    <row r="1371" customHeight="1" spans="1:2">
      <c r="A1371" s="81">
        <v>44186</v>
      </c>
      <c r="B1371" s="82">
        <v>28.73</v>
      </c>
    </row>
    <row r="1372" customHeight="1" spans="1:2">
      <c r="A1372" s="81">
        <v>44187</v>
      </c>
      <c r="B1372" s="82">
        <v>28.87</v>
      </c>
    </row>
    <row r="1373" customHeight="1" spans="1:2">
      <c r="A1373" s="81">
        <v>44188</v>
      </c>
      <c r="B1373" s="82">
        <v>28.95</v>
      </c>
    </row>
    <row r="1374" customHeight="1" spans="1:2">
      <c r="A1374" s="81">
        <v>44189</v>
      </c>
      <c r="B1374" s="82">
        <v>28.98</v>
      </c>
    </row>
    <row r="1375" customHeight="1" spans="1:2">
      <c r="A1375" s="81">
        <v>44190</v>
      </c>
      <c r="B1375" s="82">
        <v>28.98</v>
      </c>
    </row>
    <row r="1376" customHeight="1" spans="1:2">
      <c r="A1376" s="81">
        <v>44193</v>
      </c>
      <c r="B1376" s="82">
        <v>29.07</v>
      </c>
    </row>
    <row r="1377" customHeight="1" spans="1:2">
      <c r="A1377" s="81">
        <v>44194</v>
      </c>
      <c r="B1377" s="82">
        <v>29.13</v>
      </c>
    </row>
    <row r="1378" customHeight="1" spans="1:2">
      <c r="A1378" s="81">
        <v>44195</v>
      </c>
      <c r="B1378" s="82">
        <v>29.2</v>
      </c>
    </row>
    <row r="1379" customHeight="1" spans="1:2">
      <c r="A1379" s="81">
        <v>44196</v>
      </c>
      <c r="B1379" s="82">
        <v>29.21</v>
      </c>
    </row>
    <row r="1380" customHeight="1" spans="1:2">
      <c r="A1380" s="81">
        <v>44199</v>
      </c>
      <c r="B1380" s="82">
        <v>29.31</v>
      </c>
    </row>
    <row r="1381" customHeight="1" spans="1:2">
      <c r="A1381" s="81">
        <v>44200</v>
      </c>
      <c r="B1381" s="82">
        <v>29.36</v>
      </c>
    </row>
    <row r="1382" customHeight="1" spans="1:2">
      <c r="A1382" s="81">
        <v>44201</v>
      </c>
      <c r="B1382" s="82">
        <v>29.41</v>
      </c>
    </row>
    <row r="1383" customHeight="1" spans="1:2">
      <c r="A1383" s="81">
        <v>44202</v>
      </c>
      <c r="B1383" s="82">
        <v>29.47</v>
      </c>
    </row>
    <row r="1384" customHeight="1" spans="1:2">
      <c r="A1384" s="81">
        <v>44203</v>
      </c>
      <c r="B1384" s="82">
        <v>29.54</v>
      </c>
    </row>
    <row r="1385" customHeight="1" spans="1:2">
      <c r="A1385" s="81">
        <v>44204</v>
      </c>
      <c r="B1385" s="82">
        <v>29.61</v>
      </c>
    </row>
    <row r="1386" customHeight="1" spans="1:2">
      <c r="A1386" s="81">
        <v>44207</v>
      </c>
      <c r="B1386" s="82">
        <v>29.73</v>
      </c>
    </row>
    <row r="1387" customHeight="1" spans="1:2">
      <c r="A1387" s="81">
        <v>44208</v>
      </c>
      <c r="B1387" s="82">
        <v>29.77</v>
      </c>
    </row>
    <row r="1388" customHeight="1" spans="1:2">
      <c r="A1388" s="81">
        <v>44209</v>
      </c>
      <c r="B1388" s="82">
        <v>29.93</v>
      </c>
    </row>
    <row r="1389" customHeight="1" spans="1:2">
      <c r="A1389" s="81">
        <v>44210</v>
      </c>
      <c r="B1389" s="82">
        <v>30</v>
      </c>
    </row>
    <row r="1390" customHeight="1" spans="1:2">
      <c r="A1390" s="81">
        <v>44211</v>
      </c>
      <c r="B1390" s="82">
        <v>30.02</v>
      </c>
    </row>
    <row r="1391" customHeight="1" spans="1:2">
      <c r="A1391" s="81">
        <v>44214</v>
      </c>
      <c r="B1391" s="82">
        <v>30.14</v>
      </c>
    </row>
    <row r="1392" customHeight="1" spans="1:2">
      <c r="A1392" s="81">
        <v>44215</v>
      </c>
      <c r="B1392" s="82">
        <v>30.24</v>
      </c>
    </row>
    <row r="1393" customHeight="1" spans="1:2">
      <c r="A1393" s="81">
        <v>44216</v>
      </c>
      <c r="B1393" s="82">
        <v>30.29</v>
      </c>
    </row>
    <row r="1394" customHeight="1" spans="1:2">
      <c r="A1394" s="81">
        <v>44217</v>
      </c>
      <c r="B1394" s="82">
        <v>30.36</v>
      </c>
    </row>
    <row r="1395" customHeight="1" spans="1:2">
      <c r="A1395" s="81">
        <v>44218</v>
      </c>
      <c r="B1395" s="82">
        <v>30.36</v>
      </c>
    </row>
    <row r="1396" customHeight="1" spans="1:2">
      <c r="A1396" s="81">
        <v>44221</v>
      </c>
      <c r="B1396" s="82">
        <v>30.31</v>
      </c>
    </row>
    <row r="1397" customHeight="1" spans="1:2">
      <c r="A1397" s="81">
        <v>44222</v>
      </c>
      <c r="B1397" s="82">
        <v>30.31</v>
      </c>
    </row>
    <row r="1398" customHeight="1" spans="1:2">
      <c r="A1398" s="81">
        <v>44223</v>
      </c>
      <c r="B1398" s="82">
        <v>30.26</v>
      </c>
    </row>
    <row r="1399" customHeight="1" spans="1:2">
      <c r="A1399" s="81">
        <v>44224</v>
      </c>
      <c r="B1399" s="82">
        <v>30.14</v>
      </c>
    </row>
    <row r="1400" customHeight="1" spans="1:2">
      <c r="A1400" s="81">
        <v>44225</v>
      </c>
      <c r="B1400" s="82">
        <v>30.05</v>
      </c>
    </row>
    <row r="1401" customHeight="1" spans="1:2">
      <c r="A1401" s="81">
        <v>44228</v>
      </c>
      <c r="B1401" s="82">
        <v>29.99</v>
      </c>
    </row>
    <row r="1402" customHeight="1" spans="1:2">
      <c r="A1402" s="81">
        <v>44229</v>
      </c>
      <c r="B1402" s="82">
        <v>29.96</v>
      </c>
    </row>
    <row r="1403" customHeight="1" spans="1:2">
      <c r="A1403" s="81">
        <v>44230</v>
      </c>
      <c r="B1403" s="82">
        <v>29.91</v>
      </c>
    </row>
    <row r="1404" customHeight="1" spans="1:2">
      <c r="A1404" s="81">
        <v>44231</v>
      </c>
      <c r="B1404" s="82">
        <v>29.84</v>
      </c>
    </row>
    <row r="1405" customHeight="1" spans="1:2">
      <c r="A1405" s="81">
        <v>44232</v>
      </c>
      <c r="B1405" s="82">
        <v>29.8</v>
      </c>
    </row>
    <row r="1406" customHeight="1" spans="1:2">
      <c r="A1406" s="81">
        <v>44233</v>
      </c>
      <c r="B1406" s="82">
        <v>29.73</v>
      </c>
    </row>
    <row r="1407" customHeight="1" spans="1:2">
      <c r="A1407" s="81">
        <v>44234</v>
      </c>
      <c r="B1407" s="82">
        <v>29.75</v>
      </c>
    </row>
    <row r="1408" customHeight="1" spans="1:2">
      <c r="A1408" s="81">
        <v>44235</v>
      </c>
      <c r="B1408" s="82">
        <v>29.75</v>
      </c>
    </row>
    <row r="1409" customHeight="1" spans="1:2">
      <c r="A1409" s="81">
        <v>44236</v>
      </c>
      <c r="B1409" s="82">
        <v>29.79</v>
      </c>
    </row>
    <row r="1410" customHeight="1" spans="1:2">
      <c r="A1410" s="81">
        <v>44237</v>
      </c>
      <c r="B1410" s="82">
        <v>29.86</v>
      </c>
    </row>
    <row r="1411" customHeight="1" spans="1:2">
      <c r="A1411" s="81">
        <v>44245</v>
      </c>
      <c r="B1411" s="82">
        <v>29.75</v>
      </c>
    </row>
    <row r="1412" customHeight="1" spans="1:2">
      <c r="A1412" s="81">
        <v>44246</v>
      </c>
      <c r="B1412" s="82">
        <v>29.66</v>
      </c>
    </row>
    <row r="1413" customHeight="1" spans="1:2">
      <c r="A1413" s="81">
        <v>44247</v>
      </c>
      <c r="B1413" s="82">
        <v>29.51</v>
      </c>
    </row>
    <row r="1414" customHeight="1" spans="1:2">
      <c r="A1414" s="81">
        <v>44249</v>
      </c>
      <c r="B1414" s="82">
        <v>29.1</v>
      </c>
    </row>
    <row r="1415" customHeight="1" spans="1:2">
      <c r="A1415" s="81">
        <v>44250</v>
      </c>
      <c r="B1415" s="82">
        <v>28.88</v>
      </c>
    </row>
    <row r="1416" customHeight="1" spans="1:2">
      <c r="A1416" s="81">
        <v>44251</v>
      </c>
      <c r="B1416" s="82">
        <v>28.61</v>
      </c>
    </row>
    <row r="1417" customHeight="1" spans="1:2">
      <c r="A1417" s="81">
        <v>44252</v>
      </c>
      <c r="B1417" s="82">
        <v>28.37</v>
      </c>
    </row>
    <row r="1418" customHeight="1" spans="1:2">
      <c r="A1418" s="81">
        <v>44253</v>
      </c>
      <c r="B1418" s="82">
        <v>28.16</v>
      </c>
    </row>
    <row r="1419" customHeight="1" spans="1:2">
      <c r="A1419" s="81">
        <v>44256</v>
      </c>
      <c r="B1419" s="82">
        <v>27.77</v>
      </c>
    </row>
    <row r="1420" customHeight="1" spans="1:2">
      <c r="A1420" s="81">
        <v>44257</v>
      </c>
      <c r="B1420" s="82">
        <v>27.68</v>
      </c>
    </row>
    <row r="1421" customHeight="1" spans="1:2">
      <c r="A1421" s="81">
        <v>44258</v>
      </c>
      <c r="B1421" s="82">
        <v>27.58</v>
      </c>
    </row>
    <row r="1422" customHeight="1" spans="1:2">
      <c r="A1422" s="81">
        <v>44259</v>
      </c>
      <c r="B1422" s="82">
        <v>27.54</v>
      </c>
    </row>
    <row r="1423" customHeight="1" spans="1:2">
      <c r="A1423" s="81">
        <v>44260</v>
      </c>
      <c r="B1423" s="82">
        <v>27.47</v>
      </c>
    </row>
    <row r="1424" customHeight="1" spans="1:2">
      <c r="A1424" s="81">
        <v>44263</v>
      </c>
      <c r="B1424" s="82">
        <v>27.26</v>
      </c>
    </row>
    <row r="1425" customHeight="1" spans="1:2">
      <c r="A1425" s="81">
        <v>44264</v>
      </c>
      <c r="B1425" s="82">
        <v>27.23</v>
      </c>
    </row>
    <row r="1426" customHeight="1" spans="1:2">
      <c r="A1426" s="81">
        <v>44265</v>
      </c>
      <c r="B1426" s="82">
        <v>27.15</v>
      </c>
    </row>
    <row r="1427" customHeight="1" spans="1:2">
      <c r="A1427" s="81">
        <v>44266</v>
      </c>
      <c r="B1427" s="82">
        <v>27.08</v>
      </c>
    </row>
    <row r="1428" customHeight="1" spans="1:2">
      <c r="A1428" s="81">
        <v>44267</v>
      </c>
      <c r="B1428" s="82">
        <v>26.91</v>
      </c>
    </row>
    <row r="1429" customHeight="1" spans="1:2">
      <c r="A1429" s="81">
        <v>44270</v>
      </c>
      <c r="B1429" s="82">
        <v>26.86</v>
      </c>
    </row>
    <row r="1430" customHeight="1" spans="1:2">
      <c r="A1430" s="81">
        <v>44271</v>
      </c>
      <c r="B1430" s="82">
        <v>26.86</v>
      </c>
    </row>
    <row r="1431" customHeight="1" spans="1:2">
      <c r="A1431" s="81">
        <v>44272</v>
      </c>
      <c r="B1431" s="82">
        <v>26.8</v>
      </c>
    </row>
    <row r="1432" customHeight="1" spans="1:2">
      <c r="A1432" s="81">
        <v>44273</v>
      </c>
      <c r="B1432" s="82">
        <v>26.71</v>
      </c>
    </row>
    <row r="1433" customHeight="1" spans="1:2">
      <c r="A1433" s="81">
        <v>44278</v>
      </c>
      <c r="B1433" s="82">
        <v>26.44</v>
      </c>
    </row>
    <row r="1434" customHeight="1" spans="1:2">
      <c r="A1434" s="81">
        <v>44279</v>
      </c>
      <c r="B1434" s="82">
        <v>26.31</v>
      </c>
    </row>
    <row r="1435" customHeight="1" spans="1:2">
      <c r="A1435" s="81">
        <v>44280</v>
      </c>
      <c r="B1435" s="82">
        <v>26.25</v>
      </c>
    </row>
    <row r="1436" customHeight="1" spans="1:2">
      <c r="A1436" s="81">
        <v>44281</v>
      </c>
      <c r="B1436" s="82">
        <v>26.21</v>
      </c>
    </row>
    <row r="1437" customHeight="1" spans="1:2">
      <c r="A1437" s="81">
        <v>44284</v>
      </c>
      <c r="B1437" s="82">
        <v>26.14</v>
      </c>
    </row>
    <row r="1438" customHeight="1" spans="1:2">
      <c r="A1438" s="81">
        <v>44285</v>
      </c>
      <c r="B1438" s="82">
        <v>26.05</v>
      </c>
    </row>
    <row r="1439" customHeight="1" spans="1:2">
      <c r="A1439" s="81">
        <v>44286</v>
      </c>
      <c r="B1439" s="82">
        <v>25.9</v>
      </c>
    </row>
    <row r="1440" customHeight="1" spans="1:2">
      <c r="A1440" s="81">
        <v>44287</v>
      </c>
      <c r="B1440" s="82">
        <v>25.8</v>
      </c>
    </row>
    <row r="1441" customHeight="1" spans="1:2">
      <c r="A1441" s="81">
        <v>44288</v>
      </c>
      <c r="B1441" s="82">
        <v>25.64</v>
      </c>
    </row>
    <row r="1442" customHeight="1" spans="1:2">
      <c r="A1442" s="81">
        <v>44298</v>
      </c>
      <c r="B1442" s="82">
        <v>24.54</v>
      </c>
    </row>
    <row r="1443" customHeight="1" spans="1:2">
      <c r="A1443" s="81">
        <v>44299</v>
      </c>
      <c r="B1443" s="82">
        <v>24.34</v>
      </c>
    </row>
    <row r="1444" customHeight="1" spans="1:2">
      <c r="A1444" s="81">
        <v>44300</v>
      </c>
      <c r="B1444" s="82">
        <v>24.19</v>
      </c>
    </row>
    <row r="1445" customHeight="1" spans="1:2">
      <c r="A1445" s="81">
        <v>44301</v>
      </c>
      <c r="B1445" s="82">
        <v>24.09</v>
      </c>
    </row>
    <row r="1446" customHeight="1" spans="1:2">
      <c r="A1446" s="81">
        <v>44302</v>
      </c>
      <c r="B1446" s="82">
        <v>24</v>
      </c>
    </row>
    <row r="1447" customHeight="1" spans="1:2">
      <c r="A1447" s="81">
        <v>44307</v>
      </c>
      <c r="B1447" s="82">
        <v>23.67</v>
      </c>
    </row>
    <row r="1448" customHeight="1" spans="1:2">
      <c r="A1448" s="81">
        <v>44308</v>
      </c>
      <c r="B1448" s="82">
        <v>23.58</v>
      </c>
    </row>
    <row r="1449" customHeight="1" spans="1:2">
      <c r="A1449" s="81">
        <v>44309</v>
      </c>
      <c r="B1449" s="82">
        <v>23.49</v>
      </c>
    </row>
    <row r="1450" customHeight="1" spans="1:2">
      <c r="A1450" s="81">
        <v>44311</v>
      </c>
      <c r="B1450" s="82">
        <v>23.37</v>
      </c>
    </row>
    <row r="1451" customHeight="1" spans="1:2">
      <c r="A1451" s="81">
        <v>44312</v>
      </c>
      <c r="B1451" s="82">
        <v>23.37</v>
      </c>
    </row>
    <row r="1452" customHeight="1" spans="1:2">
      <c r="A1452" s="81">
        <v>44313</v>
      </c>
      <c r="B1452" s="82">
        <v>23.3</v>
      </c>
    </row>
    <row r="1453" customHeight="1" spans="1:2">
      <c r="A1453" s="81">
        <v>44314</v>
      </c>
      <c r="B1453" s="82">
        <v>23.32</v>
      </c>
    </row>
    <row r="1454" customHeight="1" spans="1:2">
      <c r="A1454" s="81">
        <v>44315</v>
      </c>
      <c r="B1454" s="82">
        <v>23.28</v>
      </c>
    </row>
    <row r="1455" customHeight="1" spans="1:2">
      <c r="A1455" s="81">
        <v>44316</v>
      </c>
      <c r="B1455" s="82">
        <v>23.23</v>
      </c>
    </row>
    <row r="1456" customHeight="1" spans="1:2">
      <c r="A1456" s="81">
        <v>44322</v>
      </c>
      <c r="B1456" s="82">
        <v>22.91</v>
      </c>
    </row>
    <row r="1457" customHeight="1" spans="1:2">
      <c r="A1457" s="81">
        <v>44323</v>
      </c>
      <c r="B1457" s="82">
        <v>22.82</v>
      </c>
    </row>
    <row r="1458" customHeight="1" spans="1:2">
      <c r="A1458" s="81">
        <v>44324</v>
      </c>
      <c r="B1458" s="82">
        <v>22.71</v>
      </c>
    </row>
    <row r="1459" customHeight="1" spans="1:2">
      <c r="A1459" s="81">
        <v>44326</v>
      </c>
      <c r="B1459" s="82">
        <v>22.57</v>
      </c>
    </row>
    <row r="1460" customHeight="1" spans="1:2">
      <c r="A1460" s="81">
        <v>44327</v>
      </c>
      <c r="B1460" s="82">
        <v>22.45</v>
      </c>
    </row>
    <row r="1461" customHeight="1" spans="1:2">
      <c r="A1461" s="81">
        <v>44328</v>
      </c>
      <c r="B1461" s="82">
        <v>22.32</v>
      </c>
    </row>
    <row r="1462" customHeight="1" spans="1:2">
      <c r="A1462" s="81">
        <v>44329</v>
      </c>
      <c r="B1462" s="82">
        <v>22.21</v>
      </c>
    </row>
    <row r="1463" customHeight="1" spans="1:2">
      <c r="A1463" s="81">
        <v>44330</v>
      </c>
      <c r="B1463" s="82">
        <v>22</v>
      </c>
    </row>
    <row r="1464" customHeight="1" spans="1:2">
      <c r="A1464" s="81">
        <v>44333</v>
      </c>
      <c r="B1464" s="82">
        <v>21.69</v>
      </c>
    </row>
    <row r="1465" customHeight="1" spans="1:2">
      <c r="A1465" s="81">
        <v>44334</v>
      </c>
      <c r="B1465" s="82">
        <v>21.57</v>
      </c>
    </row>
    <row r="1466" customHeight="1" spans="1:2">
      <c r="A1466" s="81">
        <v>44335</v>
      </c>
      <c r="B1466" s="82">
        <v>21.41</v>
      </c>
    </row>
    <row r="1467" customHeight="1" spans="1:2">
      <c r="A1467" s="81">
        <v>44336</v>
      </c>
      <c r="B1467" s="82">
        <v>21.29</v>
      </c>
    </row>
    <row r="1468" customHeight="1" spans="1:2">
      <c r="A1468" s="81">
        <v>44337</v>
      </c>
      <c r="B1468" s="82">
        <v>21.26</v>
      </c>
    </row>
    <row r="1469" customHeight="1" spans="1:2">
      <c r="A1469" s="81">
        <v>44340</v>
      </c>
      <c r="B1469" s="82">
        <v>21.08</v>
      </c>
    </row>
    <row r="1470" customHeight="1" spans="1:2">
      <c r="A1470" s="81">
        <v>44341</v>
      </c>
      <c r="B1470" s="82">
        <v>20.88</v>
      </c>
    </row>
    <row r="1471" customHeight="1" spans="1:2">
      <c r="A1471" s="81">
        <v>44342</v>
      </c>
      <c r="B1471" s="82">
        <v>20.75</v>
      </c>
    </row>
    <row r="1472" customHeight="1" spans="1:2">
      <c r="A1472" s="81">
        <v>44343</v>
      </c>
      <c r="B1472" s="82">
        <v>20.66</v>
      </c>
    </row>
    <row r="1473" customHeight="1" spans="1:2">
      <c r="A1473" s="81">
        <v>44344</v>
      </c>
      <c r="B1473" s="82">
        <v>20.58</v>
      </c>
    </row>
    <row r="1474" customHeight="1" spans="1:2">
      <c r="A1474" s="81">
        <v>44347</v>
      </c>
      <c r="B1474" s="82">
        <v>20.42</v>
      </c>
    </row>
    <row r="1475" customHeight="1" spans="1:2">
      <c r="A1475" s="81">
        <v>44350</v>
      </c>
      <c r="B1475" s="82">
        <v>19.91</v>
      </c>
    </row>
    <row r="1476" customHeight="1" spans="1:2">
      <c r="A1476" s="81">
        <v>44351</v>
      </c>
      <c r="B1476" s="82">
        <v>19.84</v>
      </c>
    </row>
    <row r="1477" customHeight="1" spans="1:2">
      <c r="A1477" s="81">
        <v>44354</v>
      </c>
      <c r="B1477" s="82">
        <v>19.56</v>
      </c>
    </row>
    <row r="1478" customHeight="1" spans="1:2">
      <c r="A1478" s="81">
        <v>44355</v>
      </c>
      <c r="B1478" s="82">
        <v>19.45</v>
      </c>
    </row>
    <row r="1479" customHeight="1" spans="1:2">
      <c r="A1479" s="81">
        <v>44356</v>
      </c>
      <c r="B1479" s="82">
        <v>19.3</v>
      </c>
    </row>
    <row r="1480" customHeight="1" spans="1:2">
      <c r="A1480" s="81">
        <v>44357</v>
      </c>
      <c r="B1480" s="82">
        <v>19.16</v>
      </c>
    </row>
    <row r="1481" customHeight="1" spans="1:2">
      <c r="A1481" s="81">
        <v>44358</v>
      </c>
      <c r="B1481" s="82">
        <v>18.9</v>
      </c>
    </row>
    <row r="1482" customHeight="1" spans="1:2">
      <c r="A1482" s="81">
        <v>44362</v>
      </c>
      <c r="B1482" s="82">
        <v>18.71</v>
      </c>
    </row>
    <row r="1483" customHeight="1" spans="1:2">
      <c r="A1483" s="81">
        <v>44363</v>
      </c>
      <c r="B1483" s="82">
        <v>18.53</v>
      </c>
    </row>
    <row r="1484" customHeight="1" spans="1:2">
      <c r="A1484" s="81">
        <v>44364</v>
      </c>
      <c r="B1484" s="82">
        <v>18.4</v>
      </c>
    </row>
    <row r="1485" customHeight="1" spans="1:2">
      <c r="A1485" s="81">
        <v>44365</v>
      </c>
      <c r="B1485" s="82">
        <v>18.25</v>
      </c>
    </row>
    <row r="1486" customHeight="1" spans="1:2">
      <c r="A1486" s="81">
        <v>44368</v>
      </c>
      <c r="B1486" s="82">
        <v>18.06</v>
      </c>
    </row>
    <row r="1487" customHeight="1" spans="1:2">
      <c r="A1487" s="81">
        <v>44369</v>
      </c>
      <c r="B1487" s="82">
        <v>17.83</v>
      </c>
    </row>
    <row r="1488" customHeight="1" spans="1:2">
      <c r="A1488" s="81">
        <v>44370</v>
      </c>
      <c r="B1488" s="82">
        <v>17.71</v>
      </c>
    </row>
    <row r="1489" customHeight="1" spans="1:2">
      <c r="A1489" s="81">
        <v>44371</v>
      </c>
      <c r="B1489" s="82">
        <v>17.6</v>
      </c>
    </row>
    <row r="1490" customHeight="1" spans="1:2">
      <c r="A1490" s="81">
        <v>44372</v>
      </c>
      <c r="B1490" s="82">
        <v>17.34</v>
      </c>
    </row>
    <row r="1491" customHeight="1" spans="1:2">
      <c r="A1491" s="81">
        <v>44375</v>
      </c>
      <c r="B1491" s="82">
        <v>17.53</v>
      </c>
    </row>
    <row r="1492" customHeight="1" spans="1:2">
      <c r="A1492" s="81">
        <v>44376</v>
      </c>
      <c r="B1492" s="82">
        <v>17.58</v>
      </c>
    </row>
    <row r="1493" customHeight="1" spans="1:2">
      <c r="A1493" s="81">
        <v>44377</v>
      </c>
      <c r="B1493" s="82">
        <v>17.62</v>
      </c>
    </row>
    <row r="1494" customHeight="1" spans="1:2">
      <c r="A1494" s="81">
        <v>44379</v>
      </c>
      <c r="B1494" s="82">
        <v>17.64</v>
      </c>
    </row>
    <row r="1495" customHeight="1" spans="1:2">
      <c r="A1495" s="81">
        <v>44382</v>
      </c>
      <c r="B1495" s="82">
        <v>17.74</v>
      </c>
    </row>
    <row r="1496" customHeight="1" spans="1:2">
      <c r="A1496" s="81">
        <v>44383</v>
      </c>
      <c r="B1496" s="82">
        <v>17.72</v>
      </c>
    </row>
    <row r="1497" customHeight="1" spans="1:2">
      <c r="A1497" s="81">
        <v>44384</v>
      </c>
      <c r="B1497" s="82">
        <v>17.7</v>
      </c>
    </row>
    <row r="1498" customHeight="1" spans="1:2">
      <c r="A1498" s="81">
        <v>44385</v>
      </c>
      <c r="B1498" s="82">
        <v>17.68</v>
      </c>
    </row>
    <row r="1499" customHeight="1" spans="1:2">
      <c r="A1499" s="81">
        <v>44386</v>
      </c>
      <c r="B1499" s="82">
        <v>17.65</v>
      </c>
    </row>
    <row r="1500" customHeight="1" spans="1:2">
      <c r="A1500" s="81">
        <v>44389</v>
      </c>
      <c r="B1500" s="82">
        <v>17.64</v>
      </c>
    </row>
    <row r="1501" customHeight="1" spans="1:2">
      <c r="A1501" s="81">
        <v>44390</v>
      </c>
      <c r="B1501" s="82">
        <v>17.6</v>
      </c>
    </row>
    <row r="1502" customHeight="1" spans="1:2">
      <c r="A1502" s="81">
        <v>44391</v>
      </c>
      <c r="B1502" s="82">
        <v>17.55</v>
      </c>
    </row>
    <row r="1503" customHeight="1" spans="1:2">
      <c r="A1503" s="81">
        <v>44392</v>
      </c>
      <c r="B1503" s="82">
        <v>17.51</v>
      </c>
    </row>
    <row r="1504" customHeight="1" spans="1:2">
      <c r="A1504" s="81">
        <v>44393</v>
      </c>
      <c r="B1504" s="82">
        <v>17.46</v>
      </c>
    </row>
    <row r="1505" customHeight="1" spans="1:2">
      <c r="A1505" s="81">
        <v>44396</v>
      </c>
      <c r="B1505" s="82">
        <v>17.43</v>
      </c>
    </row>
    <row r="1506" customHeight="1" spans="1:2">
      <c r="A1506" s="81">
        <v>44397</v>
      </c>
      <c r="B1506" s="82">
        <v>17.41</v>
      </c>
    </row>
    <row r="1507" customHeight="1" spans="1:2">
      <c r="A1507" s="81">
        <v>44398</v>
      </c>
      <c r="B1507" s="82">
        <v>17.33</v>
      </c>
    </row>
    <row r="1508" customHeight="1" spans="1:2">
      <c r="A1508" s="81">
        <v>44399</v>
      </c>
      <c r="B1508" s="82">
        <v>17.34</v>
      </c>
    </row>
    <row r="1509" customHeight="1" spans="1:2">
      <c r="A1509" s="81">
        <v>44400</v>
      </c>
      <c r="B1509" s="82">
        <v>17.35</v>
      </c>
    </row>
    <row r="1510" customHeight="1" spans="1:2">
      <c r="A1510" s="81">
        <v>44403</v>
      </c>
      <c r="B1510" s="82">
        <v>17.39</v>
      </c>
    </row>
    <row r="1511" customHeight="1" spans="1:2">
      <c r="A1511" s="81">
        <v>44404</v>
      </c>
      <c r="B1511" s="82">
        <v>17.39</v>
      </c>
    </row>
    <row r="1512" customHeight="1" spans="1:2">
      <c r="A1512" s="81">
        <v>44405</v>
      </c>
      <c r="B1512" s="82">
        <v>17.37</v>
      </c>
    </row>
    <row r="1513" customHeight="1" spans="1:2">
      <c r="A1513" s="81">
        <v>44406</v>
      </c>
      <c r="B1513" s="82">
        <v>17.35</v>
      </c>
    </row>
    <row r="1514" customHeight="1" spans="1:2">
      <c r="A1514" s="81">
        <v>44407</v>
      </c>
      <c r="B1514" s="82">
        <v>17.31</v>
      </c>
    </row>
    <row r="1515" customHeight="1" spans="1:2">
      <c r="A1515" s="81">
        <v>44410</v>
      </c>
      <c r="B1515" s="82">
        <v>17.34</v>
      </c>
    </row>
    <row r="1516" customHeight="1" spans="1:2">
      <c r="A1516" s="81">
        <v>44411</v>
      </c>
      <c r="B1516" s="82">
        <v>17.38</v>
      </c>
    </row>
    <row r="1517" customHeight="1" spans="1:2">
      <c r="A1517" s="81">
        <v>44412</v>
      </c>
      <c r="B1517" s="82">
        <v>17.29</v>
      </c>
    </row>
    <row r="1518" customHeight="1" spans="1:2">
      <c r="A1518" s="81">
        <v>44413</v>
      </c>
      <c r="B1518" s="82">
        <v>17.23</v>
      </c>
    </row>
    <row r="1519" customHeight="1" spans="1:2">
      <c r="A1519" s="81">
        <v>44414</v>
      </c>
      <c r="B1519" s="82">
        <v>17.18</v>
      </c>
    </row>
    <row r="1520" customHeight="1" spans="1:2">
      <c r="A1520" s="81">
        <v>44417</v>
      </c>
      <c r="B1520" s="82">
        <v>17.08</v>
      </c>
    </row>
    <row r="1521" customHeight="1" spans="1:2">
      <c r="A1521" s="81">
        <v>44418</v>
      </c>
      <c r="B1521" s="82">
        <v>17.04</v>
      </c>
    </row>
    <row r="1522" customHeight="1" spans="1:2">
      <c r="A1522" s="81">
        <v>44419</v>
      </c>
      <c r="B1522" s="82">
        <v>17.11</v>
      </c>
    </row>
    <row r="1523" customHeight="1" spans="1:2">
      <c r="A1523" s="81">
        <v>44420</v>
      </c>
      <c r="B1523" s="82">
        <v>17.09</v>
      </c>
    </row>
    <row r="1524" customHeight="1" spans="1:2">
      <c r="A1524" s="81">
        <v>44421</v>
      </c>
      <c r="B1524" s="82">
        <v>17.08</v>
      </c>
    </row>
    <row r="1525" customHeight="1" spans="1:2">
      <c r="A1525" s="81">
        <v>44424</v>
      </c>
      <c r="B1525" s="82">
        <v>17.06</v>
      </c>
    </row>
    <row r="1526" customHeight="1" spans="1:2">
      <c r="A1526" s="81">
        <v>44425</v>
      </c>
      <c r="B1526" s="82">
        <v>17.04</v>
      </c>
    </row>
    <row r="1527" customHeight="1" spans="1:2">
      <c r="A1527" s="81">
        <v>44426</v>
      </c>
      <c r="B1527" s="82">
        <v>16.98</v>
      </c>
    </row>
    <row r="1528" customHeight="1" spans="1:2">
      <c r="A1528" s="81">
        <v>44427</v>
      </c>
      <c r="B1528" s="82">
        <v>16.98</v>
      </c>
    </row>
    <row r="1529" customHeight="1" spans="1:2">
      <c r="A1529" s="81">
        <v>44428</v>
      </c>
      <c r="B1529" s="82">
        <v>16.91</v>
      </c>
    </row>
    <row r="1530" customHeight="1" spans="1:2">
      <c r="A1530" s="81">
        <v>44431</v>
      </c>
      <c r="B1530" s="82">
        <v>16.94</v>
      </c>
    </row>
    <row r="1531" customHeight="1" spans="1:2">
      <c r="A1531" s="81">
        <v>44432</v>
      </c>
      <c r="B1531" s="82">
        <v>16.92</v>
      </c>
    </row>
    <row r="1532" customHeight="1" spans="1:2">
      <c r="A1532" s="81">
        <v>44433</v>
      </c>
      <c r="B1532" s="82">
        <v>16.84</v>
      </c>
    </row>
    <row r="1533" customHeight="1" spans="1:2">
      <c r="A1533" s="81">
        <v>44434</v>
      </c>
      <c r="B1533" s="82">
        <v>16.8</v>
      </c>
    </row>
    <row r="1534" customHeight="1" spans="1:2">
      <c r="A1534" s="81">
        <v>44435</v>
      </c>
      <c r="B1534" s="82">
        <v>16.72</v>
      </c>
    </row>
    <row r="1535" customHeight="1" spans="1:2">
      <c r="A1535" s="81">
        <v>44438</v>
      </c>
      <c r="B1535" s="82">
        <v>16.67</v>
      </c>
    </row>
    <row r="1536" customHeight="1" spans="1:2">
      <c r="A1536" s="81">
        <v>44439</v>
      </c>
      <c r="B1536" s="82">
        <v>16.67</v>
      </c>
    </row>
    <row r="1537" customHeight="1" spans="1:2">
      <c r="A1537" s="81">
        <v>44440</v>
      </c>
      <c r="B1537" s="82">
        <v>16.64</v>
      </c>
    </row>
    <row r="1538" customHeight="1" spans="1:2">
      <c r="A1538" s="81">
        <v>44441</v>
      </c>
      <c r="B1538" s="82">
        <v>16.58</v>
      </c>
    </row>
    <row r="1539" customHeight="1" spans="1:2">
      <c r="A1539" s="81">
        <v>44442</v>
      </c>
      <c r="B1539" s="82">
        <v>16.53</v>
      </c>
    </row>
    <row r="1540" customHeight="1" spans="1:2">
      <c r="A1540" s="81">
        <v>44445</v>
      </c>
      <c r="B1540" s="82">
        <v>16.47</v>
      </c>
    </row>
    <row r="1541" customHeight="1" spans="1:2">
      <c r="A1541" s="81">
        <v>44446</v>
      </c>
      <c r="B1541" s="82">
        <v>16.43</v>
      </c>
    </row>
    <row r="1542" customHeight="1" spans="1:2">
      <c r="A1542" s="81">
        <v>44447</v>
      </c>
      <c r="B1542" s="82">
        <v>16.42</v>
      </c>
    </row>
    <row r="1543" customHeight="1" spans="1:2">
      <c r="A1543" s="81">
        <v>44448</v>
      </c>
      <c r="B1543" s="82">
        <v>16.38</v>
      </c>
    </row>
    <row r="1544" customHeight="1" spans="1:2">
      <c r="A1544" s="81">
        <v>44449</v>
      </c>
      <c r="B1544" s="82">
        <v>16.34</v>
      </c>
    </row>
    <row r="1545" customHeight="1" spans="1:2">
      <c r="A1545" s="81">
        <v>44452</v>
      </c>
      <c r="B1545" s="82">
        <v>16.28</v>
      </c>
    </row>
    <row r="1546" customHeight="1" spans="1:2">
      <c r="A1546" s="81">
        <v>44453</v>
      </c>
      <c r="B1546" s="82">
        <v>16.23</v>
      </c>
    </row>
    <row r="1547" customHeight="1" spans="1:2">
      <c r="A1547" s="81">
        <v>44454</v>
      </c>
      <c r="B1547" s="82">
        <v>16.09</v>
      </c>
    </row>
    <row r="1548" customHeight="1" spans="1:2">
      <c r="A1548" s="81">
        <v>44455</v>
      </c>
      <c r="B1548" s="82">
        <v>16.05</v>
      </c>
    </row>
    <row r="1549" customHeight="1" spans="1:2">
      <c r="A1549" s="81">
        <v>44456</v>
      </c>
      <c r="B1549" s="82">
        <v>16.02</v>
      </c>
    </row>
    <row r="1550" customHeight="1" spans="1:2">
      <c r="A1550" s="81">
        <v>44457</v>
      </c>
      <c r="B1550" s="82">
        <v>15.98</v>
      </c>
    </row>
    <row r="1551" customHeight="1" spans="1:2">
      <c r="A1551" s="81">
        <v>44461</v>
      </c>
      <c r="B1551" s="82">
        <v>16</v>
      </c>
    </row>
    <row r="1552" customHeight="1" spans="1:2">
      <c r="A1552" s="81">
        <v>44462</v>
      </c>
      <c r="B1552" s="82">
        <v>16</v>
      </c>
    </row>
    <row r="1553" customHeight="1" spans="1:2">
      <c r="A1553" s="81">
        <v>44463</v>
      </c>
      <c r="B1553" s="82">
        <v>15.99</v>
      </c>
    </row>
    <row r="1554" customHeight="1" spans="1:2">
      <c r="A1554" s="81">
        <v>44465</v>
      </c>
      <c r="B1554" s="82">
        <v>15.91</v>
      </c>
    </row>
    <row r="1555" customHeight="1" spans="1:2">
      <c r="A1555" s="81">
        <v>44466</v>
      </c>
      <c r="B1555" s="82">
        <v>15.82</v>
      </c>
    </row>
    <row r="1556" customHeight="1" spans="1:2">
      <c r="A1556" s="81">
        <v>44467</v>
      </c>
      <c r="B1556" s="82">
        <v>15.76</v>
      </c>
    </row>
    <row r="1557" customHeight="1" spans="1:2">
      <c r="A1557" s="81">
        <v>44468</v>
      </c>
      <c r="B1557" s="82">
        <v>15.64</v>
      </c>
    </row>
    <row r="1558" customHeight="1" spans="1:2">
      <c r="A1558" s="81">
        <v>44469</v>
      </c>
      <c r="B1558" s="82">
        <v>15.54</v>
      </c>
    </row>
    <row r="1559" customHeight="1" spans="1:2">
      <c r="A1559" s="81">
        <v>44477</v>
      </c>
      <c r="B1559" s="82">
        <v>15.18</v>
      </c>
    </row>
    <row r="1560" customHeight="1" spans="1:2">
      <c r="A1560" s="81">
        <v>44478</v>
      </c>
      <c r="B1560" s="82">
        <v>15.15</v>
      </c>
    </row>
    <row r="1561" customHeight="1" spans="1:2">
      <c r="A1561" s="81">
        <v>44480</v>
      </c>
      <c r="B1561" s="82">
        <v>15.09</v>
      </c>
    </row>
    <row r="1562" customHeight="1" spans="1:2">
      <c r="A1562" s="81">
        <v>44481</v>
      </c>
      <c r="B1562" s="82">
        <v>15.01</v>
      </c>
    </row>
    <row r="1563" customHeight="1" spans="1:2">
      <c r="A1563" s="81">
        <v>44482</v>
      </c>
      <c r="B1563" s="82">
        <v>15.01</v>
      </c>
    </row>
    <row r="1564" customHeight="1" spans="1:2">
      <c r="A1564" s="81">
        <v>44483</v>
      </c>
      <c r="B1564" s="82">
        <v>15.01</v>
      </c>
    </row>
    <row r="1565" customHeight="1" spans="1:2">
      <c r="A1565" s="81">
        <v>44484</v>
      </c>
      <c r="B1565" s="82">
        <v>15.03</v>
      </c>
    </row>
    <row r="1566" customHeight="1" spans="1:2">
      <c r="A1566" s="81">
        <v>44487</v>
      </c>
      <c r="B1566" s="82">
        <v>15.11</v>
      </c>
    </row>
    <row r="1567" customHeight="1" spans="1:2">
      <c r="A1567" s="81">
        <v>44488</v>
      </c>
      <c r="B1567" s="82">
        <v>15.26</v>
      </c>
    </row>
    <row r="1568" customHeight="1" spans="1:2">
      <c r="A1568" s="81">
        <v>44489</v>
      </c>
      <c r="B1568" s="82">
        <v>15.4</v>
      </c>
    </row>
    <row r="1569" customHeight="1" spans="1:2">
      <c r="A1569" s="81">
        <v>44490</v>
      </c>
      <c r="B1569" s="82">
        <v>15.55</v>
      </c>
    </row>
    <row r="1570" customHeight="1" spans="1:2">
      <c r="A1570" s="81">
        <v>44491</v>
      </c>
      <c r="B1570" s="82">
        <v>15.51</v>
      </c>
    </row>
    <row r="1571" customHeight="1" spans="1:2">
      <c r="A1571" s="81">
        <v>44494</v>
      </c>
      <c r="B1571" s="82">
        <v>15.89</v>
      </c>
    </row>
    <row r="1572" customHeight="1" spans="1:2">
      <c r="A1572" s="81">
        <v>44495</v>
      </c>
      <c r="B1572" s="82">
        <v>16.08</v>
      </c>
    </row>
    <row r="1573" customHeight="1" spans="1:2">
      <c r="A1573" s="81">
        <v>44496</v>
      </c>
      <c r="B1573" s="82">
        <v>16.22</v>
      </c>
    </row>
    <row r="1574" customHeight="1" spans="1:2">
      <c r="A1574" s="81">
        <v>44497</v>
      </c>
      <c r="B1574" s="82">
        <v>16.33</v>
      </c>
    </row>
    <row r="1575" customHeight="1" spans="1:2">
      <c r="A1575" s="81">
        <v>44498</v>
      </c>
      <c r="B1575" s="82">
        <v>16.38</v>
      </c>
    </row>
    <row r="1576" customHeight="1" spans="1:2">
      <c r="A1576" s="81">
        <v>44501</v>
      </c>
      <c r="B1576" s="82">
        <v>16.4</v>
      </c>
    </row>
    <row r="1577" customHeight="1" spans="1:2">
      <c r="A1577" s="81">
        <v>44502</v>
      </c>
      <c r="B1577" s="82">
        <v>16.45</v>
      </c>
    </row>
    <row r="1578" customHeight="1" spans="1:2">
      <c r="A1578" s="81">
        <v>44503</v>
      </c>
      <c r="B1578" s="82">
        <v>16.47</v>
      </c>
    </row>
    <row r="1579" customHeight="1" spans="1:2">
      <c r="A1579" s="81">
        <v>44504</v>
      </c>
      <c r="B1579" s="82">
        <v>16.54</v>
      </c>
    </row>
    <row r="1580" customHeight="1" spans="1:2">
      <c r="A1580" s="81">
        <v>44505</v>
      </c>
      <c r="B1580" s="82">
        <v>16.57</v>
      </c>
    </row>
    <row r="1581" customHeight="1" spans="1:2">
      <c r="A1581" s="81">
        <v>44508</v>
      </c>
      <c r="B1581" s="82">
        <v>16.73</v>
      </c>
    </row>
    <row r="1582" customHeight="1" spans="1:2">
      <c r="A1582" s="81">
        <v>44509</v>
      </c>
      <c r="B1582" s="82">
        <v>16.77</v>
      </c>
    </row>
    <row r="1583" customHeight="1" spans="1:2">
      <c r="A1583" s="81">
        <v>44510</v>
      </c>
      <c r="B1583" s="82">
        <v>16.82</v>
      </c>
    </row>
    <row r="1584" customHeight="1" spans="1:2">
      <c r="A1584" s="81">
        <v>44511</v>
      </c>
      <c r="B1584" s="82">
        <v>16.87</v>
      </c>
    </row>
    <row r="1585" customHeight="1" spans="1:2">
      <c r="A1585" s="81">
        <v>44512</v>
      </c>
      <c r="B1585" s="82">
        <v>16.93</v>
      </c>
    </row>
    <row r="1586" customHeight="1" spans="1:2">
      <c r="A1586" s="81">
        <v>44515</v>
      </c>
      <c r="B1586" s="82">
        <v>17.03</v>
      </c>
    </row>
    <row r="1587" customHeight="1" spans="1:2">
      <c r="A1587" s="81">
        <v>44516</v>
      </c>
      <c r="B1587" s="82">
        <v>17.07</v>
      </c>
    </row>
    <row r="1588" customHeight="1" spans="1:2">
      <c r="A1588" s="81">
        <v>44517</v>
      </c>
      <c r="B1588" s="82">
        <v>17.15</v>
      </c>
    </row>
    <row r="1589" customHeight="1" spans="1:2">
      <c r="A1589" s="81">
        <v>44518</v>
      </c>
      <c r="B1589" s="82">
        <v>17.19</v>
      </c>
    </row>
    <row r="1590" customHeight="1" spans="1:2">
      <c r="A1590" s="81">
        <v>44519</v>
      </c>
      <c r="B1590" s="82">
        <v>17.19</v>
      </c>
    </row>
    <row r="1591" customHeight="1" spans="1:2">
      <c r="A1591" s="81">
        <v>44522</v>
      </c>
      <c r="B1591" s="82">
        <v>17.25</v>
      </c>
    </row>
    <row r="1592" customHeight="1" spans="1:2">
      <c r="A1592" s="81">
        <v>44523</v>
      </c>
      <c r="B1592" s="82">
        <v>17.25</v>
      </c>
    </row>
    <row r="1593" customHeight="1" spans="1:2">
      <c r="A1593" s="81">
        <v>44524</v>
      </c>
      <c r="B1593" s="82">
        <v>17.27</v>
      </c>
    </row>
    <row r="1594" customHeight="1" spans="1:2">
      <c r="A1594" s="81">
        <v>44525</v>
      </c>
      <c r="B1594" s="82">
        <v>17.29</v>
      </c>
    </row>
    <row r="1595" customHeight="1" spans="1:2">
      <c r="A1595" s="81">
        <v>44526</v>
      </c>
      <c r="B1595" s="82">
        <v>17.32</v>
      </c>
    </row>
    <row r="1596" customHeight="1" spans="1:2">
      <c r="A1596" s="81">
        <v>44529</v>
      </c>
      <c r="B1596" s="82">
        <v>17.32</v>
      </c>
    </row>
    <row r="1597" customHeight="1" spans="1:2">
      <c r="A1597" s="81">
        <v>44530</v>
      </c>
      <c r="B1597" s="82">
        <v>17.32</v>
      </c>
    </row>
    <row r="1598" customHeight="1" spans="1:2">
      <c r="A1598" s="81">
        <v>44531</v>
      </c>
      <c r="B1598" s="82">
        <v>17.31</v>
      </c>
    </row>
    <row r="1599" customHeight="1" spans="1:2">
      <c r="A1599" s="81">
        <v>44532</v>
      </c>
      <c r="B1599" s="82">
        <v>17.31</v>
      </c>
    </row>
    <row r="1600" customHeight="1" spans="1:2">
      <c r="A1600" s="81">
        <v>44533</v>
      </c>
      <c r="B1600" s="82">
        <v>17.34</v>
      </c>
    </row>
    <row r="1601" customHeight="1" spans="1:2">
      <c r="A1601" s="81">
        <v>44536</v>
      </c>
      <c r="B1601" s="82">
        <v>17.32</v>
      </c>
    </row>
    <row r="1602" customHeight="1" spans="1:2">
      <c r="A1602" s="81">
        <v>44537</v>
      </c>
      <c r="B1602" s="82">
        <v>17.32</v>
      </c>
    </row>
    <row r="1603" customHeight="1" spans="1:2">
      <c r="A1603" s="81">
        <v>44538</v>
      </c>
      <c r="B1603" s="82">
        <v>17.3</v>
      </c>
    </row>
    <row r="1604" customHeight="1" spans="1:2">
      <c r="A1604" s="81">
        <v>44539</v>
      </c>
      <c r="B1604" s="82">
        <v>17.28</v>
      </c>
    </row>
    <row r="1605" customHeight="1" spans="1:2">
      <c r="A1605" s="81">
        <v>44540</v>
      </c>
      <c r="B1605" s="82">
        <v>17.29</v>
      </c>
    </row>
    <row r="1606" customHeight="1" spans="1:2">
      <c r="A1606" s="81">
        <v>44543</v>
      </c>
      <c r="B1606" s="82">
        <v>17.22</v>
      </c>
    </row>
    <row r="1607" customHeight="1" spans="1:2">
      <c r="A1607" s="81">
        <v>44544</v>
      </c>
      <c r="B1607" s="82">
        <v>17.21</v>
      </c>
    </row>
    <row r="1608" customHeight="1" spans="1:2">
      <c r="A1608" s="81">
        <v>44545</v>
      </c>
      <c r="B1608" s="82">
        <v>17.21</v>
      </c>
    </row>
    <row r="1609" customHeight="1" spans="1:2">
      <c r="A1609" s="81">
        <v>44546</v>
      </c>
      <c r="B1609" s="82">
        <v>17.16</v>
      </c>
    </row>
    <row r="1610" customHeight="1" spans="1:2">
      <c r="A1610" s="81">
        <v>44547</v>
      </c>
      <c r="B1610" s="82">
        <v>17.15</v>
      </c>
    </row>
    <row r="1611" customHeight="1" spans="1:2">
      <c r="A1611" s="81">
        <v>44550</v>
      </c>
      <c r="B1611" s="82">
        <v>17.11</v>
      </c>
    </row>
    <row r="1612" customHeight="1" spans="1:2">
      <c r="A1612" s="81">
        <v>44551</v>
      </c>
      <c r="B1612" s="82">
        <v>17.1</v>
      </c>
    </row>
    <row r="1613" customHeight="1" spans="1:2">
      <c r="A1613" s="81">
        <v>44552</v>
      </c>
      <c r="B1613" s="82">
        <v>17.1</v>
      </c>
    </row>
    <row r="1614" customHeight="1" spans="1:2">
      <c r="A1614" s="81">
        <v>44553</v>
      </c>
      <c r="B1614" s="82">
        <v>17.12</v>
      </c>
    </row>
    <row r="1615" customHeight="1" spans="1:2">
      <c r="A1615" s="81">
        <v>44554</v>
      </c>
      <c r="B1615" s="82">
        <v>17.1</v>
      </c>
    </row>
    <row r="1616" customHeight="1" spans="1:2">
      <c r="A1616" s="81">
        <v>44557</v>
      </c>
      <c r="B1616" s="82">
        <v>17.05</v>
      </c>
    </row>
    <row r="1617" customHeight="1" spans="1:2">
      <c r="A1617" s="81">
        <v>44558</v>
      </c>
      <c r="B1617" s="82">
        <v>17.01</v>
      </c>
    </row>
    <row r="1618" customHeight="1" spans="1:2">
      <c r="A1618" s="81">
        <v>44559</v>
      </c>
      <c r="B1618" s="82">
        <v>17</v>
      </c>
    </row>
    <row r="1619" customHeight="1" spans="1:2">
      <c r="A1619" s="81">
        <v>44560</v>
      </c>
      <c r="B1619" s="82">
        <v>17</v>
      </c>
    </row>
    <row r="1620" customHeight="1" spans="1:2">
      <c r="A1620" s="81">
        <v>44565</v>
      </c>
      <c r="B1620" s="82">
        <v>16.9</v>
      </c>
    </row>
    <row r="1621" customHeight="1" spans="1:2">
      <c r="A1621" s="81">
        <v>44566</v>
      </c>
      <c r="B1621" s="82">
        <v>16.89</v>
      </c>
    </row>
    <row r="1622" customHeight="1" spans="1:2">
      <c r="A1622" s="81">
        <v>44567</v>
      </c>
      <c r="B1622" s="82">
        <v>16.87</v>
      </c>
    </row>
    <row r="1623" customHeight="1" spans="1:2">
      <c r="A1623" s="81">
        <v>44568</v>
      </c>
      <c r="B1623" s="82">
        <v>16.87</v>
      </c>
    </row>
    <row r="1624" customHeight="1" spans="1:2">
      <c r="A1624" s="81">
        <v>44571</v>
      </c>
      <c r="B1624" s="82">
        <v>16.82</v>
      </c>
    </row>
    <row r="1625" customHeight="1" spans="1:2">
      <c r="A1625" s="81">
        <v>44572</v>
      </c>
      <c r="B1625" s="82">
        <v>16.77</v>
      </c>
    </row>
    <row r="1626" customHeight="1" spans="1:2">
      <c r="A1626" s="81">
        <v>44573</v>
      </c>
      <c r="B1626" s="82">
        <v>16.73</v>
      </c>
    </row>
    <row r="1627" customHeight="1" spans="1:2">
      <c r="A1627" s="81">
        <v>44574</v>
      </c>
      <c r="B1627" s="82">
        <v>16.67</v>
      </c>
    </row>
    <row r="1628" customHeight="1" spans="1:2">
      <c r="A1628" s="81">
        <v>44575</v>
      </c>
      <c r="B1628" s="82">
        <v>16.64</v>
      </c>
    </row>
    <row r="1629" customHeight="1" spans="1:2">
      <c r="A1629" s="81">
        <v>44578</v>
      </c>
      <c r="B1629" s="82">
        <v>16.55</v>
      </c>
    </row>
    <row r="1630" customHeight="1" spans="1:2">
      <c r="A1630" s="81">
        <v>44579</v>
      </c>
      <c r="B1630" s="82">
        <v>16.47</v>
      </c>
    </row>
    <row r="1631" customHeight="1" spans="1:2">
      <c r="A1631" s="81">
        <v>44580</v>
      </c>
      <c r="B1631" s="82">
        <v>16.47</v>
      </c>
    </row>
    <row r="1632" customHeight="1" spans="1:2">
      <c r="A1632" s="81">
        <v>44581</v>
      </c>
      <c r="B1632" s="82">
        <v>16.44</v>
      </c>
    </row>
    <row r="1633" customHeight="1" spans="1:2">
      <c r="A1633" s="81">
        <v>44582</v>
      </c>
      <c r="B1633" s="82">
        <v>16.42</v>
      </c>
    </row>
    <row r="1634" customHeight="1" spans="1:2">
      <c r="A1634" s="81">
        <v>44585</v>
      </c>
      <c r="B1634" s="82">
        <v>16.45</v>
      </c>
    </row>
    <row r="1635" customHeight="1" spans="1:2">
      <c r="A1635" s="81">
        <v>44586</v>
      </c>
      <c r="B1635" s="82">
        <v>16.48</v>
      </c>
    </row>
    <row r="1636" customHeight="1" spans="1:2">
      <c r="A1636" s="81">
        <v>44587</v>
      </c>
      <c r="B1636" s="82">
        <v>16.49</v>
      </c>
    </row>
    <row r="1637" customHeight="1" spans="1:2">
      <c r="A1637" s="81">
        <v>44588</v>
      </c>
      <c r="B1637" s="82">
        <v>16.48</v>
      </c>
    </row>
    <row r="1638" customHeight="1" spans="1:2">
      <c r="A1638" s="81">
        <v>44589</v>
      </c>
      <c r="B1638" s="82">
        <v>16.49</v>
      </c>
    </row>
    <row r="1639" customHeight="1" spans="1:2">
      <c r="A1639" s="81">
        <v>44590</v>
      </c>
      <c r="B1639" s="82">
        <v>16.6</v>
      </c>
    </row>
    <row r="1640" customHeight="1" spans="1:2">
      <c r="A1640" s="81">
        <v>44591</v>
      </c>
      <c r="B1640" s="82">
        <v>16.64</v>
      </c>
    </row>
    <row r="1641" customHeight="1" spans="1:2">
      <c r="A1641" s="81">
        <v>44599</v>
      </c>
      <c r="B1641" s="82">
        <v>16.77</v>
      </c>
    </row>
    <row r="1642" customHeight="1" spans="1:2">
      <c r="A1642" s="81">
        <v>44600</v>
      </c>
      <c r="B1642" s="82">
        <v>16.73</v>
      </c>
    </row>
    <row r="1643" customHeight="1" spans="1:2">
      <c r="A1643" s="81">
        <v>44601</v>
      </c>
      <c r="B1643" s="82">
        <v>16.57</v>
      </c>
    </row>
    <row r="1644" customHeight="1" spans="1:2">
      <c r="A1644" s="81">
        <v>44602</v>
      </c>
      <c r="B1644" s="82">
        <v>16.52</v>
      </c>
    </row>
    <row r="1645" customHeight="1" spans="1:2">
      <c r="A1645" s="81">
        <v>44603</v>
      </c>
      <c r="B1645" s="82">
        <v>16.46</v>
      </c>
    </row>
    <row r="1646" customHeight="1" spans="1:2">
      <c r="A1646" s="81">
        <v>44606</v>
      </c>
      <c r="B1646" s="82">
        <v>16.25</v>
      </c>
    </row>
    <row r="1647" customHeight="1" spans="1:2">
      <c r="A1647" s="81">
        <v>44607</v>
      </c>
      <c r="B1647" s="82">
        <v>16.09</v>
      </c>
    </row>
    <row r="1648" customHeight="1" spans="1:2">
      <c r="A1648" s="81">
        <v>44608</v>
      </c>
      <c r="B1648" s="82">
        <v>16</v>
      </c>
    </row>
    <row r="1649" customHeight="1" spans="1:2">
      <c r="A1649" s="81">
        <v>44609</v>
      </c>
      <c r="B1649" s="82">
        <v>15.9</v>
      </c>
    </row>
    <row r="1650" customHeight="1" spans="1:2">
      <c r="A1650" s="81">
        <v>44610</v>
      </c>
      <c r="B1650" s="82">
        <v>15.83</v>
      </c>
    </row>
    <row r="1651" customHeight="1" spans="1:2">
      <c r="A1651" s="81">
        <v>44613</v>
      </c>
      <c r="B1651" s="82">
        <v>15.69</v>
      </c>
    </row>
    <row r="1652" customHeight="1" spans="1:2">
      <c r="A1652" s="81">
        <v>44614</v>
      </c>
      <c r="B1652" s="82">
        <v>15.65</v>
      </c>
    </row>
    <row r="1653" customHeight="1" spans="1:2">
      <c r="A1653" s="81">
        <v>44615</v>
      </c>
      <c r="B1653" s="82">
        <v>15.58</v>
      </c>
    </row>
    <row r="1654" customHeight="1" spans="1:2">
      <c r="A1654" s="81">
        <v>44617</v>
      </c>
      <c r="B1654" s="82">
        <v>15.48</v>
      </c>
    </row>
    <row r="1655" customHeight="1" spans="1:2">
      <c r="A1655" s="81">
        <v>44620</v>
      </c>
      <c r="B1655" s="82">
        <v>15.43</v>
      </c>
    </row>
    <row r="1656" customHeight="1" spans="1:2">
      <c r="A1656" s="81">
        <v>44621</v>
      </c>
      <c r="B1656" s="82">
        <v>15.37</v>
      </c>
    </row>
    <row r="1657" customHeight="1" spans="1:2">
      <c r="A1657" s="81">
        <v>44622</v>
      </c>
      <c r="B1657" s="82">
        <v>15.31</v>
      </c>
    </row>
    <row r="1658" customHeight="1" spans="1:2">
      <c r="A1658" s="81">
        <v>44623</v>
      </c>
      <c r="B1658" s="82">
        <v>15.24</v>
      </c>
    </row>
    <row r="1659" customHeight="1" spans="1:2">
      <c r="A1659" s="81">
        <v>44624</v>
      </c>
      <c r="B1659" s="82">
        <v>15.2</v>
      </c>
    </row>
    <row r="1660" customHeight="1" spans="1:2">
      <c r="A1660" s="81">
        <v>44627</v>
      </c>
      <c r="B1660" s="82">
        <v>15.13</v>
      </c>
    </row>
    <row r="1661" customHeight="1" spans="1:2">
      <c r="A1661" s="81">
        <v>44628</v>
      </c>
      <c r="B1661" s="82">
        <v>15.05</v>
      </c>
    </row>
    <row r="1662" customHeight="1" spans="1:2">
      <c r="A1662" s="81">
        <v>44629</v>
      </c>
      <c r="B1662" s="82">
        <v>15.03</v>
      </c>
    </row>
    <row r="1663" customHeight="1" spans="1:2">
      <c r="A1663" s="81">
        <v>44630</v>
      </c>
      <c r="B1663" s="82">
        <v>14.98</v>
      </c>
    </row>
    <row r="1664" customHeight="1" spans="1:2">
      <c r="A1664" s="81">
        <v>44631</v>
      </c>
      <c r="B1664" s="82">
        <v>14.9</v>
      </c>
    </row>
    <row r="1665" customHeight="1" spans="1:2">
      <c r="A1665" s="81">
        <v>44634</v>
      </c>
      <c r="B1665" s="82">
        <v>14.87</v>
      </c>
    </row>
    <row r="1666" customHeight="1" spans="1:2">
      <c r="A1666" s="81">
        <v>44635</v>
      </c>
      <c r="B1666" s="82">
        <v>14.86</v>
      </c>
    </row>
    <row r="1667" customHeight="1" spans="1:2">
      <c r="A1667" s="81">
        <v>44636</v>
      </c>
      <c r="B1667" s="82">
        <v>14.84</v>
      </c>
    </row>
    <row r="1668" customHeight="1" spans="1:2">
      <c r="A1668" s="81">
        <v>44637</v>
      </c>
      <c r="B1668" s="82">
        <v>14.83</v>
      </c>
    </row>
    <row r="1669" customHeight="1" spans="1:2">
      <c r="A1669" s="81">
        <v>44641</v>
      </c>
      <c r="B1669" s="82">
        <v>14.72</v>
      </c>
    </row>
    <row r="1670" customHeight="1" spans="1:2">
      <c r="A1670" s="81">
        <v>44642</v>
      </c>
      <c r="B1670" s="82">
        <v>14.68</v>
      </c>
    </row>
    <row r="1671" customHeight="1" spans="1:2">
      <c r="A1671" s="81">
        <v>44643</v>
      </c>
      <c r="B1671" s="82">
        <v>14.68</v>
      </c>
    </row>
    <row r="1672" customHeight="1" spans="1:2">
      <c r="A1672" s="81">
        <v>44644</v>
      </c>
      <c r="B1672" s="82">
        <v>14.69</v>
      </c>
    </row>
    <row r="1673" customHeight="1" spans="1:2">
      <c r="A1673" s="81">
        <v>44645</v>
      </c>
      <c r="B1673" s="82">
        <v>14.67</v>
      </c>
    </row>
    <row r="1674" customHeight="1" spans="1:2">
      <c r="A1674" s="81">
        <v>44648</v>
      </c>
      <c r="B1674" s="82">
        <v>14.67</v>
      </c>
    </row>
    <row r="1675" customHeight="1" spans="1:2">
      <c r="A1675" s="81">
        <v>44649</v>
      </c>
      <c r="B1675" s="82">
        <v>14.66</v>
      </c>
    </row>
    <row r="1676" customHeight="1" spans="1:2">
      <c r="A1676" s="81">
        <v>44650</v>
      </c>
      <c r="B1676" s="82">
        <v>14.7</v>
      </c>
    </row>
    <row r="1677" customHeight="1" spans="1:2">
      <c r="A1677" s="81">
        <v>44651</v>
      </c>
      <c r="B1677" s="82">
        <v>14.69</v>
      </c>
    </row>
    <row r="1678" customHeight="1" spans="1:2">
      <c r="A1678" s="81">
        <v>44652</v>
      </c>
      <c r="B1678" s="82">
        <v>14.69</v>
      </c>
    </row>
    <row r="1679" customHeight="1" spans="1:2">
      <c r="A1679" s="81">
        <v>44653</v>
      </c>
      <c r="B1679" s="82">
        <v>14.69</v>
      </c>
    </row>
    <row r="1680" customHeight="1" spans="1:2">
      <c r="A1680" s="81">
        <v>44657</v>
      </c>
      <c r="B1680" s="82">
        <v>14.74</v>
      </c>
    </row>
    <row r="1681" customHeight="1" spans="1:2">
      <c r="A1681" s="81">
        <v>44658</v>
      </c>
      <c r="B1681" s="82">
        <v>14.7</v>
      </c>
    </row>
    <row r="1682" customHeight="1" spans="1:2">
      <c r="A1682" s="81">
        <v>44659</v>
      </c>
      <c r="B1682" s="82">
        <v>14.69</v>
      </c>
    </row>
    <row r="1683" customHeight="1" spans="1:2">
      <c r="A1683" s="81">
        <v>44662</v>
      </c>
      <c r="B1683" s="82">
        <v>14.7</v>
      </c>
    </row>
    <row r="1684" customHeight="1" spans="1:2">
      <c r="A1684" s="81">
        <v>44663</v>
      </c>
      <c r="B1684" s="82">
        <v>14.66</v>
      </c>
    </row>
    <row r="1685" customHeight="1" spans="1:2">
      <c r="A1685" s="81">
        <v>44664</v>
      </c>
      <c r="B1685" s="82">
        <v>14.65</v>
      </c>
    </row>
    <row r="1686" customHeight="1" spans="1:2">
      <c r="A1686" s="81">
        <v>44665</v>
      </c>
      <c r="B1686" s="82">
        <v>14.64</v>
      </c>
    </row>
    <row r="1687" customHeight="1" spans="1:2">
      <c r="A1687" s="81">
        <v>44666</v>
      </c>
      <c r="B1687" s="82">
        <v>14.63</v>
      </c>
    </row>
    <row r="1688" customHeight="1" spans="1:2">
      <c r="A1688" s="81">
        <v>44669</v>
      </c>
      <c r="B1688" s="82">
        <v>14.64</v>
      </c>
    </row>
    <row r="1689" customHeight="1" spans="1:2">
      <c r="A1689" s="81">
        <v>44670</v>
      </c>
      <c r="B1689" s="82">
        <v>14.65</v>
      </c>
    </row>
    <row r="1690" customHeight="1" spans="1:2">
      <c r="A1690" s="81">
        <v>44671</v>
      </c>
      <c r="B1690" s="82">
        <v>14.71</v>
      </c>
    </row>
    <row r="1691" customHeight="1" spans="1:2">
      <c r="A1691" s="81">
        <v>44672</v>
      </c>
      <c r="B1691" s="82">
        <v>14.77</v>
      </c>
    </row>
    <row r="1692" customHeight="1" spans="1:2">
      <c r="A1692" s="81">
        <v>44675</v>
      </c>
      <c r="B1692" s="82">
        <v>14.87</v>
      </c>
    </row>
    <row r="1693" customHeight="1" spans="1:2">
      <c r="A1693" s="81">
        <v>44676</v>
      </c>
      <c r="B1693" s="82">
        <v>14.89</v>
      </c>
    </row>
    <row r="1694" customHeight="1" spans="1:2">
      <c r="A1694" s="81">
        <v>44677</v>
      </c>
      <c r="B1694" s="82">
        <v>14.98</v>
      </c>
    </row>
    <row r="1695" customHeight="1" spans="1:2">
      <c r="A1695" s="81">
        <v>44678</v>
      </c>
      <c r="B1695" s="82">
        <v>15.05</v>
      </c>
    </row>
    <row r="1696" customHeight="1" spans="1:2">
      <c r="A1696" s="81">
        <v>44679</v>
      </c>
      <c r="B1696" s="82">
        <v>15.13</v>
      </c>
    </row>
    <row r="1697" customHeight="1" spans="1:2">
      <c r="A1697" s="81">
        <v>44680</v>
      </c>
      <c r="B1697" s="82">
        <v>15.18</v>
      </c>
    </row>
    <row r="1698" customHeight="1" spans="1:2">
      <c r="A1698" s="81">
        <v>44686</v>
      </c>
      <c r="B1698" s="82">
        <v>15.28</v>
      </c>
    </row>
    <row r="1699" customHeight="1" spans="1:2">
      <c r="A1699" s="81">
        <v>44687</v>
      </c>
      <c r="B1699" s="82">
        <v>15.33</v>
      </c>
    </row>
    <row r="1700" customHeight="1" spans="1:2">
      <c r="A1700" s="81">
        <v>44688</v>
      </c>
      <c r="B1700" s="82">
        <v>15.35</v>
      </c>
    </row>
    <row r="1701" customHeight="1" spans="1:2">
      <c r="A1701" s="81">
        <v>44690</v>
      </c>
      <c r="B1701" s="82">
        <v>15.36</v>
      </c>
    </row>
    <row r="1702" customHeight="1" spans="1:2">
      <c r="A1702" s="81">
        <v>44691</v>
      </c>
      <c r="B1702" s="82">
        <v>15.35</v>
      </c>
    </row>
    <row r="1703" customHeight="1" spans="1:2">
      <c r="A1703" s="81">
        <v>44692</v>
      </c>
      <c r="B1703" s="82">
        <v>15.37</v>
      </c>
    </row>
    <row r="1704" customHeight="1" spans="1:2">
      <c r="A1704" s="81">
        <v>44693</v>
      </c>
      <c r="B1704" s="82">
        <v>15.43</v>
      </c>
    </row>
    <row r="1705" customHeight="1" spans="1:2">
      <c r="A1705" s="81">
        <v>44694</v>
      </c>
      <c r="B1705" s="82">
        <v>15.49</v>
      </c>
    </row>
    <row r="1706" customHeight="1" spans="1:2">
      <c r="A1706" s="81">
        <v>44697</v>
      </c>
      <c r="B1706" s="82">
        <v>15.51</v>
      </c>
    </row>
    <row r="1707" customHeight="1" spans="1:2">
      <c r="A1707" s="81">
        <v>44698</v>
      </c>
      <c r="B1707" s="82">
        <v>15.53</v>
      </c>
    </row>
    <row r="1708" customHeight="1" spans="1:2">
      <c r="A1708" s="81">
        <v>44699</v>
      </c>
      <c r="B1708" s="82">
        <v>15.56</v>
      </c>
    </row>
    <row r="1709" customHeight="1" spans="1:2">
      <c r="A1709" s="81">
        <v>44700</v>
      </c>
      <c r="B1709" s="82">
        <v>15.55</v>
      </c>
    </row>
    <row r="1710" customHeight="1" spans="1:2">
      <c r="A1710" s="81">
        <v>44701</v>
      </c>
      <c r="B1710" s="82">
        <v>15.56</v>
      </c>
    </row>
    <row r="1711" customHeight="1" spans="1:2">
      <c r="A1711" s="81">
        <v>44704</v>
      </c>
      <c r="B1711" s="82">
        <v>15.61</v>
      </c>
    </row>
    <row r="1712" customHeight="1" spans="1:2">
      <c r="A1712" s="81">
        <v>44705</v>
      </c>
      <c r="B1712" s="82">
        <v>15.6</v>
      </c>
    </row>
    <row r="1713" customHeight="1" spans="1:2">
      <c r="A1713" s="81">
        <v>44706</v>
      </c>
      <c r="B1713" s="82">
        <v>15.62</v>
      </c>
    </row>
    <row r="1714" customHeight="1" spans="1:2">
      <c r="A1714" s="81">
        <v>44707</v>
      </c>
      <c r="B1714" s="82">
        <v>15.61</v>
      </c>
    </row>
    <row r="1715" customHeight="1" spans="1:2">
      <c r="A1715" s="81">
        <v>44708</v>
      </c>
      <c r="B1715" s="82">
        <v>15.62</v>
      </c>
    </row>
    <row r="1716" customHeight="1" spans="1:2">
      <c r="A1716" s="81">
        <v>44711</v>
      </c>
      <c r="B1716" s="82">
        <v>15.53</v>
      </c>
    </row>
    <row r="1717" customHeight="1" spans="1:2">
      <c r="A1717" s="81">
        <v>44712</v>
      </c>
      <c r="B1717" s="82">
        <v>15.54</v>
      </c>
    </row>
    <row r="1718" customHeight="1" spans="1:2">
      <c r="A1718" s="81">
        <v>44713</v>
      </c>
      <c r="B1718" s="82">
        <v>15.59</v>
      </c>
    </row>
    <row r="1719" customHeight="1" spans="1:2">
      <c r="A1719" s="81">
        <v>44714</v>
      </c>
      <c r="B1719" s="82">
        <v>15.61</v>
      </c>
    </row>
    <row r="1720" customHeight="1" spans="1:2">
      <c r="A1720" s="81">
        <v>44718</v>
      </c>
      <c r="B1720" s="82">
        <v>15.62</v>
      </c>
    </row>
    <row r="1721" customHeight="1" spans="1:2">
      <c r="A1721" s="81">
        <v>44719</v>
      </c>
      <c r="B1721" s="82">
        <v>15.65</v>
      </c>
    </row>
    <row r="1722" customHeight="1" spans="1:2">
      <c r="A1722" s="81">
        <v>44720</v>
      </c>
      <c r="B1722" s="82">
        <v>15.65</v>
      </c>
    </row>
    <row r="1723" customHeight="1" spans="1:2">
      <c r="A1723" s="81">
        <v>44721</v>
      </c>
      <c r="B1723" s="82">
        <v>15.64</v>
      </c>
    </row>
    <row r="1724" customHeight="1" spans="1:2">
      <c r="A1724" s="81">
        <v>44722</v>
      </c>
      <c r="B1724" s="82">
        <v>15.65</v>
      </c>
    </row>
    <row r="1725" customHeight="1" spans="1:2">
      <c r="A1725" s="81">
        <v>44725</v>
      </c>
      <c r="B1725" s="82">
        <v>15.67</v>
      </c>
    </row>
    <row r="1726" customHeight="1" spans="1:2">
      <c r="A1726" s="81">
        <v>44726</v>
      </c>
      <c r="B1726" s="82">
        <v>15.7</v>
      </c>
    </row>
    <row r="1727" customHeight="1" spans="1:2">
      <c r="A1727" s="81">
        <v>44727</v>
      </c>
      <c r="B1727" s="82">
        <v>15.7</v>
      </c>
    </row>
    <row r="1728" customHeight="1" spans="1:2">
      <c r="A1728" s="81">
        <v>44728</v>
      </c>
      <c r="B1728" s="82">
        <v>15.73</v>
      </c>
    </row>
    <row r="1729" customHeight="1" spans="1:2">
      <c r="A1729" s="81">
        <v>44729</v>
      </c>
      <c r="B1729" s="82">
        <v>15.73</v>
      </c>
    </row>
    <row r="1730" customHeight="1" spans="1:2">
      <c r="A1730" s="81">
        <v>44732</v>
      </c>
      <c r="B1730" s="82">
        <v>15.73</v>
      </c>
    </row>
    <row r="1731" customHeight="1" spans="1:2">
      <c r="A1731" s="81">
        <v>44733</v>
      </c>
      <c r="B1731" s="82">
        <v>15.76</v>
      </c>
    </row>
    <row r="1732" customHeight="1" spans="1:2">
      <c r="A1732" s="81">
        <v>44734</v>
      </c>
      <c r="B1732" s="82">
        <v>15.81</v>
      </c>
    </row>
    <row r="1733" customHeight="1" spans="1:2">
      <c r="A1733" s="81">
        <v>44735</v>
      </c>
      <c r="B1733" s="82">
        <v>15.85</v>
      </c>
    </row>
    <row r="1734" customHeight="1" spans="1:2">
      <c r="A1734" s="81">
        <v>44736</v>
      </c>
      <c r="B1734" s="82">
        <v>15.97</v>
      </c>
    </row>
    <row r="1735" customHeight="1" spans="1:2">
      <c r="A1735" s="81">
        <v>44739</v>
      </c>
      <c r="B1735" s="82">
        <v>16.1</v>
      </c>
    </row>
    <row r="1736" customHeight="1" spans="1:2">
      <c r="A1736" s="81">
        <v>44740</v>
      </c>
      <c r="B1736" s="82">
        <v>16.21</v>
      </c>
    </row>
    <row r="1737" customHeight="1" spans="1:2">
      <c r="A1737" s="81">
        <v>44741</v>
      </c>
      <c r="B1737" s="82">
        <v>16.39</v>
      </c>
    </row>
    <row r="1738" customHeight="1" spans="1:2">
      <c r="A1738" s="81">
        <v>44742</v>
      </c>
      <c r="B1738" s="82">
        <v>16.67</v>
      </c>
    </row>
    <row r="1739" customHeight="1" spans="1:2">
      <c r="A1739" s="81">
        <v>44743</v>
      </c>
      <c r="B1739" s="82">
        <v>16.93</v>
      </c>
    </row>
    <row r="1740" customHeight="1" spans="1:2">
      <c r="A1740" s="81">
        <v>44746</v>
      </c>
      <c r="B1740" s="82">
        <v>17.36</v>
      </c>
    </row>
    <row r="1741" customHeight="1" spans="1:2">
      <c r="A1741" s="81">
        <v>44747</v>
      </c>
      <c r="B1741" s="82">
        <v>17.85</v>
      </c>
    </row>
    <row r="1742" customHeight="1" spans="1:2">
      <c r="A1742" s="81">
        <v>44748</v>
      </c>
      <c r="B1742" s="82">
        <v>18.35</v>
      </c>
    </row>
    <row r="1743" customHeight="1" spans="1:2">
      <c r="A1743" s="81">
        <v>44749</v>
      </c>
      <c r="B1743" s="82">
        <v>18.67</v>
      </c>
    </row>
    <row r="1744" customHeight="1" spans="1:2">
      <c r="A1744" s="81">
        <v>44750</v>
      </c>
      <c r="B1744" s="82">
        <v>18.94</v>
      </c>
    </row>
    <row r="1745" customHeight="1" spans="1:2">
      <c r="A1745" s="81">
        <v>44753</v>
      </c>
      <c r="B1745" s="82">
        <v>19.35</v>
      </c>
    </row>
    <row r="1746" customHeight="1" spans="1:2">
      <c r="A1746" s="81">
        <v>44754</v>
      </c>
      <c r="B1746" s="82">
        <v>19.51</v>
      </c>
    </row>
    <row r="1747" customHeight="1" spans="1:2">
      <c r="A1747" s="81">
        <v>44755</v>
      </c>
      <c r="B1747" s="82">
        <v>19.67</v>
      </c>
    </row>
    <row r="1748" customHeight="1" spans="1:2">
      <c r="A1748" s="81">
        <v>44756</v>
      </c>
      <c r="B1748" s="82">
        <v>19.83</v>
      </c>
    </row>
    <row r="1749" customHeight="1" spans="1:2">
      <c r="A1749" s="81">
        <v>44757</v>
      </c>
      <c r="B1749" s="82">
        <v>19.97</v>
      </c>
    </row>
    <row r="1750" customHeight="1" spans="1:2">
      <c r="A1750" s="81">
        <v>44760</v>
      </c>
      <c r="B1750" s="82">
        <v>20.05</v>
      </c>
    </row>
    <row r="1751" customHeight="1" spans="1:2">
      <c r="A1751" s="81">
        <v>44761</v>
      </c>
      <c r="B1751" s="82">
        <v>20.08</v>
      </c>
    </row>
    <row r="1752" customHeight="1" spans="1:2">
      <c r="A1752" s="81">
        <v>44762</v>
      </c>
      <c r="B1752" s="82">
        <v>20.11</v>
      </c>
    </row>
    <row r="1753" customHeight="1" spans="1:2">
      <c r="A1753" s="81">
        <v>44763</v>
      </c>
      <c r="B1753" s="82">
        <v>20.17</v>
      </c>
    </row>
    <row r="1754" customHeight="1" spans="1:2">
      <c r="A1754" s="81">
        <v>44764</v>
      </c>
      <c r="B1754" s="82">
        <v>20.21</v>
      </c>
    </row>
    <row r="1755" customHeight="1" spans="1:2">
      <c r="A1755" s="81">
        <v>44767</v>
      </c>
      <c r="B1755" s="82">
        <v>20.31</v>
      </c>
    </row>
    <row r="1756" customHeight="1" spans="1:2">
      <c r="A1756" s="81">
        <v>44768</v>
      </c>
      <c r="B1756" s="82">
        <v>20.36</v>
      </c>
    </row>
    <row r="1757" customHeight="1" spans="1:2">
      <c r="A1757" s="81">
        <v>44769</v>
      </c>
      <c r="B1757" s="82">
        <v>20.4</v>
      </c>
    </row>
    <row r="1758" customHeight="1" spans="1:2">
      <c r="A1758" s="81">
        <v>44770</v>
      </c>
      <c r="B1758" s="82">
        <v>20.36</v>
      </c>
    </row>
    <row r="1759" customHeight="1" spans="1:2">
      <c r="A1759" s="81">
        <v>44774</v>
      </c>
      <c r="B1759" s="82">
        <v>20.28</v>
      </c>
    </row>
    <row r="1760" customHeight="1" spans="1:2">
      <c r="A1760" s="81">
        <v>44775</v>
      </c>
      <c r="B1760" s="82">
        <v>20.21</v>
      </c>
    </row>
    <row r="1761" customHeight="1" spans="1:2">
      <c r="A1761" s="81">
        <v>44776</v>
      </c>
      <c r="B1761" s="82">
        <v>20.21</v>
      </c>
    </row>
    <row r="1762" customHeight="1" spans="1:2">
      <c r="A1762" s="81">
        <v>44777</v>
      </c>
      <c r="B1762" s="82">
        <v>20.18</v>
      </c>
    </row>
    <row r="1763" customHeight="1" spans="1:2">
      <c r="A1763" s="81">
        <v>44778</v>
      </c>
      <c r="B1763" s="82">
        <v>20.14</v>
      </c>
    </row>
    <row r="1764" customHeight="1" spans="1:2">
      <c r="A1764" s="81">
        <v>44781</v>
      </c>
      <c r="B1764" s="82">
        <v>20.12</v>
      </c>
    </row>
    <row r="1765" customHeight="1" spans="1:2">
      <c r="A1765" s="81">
        <v>44782</v>
      </c>
      <c r="B1765" s="82">
        <v>20.1</v>
      </c>
    </row>
    <row r="1766" customHeight="1" spans="1:2">
      <c r="A1766" s="81">
        <v>44783</v>
      </c>
      <c r="B1766" s="82">
        <v>20.12</v>
      </c>
    </row>
    <row r="1767" customHeight="1" spans="1:2">
      <c r="A1767" s="81">
        <v>44784</v>
      </c>
      <c r="B1767" s="82">
        <v>20.09</v>
      </c>
    </row>
    <row r="1768" customHeight="1" spans="1:2">
      <c r="A1768" s="81">
        <v>44785</v>
      </c>
      <c r="B1768" s="82">
        <v>20.07</v>
      </c>
    </row>
    <row r="1769" customHeight="1" spans="1:2">
      <c r="A1769" s="81">
        <v>44788</v>
      </c>
      <c r="B1769" s="82">
        <v>20.08</v>
      </c>
    </row>
    <row r="1770" customHeight="1" spans="1:2">
      <c r="A1770" s="81">
        <v>44789</v>
      </c>
      <c r="B1770" s="82">
        <v>20.11</v>
      </c>
    </row>
    <row r="1771" customHeight="1" spans="1:2">
      <c r="A1771" s="81">
        <v>44790</v>
      </c>
      <c r="B1771" s="82">
        <v>20.1</v>
      </c>
    </row>
    <row r="1772" customHeight="1" spans="1:2">
      <c r="A1772" s="81">
        <v>44791</v>
      </c>
      <c r="B1772" s="82">
        <v>20.08</v>
      </c>
    </row>
    <row r="1773" customHeight="1" spans="1:2">
      <c r="A1773" s="81">
        <v>44792</v>
      </c>
      <c r="B1773" s="82">
        <v>20.04</v>
      </c>
    </row>
    <row r="1774" customHeight="1" spans="1:2">
      <c r="A1774" s="81">
        <v>44795</v>
      </c>
      <c r="B1774" s="82">
        <v>20.08</v>
      </c>
    </row>
    <row r="1775" customHeight="1" spans="1:2">
      <c r="A1775" s="81">
        <v>44796</v>
      </c>
      <c r="B1775" s="82">
        <v>20.08</v>
      </c>
    </row>
    <row r="1776" customHeight="1" spans="1:2">
      <c r="A1776" s="81">
        <v>44797</v>
      </c>
      <c r="B1776" s="82">
        <v>20.11</v>
      </c>
    </row>
    <row r="1778" customHeight="1" spans="1:1">
      <c r="A1778" s="83" t="s">
        <v>343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8"/>
  <sheetViews>
    <sheetView workbookViewId="0">
      <pane ySplit="1" topLeftCell="A101" activePane="bottomLeft" state="frozen"/>
      <selection/>
      <selection pane="bottomLeft" activeCell="M127" sqref="M127"/>
    </sheetView>
  </sheetViews>
  <sheetFormatPr defaultColWidth="9" defaultRowHeight="20.1" customHeight="1"/>
  <cols>
    <col min="1" max="1" width="9" style="12"/>
    <col min="2" max="2" width="14.6333333333333" style="12" customWidth="1"/>
    <col min="3" max="4" width="9" style="12"/>
    <col min="5" max="5" width="11.5" style="13"/>
    <col min="6" max="8" width="9.75833333333333" style="13" customWidth="1"/>
    <col min="9" max="9" width="12.5" style="13" customWidth="1"/>
    <col min="10" max="12" width="9" style="12"/>
    <col min="13" max="13" width="13" style="12" customWidth="1"/>
    <col min="14" max="14" width="18.2583333333333" style="12" customWidth="1"/>
    <col min="15" max="17" width="9" style="12"/>
    <col min="18" max="18" width="10.7583333333333" style="12" customWidth="1"/>
    <col min="19" max="16384" width="9" style="12"/>
  </cols>
  <sheetData>
    <row r="1" customHeight="1" spans="1:15">
      <c r="A1" s="14" t="s">
        <v>121</v>
      </c>
      <c r="B1" s="14" t="s">
        <v>344</v>
      </c>
      <c r="C1" s="14"/>
      <c r="D1" s="14" t="s">
        <v>345</v>
      </c>
      <c r="E1" s="14" t="s">
        <v>346</v>
      </c>
      <c r="F1" s="14" t="s">
        <v>347</v>
      </c>
      <c r="G1" s="14" t="s">
        <v>348</v>
      </c>
      <c r="H1" s="14" t="s">
        <v>349</v>
      </c>
      <c r="I1" s="14" t="s">
        <v>350</v>
      </c>
      <c r="K1" s="34" t="s">
        <v>351</v>
      </c>
      <c r="L1" s="34"/>
      <c r="M1" s="34"/>
      <c r="N1" s="35"/>
      <c r="O1" s="36"/>
    </row>
    <row r="2" customHeight="1" spans="1:15">
      <c r="A2" s="15">
        <v>2009</v>
      </c>
      <c r="B2" s="16">
        <v>44717</v>
      </c>
      <c r="C2" s="16"/>
      <c r="D2" s="17" t="s">
        <v>352</v>
      </c>
      <c r="E2" s="18" t="s">
        <v>86</v>
      </c>
      <c r="F2" s="19">
        <v>12</v>
      </c>
      <c r="G2" s="20" t="s">
        <v>86</v>
      </c>
      <c r="H2" s="21"/>
      <c r="I2" s="37"/>
      <c r="K2" s="35" t="s">
        <v>353</v>
      </c>
      <c r="L2" s="35" t="s">
        <v>354</v>
      </c>
      <c r="M2" s="35" t="s">
        <v>246</v>
      </c>
      <c r="N2" s="35" t="s">
        <v>355</v>
      </c>
      <c r="O2" s="36"/>
    </row>
    <row r="3" customHeight="1" spans="1:14">
      <c r="A3" s="15">
        <v>2010</v>
      </c>
      <c r="B3" s="16">
        <v>44664</v>
      </c>
      <c r="C3" s="16"/>
      <c r="D3" s="17" t="s">
        <v>356</v>
      </c>
      <c r="E3" s="22"/>
      <c r="F3" s="19">
        <v>17</v>
      </c>
      <c r="G3" s="23"/>
      <c r="I3" s="38"/>
      <c r="K3" s="39" t="s">
        <v>288</v>
      </c>
      <c r="L3" s="40">
        <v>1</v>
      </c>
      <c r="M3" s="41">
        <v>44571</v>
      </c>
      <c r="N3" s="42">
        <v>0.96</v>
      </c>
    </row>
    <row r="4" customHeight="1" spans="1:14">
      <c r="A4" s="15">
        <v>2012</v>
      </c>
      <c r="B4" s="16">
        <v>44692</v>
      </c>
      <c r="C4" s="16"/>
      <c r="D4" s="17" t="s">
        <v>357</v>
      </c>
      <c r="E4" s="22"/>
      <c r="F4" s="19" t="s">
        <v>358</v>
      </c>
      <c r="G4" s="23"/>
      <c r="I4" s="38"/>
      <c r="K4" s="39"/>
      <c r="L4" s="43">
        <v>2</v>
      </c>
      <c r="M4" s="44">
        <v>44823</v>
      </c>
      <c r="N4" s="45">
        <v>1</v>
      </c>
    </row>
    <row r="5" customHeight="1" spans="1:14">
      <c r="A5" s="15">
        <v>2013</v>
      </c>
      <c r="B5" s="16">
        <v>44664</v>
      </c>
      <c r="C5" s="16"/>
      <c r="D5" s="17" t="s">
        <v>357</v>
      </c>
      <c r="E5" s="22"/>
      <c r="F5" s="19">
        <v>16.87</v>
      </c>
      <c r="G5" s="23"/>
      <c r="I5" s="38"/>
      <c r="K5" s="39"/>
      <c r="L5" s="46">
        <v>3</v>
      </c>
      <c r="M5" s="47">
        <v>44830</v>
      </c>
      <c r="N5" s="48">
        <v>1</v>
      </c>
    </row>
    <row r="6" customHeight="1" spans="1:14">
      <c r="A6" s="15">
        <v>2014</v>
      </c>
      <c r="B6" s="16">
        <v>44647</v>
      </c>
      <c r="C6" s="16"/>
      <c r="D6" s="17" t="s">
        <v>357</v>
      </c>
      <c r="E6" s="22"/>
      <c r="F6" s="19">
        <v>15.3</v>
      </c>
      <c r="G6" s="23"/>
      <c r="I6" s="38"/>
      <c r="K6" s="39"/>
      <c r="L6" s="43">
        <v>4</v>
      </c>
      <c r="M6" s="44">
        <v>44833</v>
      </c>
      <c r="N6" s="45">
        <v>1</v>
      </c>
    </row>
    <row r="7" customHeight="1" spans="1:14">
      <c r="A7" s="15">
        <v>2019</v>
      </c>
      <c r="B7" s="16">
        <v>44628</v>
      </c>
      <c r="C7" s="16"/>
      <c r="D7" s="17" t="s">
        <v>357</v>
      </c>
      <c r="E7" s="24"/>
      <c r="F7" s="19" t="s">
        <v>358</v>
      </c>
      <c r="G7" s="25"/>
      <c r="H7" s="26"/>
      <c r="I7" s="49"/>
      <c r="K7" s="39"/>
      <c r="L7" s="46">
        <v>5</v>
      </c>
      <c r="M7" s="47">
        <v>44907</v>
      </c>
      <c r="N7" s="48">
        <v>4</v>
      </c>
    </row>
    <row r="8" customHeight="1" spans="1:14">
      <c r="A8" s="15">
        <v>2021</v>
      </c>
      <c r="B8" s="16">
        <v>44749</v>
      </c>
      <c r="C8" s="16"/>
      <c r="D8" s="17" t="s">
        <v>359</v>
      </c>
      <c r="E8" s="17">
        <v>20000</v>
      </c>
      <c r="F8" s="17">
        <v>17000</v>
      </c>
      <c r="G8" s="17">
        <v>25920</v>
      </c>
      <c r="H8" s="17">
        <v>25880</v>
      </c>
      <c r="I8" s="17">
        <v>25918</v>
      </c>
      <c r="K8" s="39"/>
      <c r="L8" s="43">
        <v>6</v>
      </c>
      <c r="M8" s="44">
        <v>44914</v>
      </c>
      <c r="N8" s="45">
        <v>4</v>
      </c>
    </row>
    <row r="9" customHeight="1" spans="1:14">
      <c r="A9" s="15">
        <v>2021</v>
      </c>
      <c r="B9" s="27">
        <v>44391</v>
      </c>
      <c r="C9" s="27"/>
      <c r="D9" s="17"/>
      <c r="E9" s="17">
        <v>13000</v>
      </c>
      <c r="F9" s="17">
        <v>13900</v>
      </c>
      <c r="G9" s="17">
        <v>25700</v>
      </c>
      <c r="H9" s="17">
        <v>25670</v>
      </c>
      <c r="I9" s="17">
        <v>25698</v>
      </c>
      <c r="K9" s="39"/>
      <c r="L9" s="46">
        <v>7</v>
      </c>
      <c r="M9" s="47">
        <v>44918</v>
      </c>
      <c r="N9" s="48">
        <v>4</v>
      </c>
    </row>
    <row r="10" customHeight="1" spans="1:14">
      <c r="A10" s="15">
        <v>2021</v>
      </c>
      <c r="B10" s="27">
        <v>44398</v>
      </c>
      <c r="C10" s="27"/>
      <c r="D10" s="17"/>
      <c r="E10" s="17">
        <v>20000</v>
      </c>
      <c r="F10" s="17">
        <v>11600</v>
      </c>
      <c r="G10" s="17">
        <v>25500</v>
      </c>
      <c r="H10" s="17">
        <v>25200</v>
      </c>
      <c r="I10" s="17">
        <v>25350</v>
      </c>
      <c r="K10" s="39"/>
      <c r="L10" s="43">
        <v>8</v>
      </c>
      <c r="M10" s="44">
        <v>44922</v>
      </c>
      <c r="N10" s="45">
        <v>2</v>
      </c>
    </row>
    <row r="11" customHeight="1" spans="1:14">
      <c r="A11" s="15">
        <v>2021</v>
      </c>
      <c r="B11" s="27">
        <v>44479</v>
      </c>
      <c r="C11" s="27"/>
      <c r="D11" s="17"/>
      <c r="E11" s="17">
        <v>30000</v>
      </c>
      <c r="F11" s="17">
        <v>30000</v>
      </c>
      <c r="G11" s="17">
        <v>10000</v>
      </c>
      <c r="H11" s="17">
        <v>9900</v>
      </c>
      <c r="I11" s="17">
        <f>(G11+H11)/2</f>
        <v>9950</v>
      </c>
      <c r="K11" s="50"/>
      <c r="L11" s="51" t="s">
        <v>360</v>
      </c>
      <c r="M11" s="51"/>
      <c r="N11" s="52">
        <v>17.96</v>
      </c>
    </row>
    <row r="12" customHeight="1" spans="1:14">
      <c r="A12" s="28">
        <v>2022</v>
      </c>
      <c r="B12" s="27">
        <v>44623</v>
      </c>
      <c r="C12" s="29" t="s">
        <v>361</v>
      </c>
      <c r="D12" s="18" t="s">
        <v>362</v>
      </c>
      <c r="E12" s="30">
        <v>19400</v>
      </c>
      <c r="F12" s="17">
        <v>19400</v>
      </c>
      <c r="G12" s="17">
        <v>19692</v>
      </c>
      <c r="H12" s="17">
        <v>18467</v>
      </c>
      <c r="I12" s="17">
        <v>19135</v>
      </c>
      <c r="K12" s="43" t="s">
        <v>289</v>
      </c>
      <c r="L12" s="43">
        <v>1</v>
      </c>
      <c r="M12" s="44" t="s">
        <v>363</v>
      </c>
      <c r="N12" s="45">
        <v>3</v>
      </c>
    </row>
    <row r="13" customHeight="1" spans="1:14">
      <c r="A13" s="28">
        <v>2022</v>
      </c>
      <c r="B13" s="27">
        <v>44624</v>
      </c>
      <c r="C13" s="29"/>
      <c r="D13" s="22"/>
      <c r="E13" s="31">
        <v>20600</v>
      </c>
      <c r="F13" s="32">
        <v>20600</v>
      </c>
      <c r="G13" s="17" t="s">
        <v>98</v>
      </c>
      <c r="H13" s="17" t="s">
        <v>98</v>
      </c>
      <c r="I13" s="17">
        <v>20223</v>
      </c>
      <c r="K13" s="43"/>
      <c r="L13" s="46">
        <v>2</v>
      </c>
      <c r="M13" s="47" t="s">
        <v>364</v>
      </c>
      <c r="N13" s="48">
        <v>2</v>
      </c>
    </row>
    <row r="14" customHeight="1" spans="1:14">
      <c r="A14" s="28">
        <v>2022</v>
      </c>
      <c r="B14" s="27">
        <v>44630</v>
      </c>
      <c r="C14" s="29" t="s">
        <v>365</v>
      </c>
      <c r="D14" s="22"/>
      <c r="E14" s="30">
        <v>38000</v>
      </c>
      <c r="F14" s="17">
        <v>22000</v>
      </c>
      <c r="G14" s="17">
        <v>21870</v>
      </c>
      <c r="H14" s="17">
        <v>21870</v>
      </c>
      <c r="I14" s="17">
        <v>21870</v>
      </c>
      <c r="K14" s="43"/>
      <c r="L14" s="43">
        <v>3</v>
      </c>
      <c r="M14" s="44" t="s">
        <v>366</v>
      </c>
      <c r="N14" s="45">
        <v>3</v>
      </c>
    </row>
    <row r="15" customHeight="1" spans="1:14">
      <c r="A15" s="28">
        <v>2022</v>
      </c>
      <c r="B15" s="27">
        <v>44653</v>
      </c>
      <c r="C15" s="29" t="s">
        <v>367</v>
      </c>
      <c r="D15" s="22"/>
      <c r="E15" s="30">
        <v>11800</v>
      </c>
      <c r="F15" s="17">
        <v>11800</v>
      </c>
      <c r="G15" s="17">
        <v>19940</v>
      </c>
      <c r="H15" s="17">
        <v>18890</v>
      </c>
      <c r="I15" s="17">
        <v>19464</v>
      </c>
      <c r="K15" s="43"/>
      <c r="L15" s="46">
        <v>4</v>
      </c>
      <c r="M15" s="47" t="s">
        <v>368</v>
      </c>
      <c r="N15" s="48">
        <v>2</v>
      </c>
    </row>
    <row r="16" customHeight="1" spans="1:14">
      <c r="A16" s="28">
        <v>2022</v>
      </c>
      <c r="B16" s="27">
        <v>44654</v>
      </c>
      <c r="C16" s="29"/>
      <c r="D16" s="22"/>
      <c r="E16" s="30">
        <v>28200</v>
      </c>
      <c r="F16" s="32">
        <v>8460</v>
      </c>
      <c r="G16" s="17" t="s">
        <v>98</v>
      </c>
      <c r="H16" s="17" t="s">
        <v>98</v>
      </c>
      <c r="I16" s="17">
        <v>21000</v>
      </c>
      <c r="K16" s="43"/>
      <c r="L16" s="43">
        <v>5</v>
      </c>
      <c r="M16" s="44">
        <v>44234</v>
      </c>
      <c r="N16" s="45">
        <v>1</v>
      </c>
    </row>
    <row r="17" customHeight="1" spans="1:14">
      <c r="A17" s="28">
        <v>2022</v>
      </c>
      <c r="B17" s="27">
        <v>44665</v>
      </c>
      <c r="C17" s="29" t="s">
        <v>369</v>
      </c>
      <c r="D17" s="22"/>
      <c r="E17" s="30">
        <v>40000</v>
      </c>
      <c r="F17" s="17">
        <v>2700</v>
      </c>
      <c r="G17" s="17">
        <v>21800</v>
      </c>
      <c r="H17" s="17">
        <v>21800</v>
      </c>
      <c r="I17" s="17">
        <v>21800</v>
      </c>
      <c r="K17" s="43"/>
      <c r="L17" s="46">
        <v>6</v>
      </c>
      <c r="M17" s="47" t="s">
        <v>370</v>
      </c>
      <c r="N17" s="48">
        <v>2</v>
      </c>
    </row>
    <row r="18" customHeight="1" spans="1:14">
      <c r="A18" s="28">
        <v>2022</v>
      </c>
      <c r="B18" s="27">
        <v>44673</v>
      </c>
      <c r="C18" s="29" t="s">
        <v>371</v>
      </c>
      <c r="D18" s="22"/>
      <c r="E18" s="30">
        <v>40000</v>
      </c>
      <c r="F18" s="17">
        <v>0</v>
      </c>
      <c r="G18" s="17" t="s">
        <v>98</v>
      </c>
      <c r="H18" s="17" t="s">
        <v>98</v>
      </c>
      <c r="I18" s="17" t="s">
        <v>98</v>
      </c>
      <c r="K18" s="43"/>
      <c r="L18" s="43">
        <v>7</v>
      </c>
      <c r="M18" s="44" t="s">
        <v>372</v>
      </c>
      <c r="N18" s="45">
        <v>2</v>
      </c>
    </row>
    <row r="19" customHeight="1" spans="1:14">
      <c r="A19" s="28">
        <v>2022</v>
      </c>
      <c r="B19" s="27">
        <v>44680</v>
      </c>
      <c r="C19" s="29" t="s">
        <v>373</v>
      </c>
      <c r="D19" s="22"/>
      <c r="E19" s="30">
        <v>40000</v>
      </c>
      <c r="F19" s="17">
        <v>1800</v>
      </c>
      <c r="G19" s="17">
        <v>22910</v>
      </c>
      <c r="H19" s="17">
        <v>22910</v>
      </c>
      <c r="I19" s="17">
        <v>22910</v>
      </c>
      <c r="K19" s="43"/>
      <c r="L19" s="46">
        <v>8</v>
      </c>
      <c r="M19" s="47" t="s">
        <v>374</v>
      </c>
      <c r="N19" s="48">
        <v>2</v>
      </c>
    </row>
    <row r="20" customHeight="1" spans="1:14">
      <c r="A20" s="28">
        <v>2022</v>
      </c>
      <c r="B20" s="27">
        <v>44694</v>
      </c>
      <c r="C20" s="29" t="s">
        <v>375</v>
      </c>
      <c r="D20" s="22"/>
      <c r="E20" s="30">
        <v>40000</v>
      </c>
      <c r="F20" s="17">
        <v>4500</v>
      </c>
      <c r="G20" s="17" t="s">
        <v>98</v>
      </c>
      <c r="H20" s="17" t="s">
        <v>98</v>
      </c>
      <c r="I20" s="17">
        <v>24090</v>
      </c>
      <c r="K20" s="43"/>
      <c r="L20" s="43">
        <v>9</v>
      </c>
      <c r="M20" s="44" t="s">
        <v>376</v>
      </c>
      <c r="N20" s="45">
        <v>2</v>
      </c>
    </row>
    <row r="21" customHeight="1" spans="1:14">
      <c r="A21" s="28">
        <v>2022</v>
      </c>
      <c r="B21" s="27">
        <v>44701</v>
      </c>
      <c r="C21" s="29" t="s">
        <v>377</v>
      </c>
      <c r="D21" s="22"/>
      <c r="E21" s="30">
        <v>40000</v>
      </c>
      <c r="F21" s="17">
        <v>300</v>
      </c>
      <c r="G21" s="17" t="s">
        <v>98</v>
      </c>
      <c r="H21" s="17">
        <v>24380</v>
      </c>
      <c r="I21" s="17">
        <v>24380</v>
      </c>
      <c r="K21" s="43"/>
      <c r="L21" s="46">
        <v>10</v>
      </c>
      <c r="M21" s="47" t="s">
        <v>378</v>
      </c>
      <c r="N21" s="48">
        <v>2</v>
      </c>
    </row>
    <row r="22" customHeight="1" spans="1:14">
      <c r="A22" s="28">
        <v>2022</v>
      </c>
      <c r="B22" s="27">
        <v>44707</v>
      </c>
      <c r="C22" s="33" t="s">
        <v>379</v>
      </c>
      <c r="D22" s="22"/>
      <c r="E22" s="30">
        <v>5000</v>
      </c>
      <c r="F22" s="17">
        <v>5000</v>
      </c>
      <c r="G22" s="17" t="s">
        <v>98</v>
      </c>
      <c r="H22" s="17" t="s">
        <v>98</v>
      </c>
      <c r="I22" s="17">
        <v>23720</v>
      </c>
      <c r="K22" s="43"/>
      <c r="L22" s="43">
        <v>11</v>
      </c>
      <c r="M22" s="44" t="s">
        <v>380</v>
      </c>
      <c r="N22" s="45">
        <v>2</v>
      </c>
    </row>
    <row r="23" customHeight="1" spans="1:14">
      <c r="A23" s="28">
        <v>2022</v>
      </c>
      <c r="B23" s="27">
        <v>44708</v>
      </c>
      <c r="C23" s="33"/>
      <c r="D23" s="22"/>
      <c r="E23" s="30">
        <v>35000</v>
      </c>
      <c r="F23" s="17">
        <v>2400</v>
      </c>
      <c r="G23" s="17">
        <v>24710</v>
      </c>
      <c r="H23" s="17">
        <v>24710</v>
      </c>
      <c r="I23" s="17">
        <v>24710</v>
      </c>
      <c r="K23" s="43"/>
      <c r="L23" s="46">
        <v>12</v>
      </c>
      <c r="M23" s="47" t="s">
        <v>381</v>
      </c>
      <c r="N23" s="48">
        <v>2</v>
      </c>
    </row>
    <row r="24" customHeight="1" spans="1:14">
      <c r="A24" s="28">
        <v>2022</v>
      </c>
      <c r="B24" s="27">
        <v>44714</v>
      </c>
      <c r="C24" s="33" t="s">
        <v>382</v>
      </c>
      <c r="D24" s="22"/>
      <c r="E24" s="30">
        <v>40000</v>
      </c>
      <c r="F24" s="17">
        <v>900</v>
      </c>
      <c r="G24" s="17" t="s">
        <v>98</v>
      </c>
      <c r="H24" s="17" t="s">
        <v>98</v>
      </c>
      <c r="I24" s="17">
        <v>24950</v>
      </c>
      <c r="K24" s="43"/>
      <c r="L24" s="43">
        <v>13</v>
      </c>
      <c r="M24" s="44" t="s">
        <v>383</v>
      </c>
      <c r="N24" s="45">
        <v>2</v>
      </c>
    </row>
    <row r="25" customHeight="1" spans="1:14">
      <c r="A25" s="28">
        <v>2022</v>
      </c>
      <c r="B25" s="27">
        <v>44722</v>
      </c>
      <c r="C25" s="33" t="s">
        <v>384</v>
      </c>
      <c r="D25" s="22"/>
      <c r="E25" s="30">
        <v>40000</v>
      </c>
      <c r="F25" s="17">
        <v>1500</v>
      </c>
      <c r="G25" s="17">
        <v>25160</v>
      </c>
      <c r="H25" s="17">
        <v>25160</v>
      </c>
      <c r="I25" s="17">
        <v>25160</v>
      </c>
      <c r="K25" s="43"/>
      <c r="L25" s="46">
        <v>14</v>
      </c>
      <c r="M25" s="47" t="s">
        <v>385</v>
      </c>
      <c r="N25" s="48">
        <v>2</v>
      </c>
    </row>
    <row r="26" customHeight="1" spans="1:14">
      <c r="A26" s="28">
        <v>2022</v>
      </c>
      <c r="B26" s="27">
        <v>44729</v>
      </c>
      <c r="C26" s="33" t="s">
        <v>386</v>
      </c>
      <c r="D26" s="22"/>
      <c r="E26" s="30">
        <v>40000</v>
      </c>
      <c r="F26" s="17">
        <v>0</v>
      </c>
      <c r="G26" s="17" t="s">
        <v>98</v>
      </c>
      <c r="H26" s="17" t="s">
        <v>98</v>
      </c>
      <c r="I26" s="17" t="s">
        <v>98</v>
      </c>
      <c r="K26" s="43"/>
      <c r="L26" s="43">
        <v>15</v>
      </c>
      <c r="M26" s="44" t="s">
        <v>387</v>
      </c>
      <c r="N26" s="45">
        <v>1</v>
      </c>
    </row>
    <row r="27" customHeight="1" spans="1:14">
      <c r="A27" s="28">
        <v>2022</v>
      </c>
      <c r="B27" s="27">
        <v>44736</v>
      </c>
      <c r="C27" s="33" t="s">
        <v>388</v>
      </c>
      <c r="D27" s="24"/>
      <c r="E27" s="30">
        <v>40000</v>
      </c>
      <c r="F27" s="17">
        <v>0</v>
      </c>
      <c r="G27" s="17" t="s">
        <v>98</v>
      </c>
      <c r="H27" s="17" t="s">
        <v>98</v>
      </c>
      <c r="I27" s="17" t="s">
        <v>98</v>
      </c>
      <c r="K27" s="43"/>
      <c r="L27" s="46">
        <v>16</v>
      </c>
      <c r="M27" s="47" t="s">
        <v>389</v>
      </c>
      <c r="N27" s="48">
        <v>1</v>
      </c>
    </row>
    <row r="28" customHeight="1" spans="1:14">
      <c r="A28" s="28">
        <v>2023</v>
      </c>
      <c r="B28" s="27">
        <v>44981</v>
      </c>
      <c r="C28" s="17" t="s">
        <v>361</v>
      </c>
      <c r="D28" s="18" t="s">
        <v>390</v>
      </c>
      <c r="E28" s="17">
        <v>20000</v>
      </c>
      <c r="F28" s="17">
        <v>7100</v>
      </c>
      <c r="G28" s="17">
        <v>24000</v>
      </c>
      <c r="H28" s="17">
        <v>23980</v>
      </c>
      <c r="I28" s="17">
        <v>23990</v>
      </c>
      <c r="K28" s="43"/>
      <c r="L28" s="43">
        <v>17</v>
      </c>
      <c r="M28" s="44" t="s">
        <v>391</v>
      </c>
      <c r="N28" s="45">
        <v>2</v>
      </c>
    </row>
    <row r="29" customHeight="1" spans="1:14">
      <c r="A29" s="28">
        <v>2023</v>
      </c>
      <c r="B29" s="27">
        <v>45114</v>
      </c>
      <c r="C29" s="17" t="s">
        <v>392</v>
      </c>
      <c r="D29" s="22"/>
      <c r="E29" s="17">
        <v>28750</v>
      </c>
      <c r="F29" s="17">
        <v>28750</v>
      </c>
      <c r="G29" s="32" t="s">
        <v>98</v>
      </c>
      <c r="H29" s="32" t="s">
        <v>98</v>
      </c>
      <c r="I29" s="32">
        <v>19400</v>
      </c>
      <c r="K29" s="43"/>
      <c r="L29" s="46">
        <v>18</v>
      </c>
      <c r="M29" s="47" t="s">
        <v>393</v>
      </c>
      <c r="N29" s="48">
        <v>1</v>
      </c>
    </row>
    <row r="30" customHeight="1" spans="1:14">
      <c r="A30" s="28">
        <v>2023</v>
      </c>
      <c r="B30" s="27">
        <v>45121</v>
      </c>
      <c r="C30" s="17" t="s">
        <v>365</v>
      </c>
      <c r="D30" s="22"/>
      <c r="E30" s="17">
        <v>20000</v>
      </c>
      <c r="F30" s="17">
        <v>20000</v>
      </c>
      <c r="G30" s="17">
        <v>18500</v>
      </c>
      <c r="H30" s="17">
        <v>17980</v>
      </c>
      <c r="I30" s="17">
        <v>18100</v>
      </c>
      <c r="K30" s="43"/>
      <c r="L30" s="43">
        <v>19</v>
      </c>
      <c r="M30" s="44" t="s">
        <v>394</v>
      </c>
      <c r="N30" s="45">
        <v>1</v>
      </c>
    </row>
    <row r="31" customHeight="1" spans="1:14">
      <c r="A31" s="28">
        <v>2023</v>
      </c>
      <c r="B31" s="27">
        <v>45259</v>
      </c>
      <c r="C31" s="17" t="s">
        <v>367</v>
      </c>
      <c r="D31" s="22"/>
      <c r="E31" s="17">
        <v>10000</v>
      </c>
      <c r="F31" s="17">
        <v>10000</v>
      </c>
      <c r="G31" s="17" t="s">
        <v>98</v>
      </c>
      <c r="H31" s="17" t="s">
        <v>98</v>
      </c>
      <c r="I31" s="17" t="s">
        <v>98</v>
      </c>
      <c r="K31" s="43"/>
      <c r="L31" s="46">
        <v>20</v>
      </c>
      <c r="M31" s="47" t="s">
        <v>395</v>
      </c>
      <c r="N31" s="48">
        <v>3</v>
      </c>
    </row>
    <row r="32" customHeight="1" spans="1:14">
      <c r="A32" s="28">
        <v>2023</v>
      </c>
      <c r="B32" s="27">
        <v>45285</v>
      </c>
      <c r="C32" s="17" t="s">
        <v>392</v>
      </c>
      <c r="D32" s="24"/>
      <c r="E32" s="17">
        <v>23000</v>
      </c>
      <c r="F32" s="17">
        <v>23000</v>
      </c>
      <c r="G32" s="17">
        <v>21500</v>
      </c>
      <c r="H32" s="17">
        <v>21000</v>
      </c>
      <c r="I32" s="17">
        <v>21250</v>
      </c>
      <c r="K32" s="43"/>
      <c r="L32" s="43">
        <v>21</v>
      </c>
      <c r="M32" s="44" t="s">
        <v>396</v>
      </c>
      <c r="N32" s="45">
        <v>1</v>
      </c>
    </row>
    <row r="33" customHeight="1" spans="1:14">
      <c r="A33" s="28">
        <v>2024</v>
      </c>
      <c r="B33" s="27">
        <v>45293</v>
      </c>
      <c r="C33" s="17" t="s">
        <v>392</v>
      </c>
      <c r="D33" s="22" t="s">
        <v>362</v>
      </c>
      <c r="E33" s="17">
        <v>30000</v>
      </c>
      <c r="F33" s="17">
        <v>30000</v>
      </c>
      <c r="G33" s="17" t="s">
        <v>98</v>
      </c>
      <c r="H33" s="17" t="s">
        <v>98</v>
      </c>
      <c r="I33" s="17">
        <v>22000</v>
      </c>
      <c r="K33" s="43"/>
      <c r="L33" s="46">
        <v>22</v>
      </c>
      <c r="M33" s="47" t="s">
        <v>397</v>
      </c>
      <c r="N33" s="48">
        <v>2</v>
      </c>
    </row>
    <row r="34" customHeight="1" spans="1:14">
      <c r="A34" s="28">
        <v>2024</v>
      </c>
      <c r="B34" s="27">
        <v>45301</v>
      </c>
      <c r="C34" s="17" t="s">
        <v>392</v>
      </c>
      <c r="D34" s="22"/>
      <c r="E34" s="17">
        <v>30000</v>
      </c>
      <c r="F34" s="17" t="s">
        <v>98</v>
      </c>
      <c r="G34" s="17" t="s">
        <v>98</v>
      </c>
      <c r="H34" s="17" t="s">
        <v>98</v>
      </c>
      <c r="I34" s="17" t="s">
        <v>98</v>
      </c>
      <c r="K34" s="43"/>
      <c r="L34" s="43">
        <v>23</v>
      </c>
      <c r="M34" s="44" t="s">
        <v>398</v>
      </c>
      <c r="N34" s="45">
        <v>2</v>
      </c>
    </row>
    <row r="35" customHeight="1" spans="1:14">
      <c r="A35" s="28">
        <v>2024</v>
      </c>
      <c r="B35" s="27">
        <v>45307</v>
      </c>
      <c r="C35" s="17" t="s">
        <v>392</v>
      </c>
      <c r="D35" s="22"/>
      <c r="E35" s="17">
        <v>30000</v>
      </c>
      <c r="F35" s="17" t="s">
        <v>98</v>
      </c>
      <c r="G35" s="17" t="s">
        <v>98</v>
      </c>
      <c r="H35" s="17" t="s">
        <v>98</v>
      </c>
      <c r="I35" s="17" t="s">
        <v>98</v>
      </c>
      <c r="K35" s="43"/>
      <c r="L35" s="46">
        <v>24</v>
      </c>
      <c r="M35" s="47" t="s">
        <v>399</v>
      </c>
      <c r="N35" s="48">
        <v>2</v>
      </c>
    </row>
    <row r="36" customHeight="1" spans="1:14">
      <c r="A36" s="28">
        <v>2024</v>
      </c>
      <c r="B36" s="27">
        <v>45314</v>
      </c>
      <c r="C36" s="17" t="s">
        <v>392</v>
      </c>
      <c r="D36" s="22"/>
      <c r="E36" s="17">
        <v>30000</v>
      </c>
      <c r="F36" s="17" t="s">
        <v>98</v>
      </c>
      <c r="G36" s="17" t="s">
        <v>98</v>
      </c>
      <c r="H36" s="17" t="s">
        <v>98</v>
      </c>
      <c r="I36" s="17" t="s">
        <v>98</v>
      </c>
      <c r="K36" s="43"/>
      <c r="L36" s="43">
        <v>25</v>
      </c>
      <c r="M36" s="44">
        <v>44400</v>
      </c>
      <c r="N36" s="45">
        <v>1</v>
      </c>
    </row>
    <row r="37" customHeight="1" spans="1:14">
      <c r="A37" s="28">
        <v>2024</v>
      </c>
      <c r="B37" s="27">
        <v>45317</v>
      </c>
      <c r="C37" s="17" t="s">
        <v>392</v>
      </c>
      <c r="D37" s="22"/>
      <c r="E37" s="17">
        <v>32000</v>
      </c>
      <c r="F37" s="17" t="s">
        <v>98</v>
      </c>
      <c r="G37" s="17" t="s">
        <v>98</v>
      </c>
      <c r="H37" s="17" t="s">
        <v>98</v>
      </c>
      <c r="I37" s="17" t="s">
        <v>98</v>
      </c>
      <c r="K37" s="43"/>
      <c r="L37" s="46">
        <v>26</v>
      </c>
      <c r="M37" s="47">
        <v>44407</v>
      </c>
      <c r="N37" s="48">
        <v>1</v>
      </c>
    </row>
    <row r="38" customHeight="1" spans="1:14">
      <c r="A38" s="28">
        <v>2024</v>
      </c>
      <c r="B38" s="27">
        <v>45321</v>
      </c>
      <c r="C38" s="17" t="s">
        <v>392</v>
      </c>
      <c r="D38" s="22"/>
      <c r="E38" s="17">
        <v>30000</v>
      </c>
      <c r="F38" s="17" t="s">
        <v>98</v>
      </c>
      <c r="G38" s="17" t="s">
        <v>98</v>
      </c>
      <c r="H38" s="17" t="s">
        <v>98</v>
      </c>
      <c r="I38" s="17" t="s">
        <v>98</v>
      </c>
      <c r="K38" s="43"/>
      <c r="L38" s="43">
        <v>27</v>
      </c>
      <c r="M38" s="44">
        <v>44415</v>
      </c>
      <c r="N38" s="45">
        <v>2</v>
      </c>
    </row>
    <row r="39" customHeight="1" spans="1:14">
      <c r="A39" s="28">
        <v>2024</v>
      </c>
      <c r="B39" s="27">
        <v>45345</v>
      </c>
      <c r="C39" s="17" t="s">
        <v>392</v>
      </c>
      <c r="D39" s="22"/>
      <c r="E39" s="17">
        <v>30000</v>
      </c>
      <c r="F39" s="17" t="s">
        <v>98</v>
      </c>
      <c r="G39" s="17" t="s">
        <v>98</v>
      </c>
      <c r="H39" s="17" t="s">
        <v>98</v>
      </c>
      <c r="I39" s="17" t="s">
        <v>98</v>
      </c>
      <c r="K39" s="43"/>
      <c r="L39" s="46">
        <v>28</v>
      </c>
      <c r="M39" s="47" t="s">
        <v>400</v>
      </c>
      <c r="N39" s="48">
        <v>1</v>
      </c>
    </row>
    <row r="40" customHeight="1" spans="1:14">
      <c r="A40" s="28">
        <v>2024</v>
      </c>
      <c r="B40" s="27" t="s">
        <v>401</v>
      </c>
      <c r="C40" s="17" t="s">
        <v>392</v>
      </c>
      <c r="D40" s="22"/>
      <c r="E40" s="17">
        <v>33100</v>
      </c>
      <c r="F40" s="17" t="s">
        <v>98</v>
      </c>
      <c r="G40" s="17" t="s">
        <v>98</v>
      </c>
      <c r="H40" s="17" t="s">
        <v>98</v>
      </c>
      <c r="I40" s="17" t="s">
        <v>98</v>
      </c>
      <c r="K40" s="43"/>
      <c r="L40" s="43">
        <v>29</v>
      </c>
      <c r="M40" s="44" t="s">
        <v>402</v>
      </c>
      <c r="N40" s="45">
        <v>1</v>
      </c>
    </row>
    <row r="41" customHeight="1" spans="1:14">
      <c r="A41" s="28">
        <v>2024</v>
      </c>
      <c r="B41" s="27">
        <v>45421</v>
      </c>
      <c r="C41" s="17" t="s">
        <v>392</v>
      </c>
      <c r="D41" s="22"/>
      <c r="E41" s="17">
        <v>30000</v>
      </c>
      <c r="F41" s="17" t="s">
        <v>98</v>
      </c>
      <c r="G41" s="17" t="s">
        <v>98</v>
      </c>
      <c r="H41" s="17" t="s">
        <v>98</v>
      </c>
      <c r="I41" s="17" t="s">
        <v>98</v>
      </c>
      <c r="K41" s="43"/>
      <c r="L41" s="46">
        <v>30</v>
      </c>
      <c r="M41" s="47" t="s">
        <v>403</v>
      </c>
      <c r="N41" s="48">
        <v>1</v>
      </c>
    </row>
    <row r="42" customHeight="1" spans="1:14">
      <c r="A42" s="28">
        <v>2024</v>
      </c>
      <c r="B42" s="27">
        <v>45429</v>
      </c>
      <c r="C42" s="17" t="s">
        <v>392</v>
      </c>
      <c r="D42" s="22"/>
      <c r="E42" s="17">
        <v>30000</v>
      </c>
      <c r="F42" s="17" t="s">
        <v>98</v>
      </c>
      <c r="G42" s="17" t="s">
        <v>98</v>
      </c>
      <c r="H42" s="17" t="s">
        <v>98</v>
      </c>
      <c r="I42" s="17" t="s">
        <v>98</v>
      </c>
      <c r="K42" s="43"/>
      <c r="L42" s="43">
        <v>31</v>
      </c>
      <c r="M42" s="44" t="s">
        <v>404</v>
      </c>
      <c r="N42" s="45">
        <v>2</v>
      </c>
    </row>
    <row r="43" customHeight="1" spans="1:14">
      <c r="A43" s="28">
        <v>2024</v>
      </c>
      <c r="B43" s="27">
        <v>45459</v>
      </c>
      <c r="C43" s="17" t="s">
        <v>392</v>
      </c>
      <c r="D43" s="22"/>
      <c r="E43" s="17">
        <v>30000</v>
      </c>
      <c r="F43" s="17" t="s">
        <v>98</v>
      </c>
      <c r="G43" s="17" t="s">
        <v>98</v>
      </c>
      <c r="H43" s="17" t="s">
        <v>98</v>
      </c>
      <c r="I43" s="17" t="s">
        <v>98</v>
      </c>
      <c r="K43" s="43"/>
      <c r="L43" s="46">
        <v>32</v>
      </c>
      <c r="M43" s="47" t="s">
        <v>405</v>
      </c>
      <c r="N43" s="48">
        <v>1</v>
      </c>
    </row>
    <row r="44" customHeight="1" spans="1:14">
      <c r="A44" s="28">
        <v>2024</v>
      </c>
      <c r="B44" s="27">
        <v>45535</v>
      </c>
      <c r="C44" s="17" t="s">
        <v>392</v>
      </c>
      <c r="D44" s="22"/>
      <c r="E44" s="17">
        <v>27000</v>
      </c>
      <c r="F44" s="17" t="s">
        <v>98</v>
      </c>
      <c r="G44" s="17" t="s">
        <v>98</v>
      </c>
      <c r="H44" s="17" t="s">
        <v>98</v>
      </c>
      <c r="I44" s="17" t="s">
        <v>98</v>
      </c>
      <c r="K44" s="43"/>
      <c r="L44" s="43">
        <v>33</v>
      </c>
      <c r="M44" s="44" t="s">
        <v>406</v>
      </c>
      <c r="N44" s="45">
        <v>2</v>
      </c>
    </row>
    <row r="45" customHeight="1" spans="1:14">
      <c r="A45" s="28">
        <v>2024</v>
      </c>
      <c r="B45" s="27">
        <v>45541</v>
      </c>
      <c r="C45" s="17" t="s">
        <v>392</v>
      </c>
      <c r="D45" s="22"/>
      <c r="E45" s="17">
        <v>15800</v>
      </c>
      <c r="F45" s="17" t="s">
        <v>98</v>
      </c>
      <c r="G45" s="17" t="s">
        <v>98</v>
      </c>
      <c r="H45" s="17" t="s">
        <v>98</v>
      </c>
      <c r="I45" s="17" t="s">
        <v>98</v>
      </c>
      <c r="K45" s="43"/>
      <c r="L45" s="46">
        <v>34</v>
      </c>
      <c r="M45" s="47" t="s">
        <v>407</v>
      </c>
      <c r="N45" s="48">
        <v>2</v>
      </c>
    </row>
    <row r="46" customHeight="1" spans="1:14">
      <c r="A46" s="28">
        <v>2024</v>
      </c>
      <c r="B46" s="27">
        <v>45549</v>
      </c>
      <c r="C46" s="17" t="s">
        <v>392</v>
      </c>
      <c r="D46" s="22"/>
      <c r="E46" s="17">
        <v>16300</v>
      </c>
      <c r="F46" s="17" t="s">
        <v>98</v>
      </c>
      <c r="G46" s="17" t="s">
        <v>98</v>
      </c>
      <c r="H46" s="17" t="s">
        <v>98</v>
      </c>
      <c r="I46" s="17" t="s">
        <v>98</v>
      </c>
      <c r="K46" s="43"/>
      <c r="L46" s="43">
        <v>35</v>
      </c>
      <c r="M46" s="44" t="s">
        <v>408</v>
      </c>
      <c r="N46" s="45">
        <v>1</v>
      </c>
    </row>
    <row r="47" customHeight="1" spans="1:14">
      <c r="A47" s="28">
        <v>2024</v>
      </c>
      <c r="B47" s="27">
        <v>45560</v>
      </c>
      <c r="C47" s="17" t="s">
        <v>392</v>
      </c>
      <c r="D47" s="22"/>
      <c r="E47" s="17">
        <v>27750</v>
      </c>
      <c r="F47" s="17" t="s">
        <v>98</v>
      </c>
      <c r="G47" s="17" t="s">
        <v>98</v>
      </c>
      <c r="H47" s="17" t="s">
        <v>98</v>
      </c>
      <c r="I47" s="17" t="s">
        <v>98</v>
      </c>
      <c r="K47" s="43"/>
      <c r="L47" s="46">
        <v>36</v>
      </c>
      <c r="M47" s="47" t="s">
        <v>409</v>
      </c>
      <c r="N47" s="48">
        <v>2</v>
      </c>
    </row>
    <row r="48" customHeight="1" spans="1:14">
      <c r="A48" s="28">
        <v>2024</v>
      </c>
      <c r="B48" s="27">
        <v>45581</v>
      </c>
      <c r="C48" s="17" t="s">
        <v>392</v>
      </c>
      <c r="D48" s="24"/>
      <c r="E48" s="17">
        <v>19600</v>
      </c>
      <c r="F48" s="17" t="s">
        <v>98</v>
      </c>
      <c r="G48" s="17" t="s">
        <v>98</v>
      </c>
      <c r="H48" s="17" t="s">
        <v>98</v>
      </c>
      <c r="I48" s="17" t="s">
        <v>98</v>
      </c>
      <c r="K48" s="43"/>
      <c r="L48" s="43">
        <v>37</v>
      </c>
      <c r="M48" s="44" t="s">
        <v>410</v>
      </c>
      <c r="N48" s="45">
        <v>3</v>
      </c>
    </row>
    <row r="49" customHeight="1" spans="1:14">
      <c r="A49" s="28">
        <v>2025</v>
      </c>
      <c r="B49" s="27">
        <v>45702</v>
      </c>
      <c r="C49" s="17" t="s">
        <v>392</v>
      </c>
      <c r="D49" s="22" t="s">
        <v>411</v>
      </c>
      <c r="E49" s="17">
        <v>30000</v>
      </c>
      <c r="F49" s="17" t="s">
        <v>98</v>
      </c>
      <c r="G49" s="17" t="s">
        <v>98</v>
      </c>
      <c r="H49" s="17" t="s">
        <v>98</v>
      </c>
      <c r="I49" s="17" t="s">
        <v>98</v>
      </c>
      <c r="K49" s="43"/>
      <c r="L49" s="46">
        <v>38</v>
      </c>
      <c r="M49" s="47" t="s">
        <v>412</v>
      </c>
      <c r="N49" s="48">
        <v>2</v>
      </c>
    </row>
    <row r="50" customHeight="1" spans="1:14">
      <c r="A50" s="28">
        <v>2025</v>
      </c>
      <c r="B50" s="27">
        <v>45705</v>
      </c>
      <c r="C50" s="17" t="s">
        <v>392</v>
      </c>
      <c r="D50" s="22"/>
      <c r="E50" s="17">
        <v>20000</v>
      </c>
      <c r="F50" s="17" t="s">
        <v>98</v>
      </c>
      <c r="G50" s="17" t="s">
        <v>98</v>
      </c>
      <c r="H50" s="17" t="s">
        <v>98</v>
      </c>
      <c r="I50" s="17" t="s">
        <v>98</v>
      </c>
      <c r="K50" s="53"/>
      <c r="L50" s="34" t="s">
        <v>360</v>
      </c>
      <c r="M50" s="34"/>
      <c r="N50" s="54">
        <v>67</v>
      </c>
    </row>
    <row r="51" customHeight="1" spans="1:14">
      <c r="A51" s="28">
        <v>2025</v>
      </c>
      <c r="B51" s="27">
        <v>45721</v>
      </c>
      <c r="C51" s="17" t="s">
        <v>392</v>
      </c>
      <c r="D51" s="22"/>
      <c r="E51" s="17">
        <v>22700</v>
      </c>
      <c r="F51" s="17" t="s">
        <v>98</v>
      </c>
      <c r="G51" s="17" t="s">
        <v>98</v>
      </c>
      <c r="H51" s="17" t="s">
        <v>98</v>
      </c>
      <c r="I51" s="17" t="s">
        <v>98</v>
      </c>
      <c r="K51" s="55" t="s">
        <v>290</v>
      </c>
      <c r="L51" s="46">
        <v>1</v>
      </c>
      <c r="M51" s="47" t="s">
        <v>413</v>
      </c>
      <c r="N51" s="48">
        <v>2</v>
      </c>
    </row>
    <row r="52" customHeight="1" spans="1:14">
      <c r="A52" s="28">
        <v>2025</v>
      </c>
      <c r="B52" s="27">
        <v>45762</v>
      </c>
      <c r="C52" s="17" t="s">
        <v>392</v>
      </c>
      <c r="D52" s="22"/>
      <c r="E52" s="17">
        <v>20000</v>
      </c>
      <c r="F52" s="17" t="s">
        <v>98</v>
      </c>
      <c r="G52" s="17" t="s">
        <v>98</v>
      </c>
      <c r="H52" s="17" t="s">
        <v>98</v>
      </c>
      <c r="I52" s="17" t="s">
        <v>98</v>
      </c>
      <c r="K52" s="55"/>
      <c r="L52" s="46">
        <v>2</v>
      </c>
      <c r="M52" s="44" t="s">
        <v>414</v>
      </c>
      <c r="N52" s="48">
        <v>3</v>
      </c>
    </row>
    <row r="53" customHeight="1" spans="1:14">
      <c r="A53" s="28">
        <v>2025</v>
      </c>
      <c r="B53" s="27">
        <v>45797</v>
      </c>
      <c r="C53" s="17" t="s">
        <v>392</v>
      </c>
      <c r="D53" s="22"/>
      <c r="E53" s="17">
        <v>12000</v>
      </c>
      <c r="F53" s="17" t="s">
        <v>98</v>
      </c>
      <c r="G53" s="17" t="s">
        <v>98</v>
      </c>
      <c r="H53" s="17" t="s">
        <v>98</v>
      </c>
      <c r="I53" s="17" t="s">
        <v>98</v>
      </c>
      <c r="K53" s="55"/>
      <c r="L53" s="46">
        <v>3</v>
      </c>
      <c r="M53" s="47" t="s">
        <v>368</v>
      </c>
      <c r="N53" s="48">
        <v>3</v>
      </c>
    </row>
    <row r="54" customHeight="1" spans="1:14">
      <c r="A54" s="28">
        <v>2025</v>
      </c>
      <c r="B54" s="27">
        <v>45798</v>
      </c>
      <c r="C54" s="17" t="s">
        <v>392</v>
      </c>
      <c r="D54" s="22"/>
      <c r="E54" s="17">
        <v>7500</v>
      </c>
      <c r="F54" s="17" t="s">
        <v>98</v>
      </c>
      <c r="G54" s="17" t="s">
        <v>98</v>
      </c>
      <c r="H54" s="17" t="s">
        <v>98</v>
      </c>
      <c r="I54" s="17" t="s">
        <v>98</v>
      </c>
      <c r="K54" s="55"/>
      <c r="L54" s="46">
        <v>4</v>
      </c>
      <c r="M54" s="44" t="s">
        <v>415</v>
      </c>
      <c r="N54" s="48">
        <v>3</v>
      </c>
    </row>
    <row r="55" customHeight="1" spans="1:14">
      <c r="A55" s="28">
        <v>2025</v>
      </c>
      <c r="B55" s="27">
        <v>45819</v>
      </c>
      <c r="C55" s="17" t="s">
        <v>416</v>
      </c>
      <c r="D55" s="22"/>
      <c r="E55" s="17">
        <v>10000</v>
      </c>
      <c r="F55" s="17" t="s">
        <v>98</v>
      </c>
      <c r="G55" s="17" t="s">
        <v>98</v>
      </c>
      <c r="H55" s="17" t="s">
        <v>98</v>
      </c>
      <c r="I55" s="17" t="s">
        <v>98</v>
      </c>
      <c r="K55" s="55"/>
      <c r="L55" s="46">
        <v>5</v>
      </c>
      <c r="M55" s="47">
        <v>44231</v>
      </c>
      <c r="N55" s="48">
        <v>3</v>
      </c>
    </row>
    <row r="56" customHeight="1" spans="1:14">
      <c r="A56" s="28">
        <v>2025</v>
      </c>
      <c r="B56" s="27">
        <v>45894</v>
      </c>
      <c r="C56" s="17" t="s">
        <v>416</v>
      </c>
      <c r="D56" s="22"/>
      <c r="E56" s="17">
        <v>10000</v>
      </c>
      <c r="F56" s="17">
        <v>10000</v>
      </c>
      <c r="G56" s="17">
        <v>20280</v>
      </c>
      <c r="H56" s="17">
        <v>19900</v>
      </c>
      <c r="I56" s="56" t="s">
        <v>417</v>
      </c>
      <c r="K56" s="55"/>
      <c r="L56" s="46">
        <v>6</v>
      </c>
      <c r="M56" s="44">
        <v>44236</v>
      </c>
      <c r="N56" s="48">
        <v>3</v>
      </c>
    </row>
    <row r="57" customHeight="1" spans="1:14">
      <c r="A57" s="28">
        <v>2025</v>
      </c>
      <c r="B57" s="27">
        <v>45897</v>
      </c>
      <c r="C57" s="17" t="s">
        <v>392</v>
      </c>
      <c r="D57" s="22"/>
      <c r="E57" s="17">
        <v>16100</v>
      </c>
      <c r="F57" s="17" t="s">
        <v>98</v>
      </c>
      <c r="G57" s="17" t="s">
        <v>98</v>
      </c>
      <c r="H57" s="17" t="s">
        <v>98</v>
      </c>
      <c r="I57" s="17" t="s">
        <v>98</v>
      </c>
      <c r="K57" s="55"/>
      <c r="L57" s="46">
        <v>7</v>
      </c>
      <c r="M57" s="47">
        <v>44253</v>
      </c>
      <c r="N57" s="48">
        <v>2</v>
      </c>
    </row>
    <row r="58" customHeight="1" spans="1:14">
      <c r="A58" s="28">
        <v>2025</v>
      </c>
      <c r="B58" s="27">
        <v>45898</v>
      </c>
      <c r="C58" s="17" t="s">
        <v>392</v>
      </c>
      <c r="D58" s="22"/>
      <c r="E58" s="17">
        <v>2900</v>
      </c>
      <c r="F58" s="17" t="s">
        <v>98</v>
      </c>
      <c r="G58" s="17" t="s">
        <v>98</v>
      </c>
      <c r="H58" s="17" t="s">
        <v>98</v>
      </c>
      <c r="I58" s="17" t="s">
        <v>98</v>
      </c>
      <c r="K58" s="55"/>
      <c r="L58" s="46">
        <v>8</v>
      </c>
      <c r="M58" s="44" t="s">
        <v>376</v>
      </c>
      <c r="N58" s="48">
        <v>1</v>
      </c>
    </row>
    <row r="59" customHeight="1" spans="1:14">
      <c r="A59" s="28">
        <v>2025</v>
      </c>
      <c r="B59" s="27">
        <v>45919</v>
      </c>
      <c r="C59" s="17" t="s">
        <v>392</v>
      </c>
      <c r="D59" s="22"/>
      <c r="E59" s="17">
        <v>15000</v>
      </c>
      <c r="F59" s="17" t="s">
        <v>98</v>
      </c>
      <c r="G59" s="17" t="s">
        <v>98</v>
      </c>
      <c r="H59" s="17" t="s">
        <v>98</v>
      </c>
      <c r="I59" s="17" t="s">
        <v>418</v>
      </c>
      <c r="K59" s="55"/>
      <c r="L59" s="46">
        <v>9</v>
      </c>
      <c r="M59" s="57" t="s">
        <v>419</v>
      </c>
      <c r="N59" s="48">
        <v>1</v>
      </c>
    </row>
    <row r="60" customHeight="1" spans="1:14">
      <c r="A60" s="28">
        <v>2025</v>
      </c>
      <c r="B60" s="27">
        <v>45923</v>
      </c>
      <c r="C60" s="17" t="s">
        <v>416</v>
      </c>
      <c r="D60" s="22"/>
      <c r="E60" s="17">
        <v>15000</v>
      </c>
      <c r="F60" s="17" t="s">
        <v>98</v>
      </c>
      <c r="G60" s="17" t="s">
        <v>98</v>
      </c>
      <c r="H60" s="17" t="s">
        <v>98</v>
      </c>
      <c r="I60" s="56" t="s">
        <v>420</v>
      </c>
      <c r="K60" s="58"/>
      <c r="L60" s="58" t="s">
        <v>360</v>
      </c>
      <c r="M60" s="58"/>
      <c r="N60" s="59">
        <v>21</v>
      </c>
    </row>
    <row r="61" customHeight="1" spans="1:14">
      <c r="A61" s="28">
        <v>2025</v>
      </c>
      <c r="B61" s="27">
        <v>45940</v>
      </c>
      <c r="C61" s="17" t="s">
        <v>392</v>
      </c>
      <c r="D61" s="22"/>
      <c r="E61" s="17">
        <v>15000</v>
      </c>
      <c r="F61" s="17" t="s">
        <v>98</v>
      </c>
      <c r="G61" s="17" t="s">
        <v>98</v>
      </c>
      <c r="H61" s="17" t="s">
        <v>98</v>
      </c>
      <c r="I61" s="17" t="s">
        <v>421</v>
      </c>
      <c r="K61" s="60" t="s">
        <v>422</v>
      </c>
      <c r="L61" s="46">
        <v>1</v>
      </c>
      <c r="M61" s="57">
        <v>44812</v>
      </c>
      <c r="N61" s="61">
        <v>3.77</v>
      </c>
    </row>
    <row r="62" customHeight="1" spans="1:14">
      <c r="A62" s="28">
        <v>2025</v>
      </c>
      <c r="B62" s="27">
        <v>45986</v>
      </c>
      <c r="C62" s="17" t="s">
        <v>392</v>
      </c>
      <c r="D62" s="22"/>
      <c r="E62" s="17">
        <v>3200</v>
      </c>
      <c r="F62" s="17" t="s">
        <v>98</v>
      </c>
      <c r="G62" s="17" t="s">
        <v>98</v>
      </c>
      <c r="H62" s="17" t="s">
        <v>98</v>
      </c>
      <c r="I62" s="56" t="s">
        <v>423</v>
      </c>
      <c r="K62" s="62"/>
      <c r="L62" s="46">
        <v>2</v>
      </c>
      <c r="M62" s="57">
        <v>44822</v>
      </c>
      <c r="N62" s="61">
        <v>1.5</v>
      </c>
    </row>
    <row r="63" customHeight="1" spans="1:14">
      <c r="A63" s="28">
        <v>2025</v>
      </c>
      <c r="B63" s="27">
        <v>45988</v>
      </c>
      <c r="C63" s="17" t="s">
        <v>392</v>
      </c>
      <c r="D63" s="22"/>
      <c r="E63" s="17">
        <v>5800</v>
      </c>
      <c r="F63" s="17" t="s">
        <v>98</v>
      </c>
      <c r="G63" s="17" t="s">
        <v>98</v>
      </c>
      <c r="H63" s="17" t="s">
        <v>98</v>
      </c>
      <c r="I63" s="56" t="s">
        <v>424</v>
      </c>
      <c r="K63" s="62"/>
      <c r="L63" s="46">
        <v>3</v>
      </c>
      <c r="M63" s="57">
        <v>44827</v>
      </c>
      <c r="N63" s="61">
        <v>1.44</v>
      </c>
    </row>
    <row r="64" customHeight="1" spans="1:14">
      <c r="A64" s="28">
        <v>2025</v>
      </c>
      <c r="B64" s="27">
        <v>46007</v>
      </c>
      <c r="C64" s="17" t="s">
        <v>392</v>
      </c>
      <c r="D64" s="22"/>
      <c r="E64" s="17">
        <v>21500</v>
      </c>
      <c r="F64" s="17" t="s">
        <v>98</v>
      </c>
      <c r="G64" s="17" t="s">
        <v>98</v>
      </c>
      <c r="H64" s="17" t="s">
        <v>98</v>
      </c>
      <c r="I64" s="17" t="s">
        <v>425</v>
      </c>
      <c r="K64" s="62"/>
      <c r="L64" s="46">
        <v>5</v>
      </c>
      <c r="M64" s="57">
        <v>44848</v>
      </c>
      <c r="N64" s="61">
        <v>2</v>
      </c>
    </row>
    <row r="65" customHeight="1" spans="1:14">
      <c r="A65" s="28">
        <v>2025</v>
      </c>
      <c r="B65" s="27">
        <v>46009</v>
      </c>
      <c r="C65" s="17" t="s">
        <v>392</v>
      </c>
      <c r="D65" s="22"/>
      <c r="E65" s="17">
        <v>3100</v>
      </c>
      <c r="F65" s="17" t="s">
        <v>98</v>
      </c>
      <c r="G65" s="17" t="s">
        <v>98</v>
      </c>
      <c r="H65" s="17" t="s">
        <v>98</v>
      </c>
      <c r="I65" s="17" t="s">
        <v>98</v>
      </c>
      <c r="K65" s="62"/>
      <c r="L65" s="46">
        <v>6</v>
      </c>
      <c r="M65" s="57">
        <v>44855</v>
      </c>
      <c r="N65" s="61">
        <v>2</v>
      </c>
    </row>
    <row r="66" customHeight="1" spans="1:14">
      <c r="A66" s="28">
        <v>2025</v>
      </c>
      <c r="B66" s="27">
        <v>46009</v>
      </c>
      <c r="C66" s="17" t="s">
        <v>392</v>
      </c>
      <c r="D66" s="24"/>
      <c r="E66" s="17">
        <v>400</v>
      </c>
      <c r="F66" s="17" t="s">
        <v>98</v>
      </c>
      <c r="G66" s="17" t="s">
        <v>98</v>
      </c>
      <c r="H66" s="17" t="s">
        <v>98</v>
      </c>
      <c r="I66" s="17" t="s">
        <v>98</v>
      </c>
      <c r="K66" s="64"/>
      <c r="L66" s="46">
        <v>7</v>
      </c>
      <c r="M66" s="57">
        <v>44869</v>
      </c>
      <c r="N66" s="61">
        <v>1</v>
      </c>
    </row>
    <row r="67" customHeight="1" spans="1:14">
      <c r="A67" s="28">
        <v>2026</v>
      </c>
      <c r="B67" s="27">
        <v>46035</v>
      </c>
      <c r="C67" s="17" t="s">
        <v>392</v>
      </c>
      <c r="D67" s="63"/>
      <c r="E67" s="17">
        <v>17000</v>
      </c>
      <c r="F67" s="17" t="s">
        <v>98</v>
      </c>
      <c r="G67" s="17" t="s">
        <v>98</v>
      </c>
      <c r="H67" s="17" t="s">
        <v>98</v>
      </c>
      <c r="I67" s="56" t="s">
        <v>426</v>
      </c>
      <c r="K67" s="65"/>
      <c r="L67" s="66" t="s">
        <v>360</v>
      </c>
      <c r="M67" s="67"/>
      <c r="N67" s="68">
        <v>13.71</v>
      </c>
    </row>
    <row r="68" customHeight="1" spans="1:18">
      <c r="A68" s="28">
        <v>2026</v>
      </c>
      <c r="B68" s="27">
        <v>46037</v>
      </c>
      <c r="C68" s="17" t="s">
        <v>392</v>
      </c>
      <c r="D68" s="63"/>
      <c r="E68" s="17">
        <v>800</v>
      </c>
      <c r="F68" s="17" t="s">
        <v>98</v>
      </c>
      <c r="G68" s="17" t="s">
        <v>98</v>
      </c>
      <c r="H68" s="17" t="s">
        <v>98</v>
      </c>
      <c r="I68" s="17" t="s">
        <v>98</v>
      </c>
      <c r="K68" s="69" t="s">
        <v>121</v>
      </c>
      <c r="L68" s="69" t="s">
        <v>427</v>
      </c>
      <c r="M68" s="69" t="s">
        <v>246</v>
      </c>
      <c r="N68" s="69" t="s">
        <v>346</v>
      </c>
      <c r="O68" s="69" t="s">
        <v>347</v>
      </c>
      <c r="P68" s="69" t="s">
        <v>348</v>
      </c>
      <c r="Q68" s="69" t="s">
        <v>349</v>
      </c>
      <c r="R68" s="69" t="s">
        <v>350</v>
      </c>
    </row>
    <row r="69" customHeight="1" spans="1:18">
      <c r="A69" s="28">
        <v>2026</v>
      </c>
      <c r="B69" s="27">
        <v>46085</v>
      </c>
      <c r="C69" s="17" t="s">
        <v>416</v>
      </c>
      <c r="D69" s="63"/>
      <c r="E69" s="17">
        <v>10000</v>
      </c>
      <c r="F69" s="17" t="s">
        <v>98</v>
      </c>
      <c r="G69" s="17" t="s">
        <v>98</v>
      </c>
      <c r="H69" s="17" t="s">
        <v>98</v>
      </c>
      <c r="I69" s="70" t="s">
        <v>428</v>
      </c>
      <c r="K69" s="46">
        <v>2023</v>
      </c>
      <c r="L69" s="46" t="s">
        <v>392</v>
      </c>
      <c r="M69" s="47">
        <v>45114</v>
      </c>
      <c r="N69" s="46">
        <v>2.875</v>
      </c>
      <c r="O69" s="46">
        <v>2.875</v>
      </c>
      <c r="P69" s="46">
        <v>14500</v>
      </c>
      <c r="Q69" s="46">
        <v>11600</v>
      </c>
      <c r="R69" s="46">
        <v>13050</v>
      </c>
    </row>
    <row r="70" customHeight="1" spans="1:18">
      <c r="A70" s="28">
        <v>2026</v>
      </c>
      <c r="B70" s="27">
        <v>46115</v>
      </c>
      <c r="C70" s="17" t="s">
        <v>416</v>
      </c>
      <c r="D70" s="63"/>
      <c r="E70" s="17">
        <v>10000</v>
      </c>
      <c r="F70" s="17" t="s">
        <v>98</v>
      </c>
      <c r="G70" s="17" t="s">
        <v>98</v>
      </c>
      <c r="H70" s="17" t="s">
        <v>98</v>
      </c>
      <c r="I70" s="71" t="s">
        <v>429</v>
      </c>
      <c r="K70" s="46">
        <v>2023</v>
      </c>
      <c r="L70" s="46" t="s">
        <v>392</v>
      </c>
      <c r="M70" s="47">
        <v>45119</v>
      </c>
      <c r="N70" s="46">
        <v>0.23</v>
      </c>
      <c r="O70" s="46">
        <v>0.23</v>
      </c>
      <c r="P70" s="46">
        <v>13670</v>
      </c>
      <c r="Q70" s="46">
        <v>11820</v>
      </c>
      <c r="R70" s="46">
        <v>12745</v>
      </c>
    </row>
    <row r="71" customHeight="1" spans="1:18">
      <c r="A71" s="28">
        <v>2026</v>
      </c>
      <c r="B71" s="27">
        <v>46156</v>
      </c>
      <c r="C71" s="17" t="s">
        <v>392</v>
      </c>
      <c r="D71" s="63"/>
      <c r="E71" s="17">
        <v>20000</v>
      </c>
      <c r="F71" s="17">
        <v>20000</v>
      </c>
      <c r="G71" s="17">
        <v>16200</v>
      </c>
      <c r="H71" s="17">
        <v>14950</v>
      </c>
      <c r="I71" s="17" t="s">
        <v>98</v>
      </c>
      <c r="K71" s="46">
        <v>2023</v>
      </c>
      <c r="L71" s="46" t="s">
        <v>392</v>
      </c>
      <c r="M71" s="47">
        <v>45285</v>
      </c>
      <c r="N71" s="46">
        <v>2.3</v>
      </c>
      <c r="O71" s="46">
        <v>2.3</v>
      </c>
      <c r="P71" s="46">
        <v>15690</v>
      </c>
      <c r="Q71" s="46">
        <v>14650</v>
      </c>
      <c r="R71" s="46">
        <v>15170</v>
      </c>
    </row>
    <row r="72" customHeight="1" spans="1:14">
      <c r="A72" s="28">
        <v>2026</v>
      </c>
      <c r="B72" s="27">
        <v>46169</v>
      </c>
      <c r="C72" s="17" t="s">
        <v>392</v>
      </c>
      <c r="D72" s="63"/>
      <c r="E72" s="17">
        <v>30000</v>
      </c>
      <c r="F72" s="17" t="s">
        <v>98</v>
      </c>
      <c r="G72" s="17" t="s">
        <v>98</v>
      </c>
      <c r="H72" s="17" t="s">
        <v>98</v>
      </c>
      <c r="I72" s="56" t="s">
        <v>430</v>
      </c>
      <c r="K72" s="65"/>
      <c r="L72" s="66" t="s">
        <v>360</v>
      </c>
      <c r="M72" s="67"/>
      <c r="N72" s="72">
        <v>5.405</v>
      </c>
    </row>
    <row r="73" customHeight="1" spans="1:18">
      <c r="A73" s="28">
        <v>2026</v>
      </c>
      <c r="B73" s="27">
        <v>46197</v>
      </c>
      <c r="C73" s="17" t="s">
        <v>392</v>
      </c>
      <c r="D73" s="63"/>
      <c r="E73" s="17">
        <v>19100</v>
      </c>
      <c r="F73" s="17">
        <v>19100</v>
      </c>
      <c r="G73" s="17">
        <v>14980</v>
      </c>
      <c r="H73" s="17">
        <v>14290</v>
      </c>
      <c r="I73" s="56" t="s">
        <v>431</v>
      </c>
      <c r="K73" s="69" t="s">
        <v>121</v>
      </c>
      <c r="L73" s="69" t="s">
        <v>427</v>
      </c>
      <c r="M73" s="69" t="s">
        <v>246</v>
      </c>
      <c r="N73" s="69" t="s">
        <v>346</v>
      </c>
      <c r="O73" s="69" t="s">
        <v>347</v>
      </c>
      <c r="P73" s="69" t="s">
        <v>348</v>
      </c>
      <c r="Q73" s="69" t="s">
        <v>349</v>
      </c>
      <c r="R73" s="69" t="s">
        <v>350</v>
      </c>
    </row>
    <row r="74" customHeight="1" spans="1:18">
      <c r="A74" s="28">
        <v>2026</v>
      </c>
      <c r="B74" s="27">
        <v>46206</v>
      </c>
      <c r="C74" s="17" t="s">
        <v>392</v>
      </c>
      <c r="D74" s="63"/>
      <c r="E74" s="17">
        <v>5700</v>
      </c>
      <c r="F74" s="17">
        <v>5700</v>
      </c>
      <c r="G74" s="17" t="s">
        <v>98</v>
      </c>
      <c r="H74" s="17" t="s">
        <v>98</v>
      </c>
      <c r="I74" s="56" t="s">
        <v>432</v>
      </c>
      <c r="K74" s="46">
        <v>2024</v>
      </c>
      <c r="L74" s="46" t="s">
        <v>392</v>
      </c>
      <c r="M74" s="47">
        <v>45293</v>
      </c>
      <c r="N74" s="46">
        <v>3</v>
      </c>
      <c r="O74" s="46">
        <v>3</v>
      </c>
      <c r="P74" s="46" t="s">
        <v>98</v>
      </c>
      <c r="Q74" s="46" t="s">
        <v>98</v>
      </c>
      <c r="R74" s="46">
        <v>13000</v>
      </c>
    </row>
    <row r="75" customHeight="1" spans="1:18">
      <c r="A75" s="28">
        <v>2026</v>
      </c>
      <c r="B75" s="27">
        <v>46225</v>
      </c>
      <c r="C75" s="17" t="s">
        <v>392</v>
      </c>
      <c r="D75" s="63"/>
      <c r="E75" s="17">
        <v>21200</v>
      </c>
      <c r="F75" s="17">
        <v>21200</v>
      </c>
      <c r="G75" s="17" t="s">
        <v>98</v>
      </c>
      <c r="H75" s="17" t="s">
        <v>98</v>
      </c>
      <c r="I75" s="56" t="s">
        <v>433</v>
      </c>
      <c r="K75" s="46">
        <v>2024</v>
      </c>
      <c r="L75" s="46" t="s">
        <v>392</v>
      </c>
      <c r="M75" s="47">
        <v>45295</v>
      </c>
      <c r="N75" s="46">
        <v>0.33</v>
      </c>
      <c r="O75" s="46" t="s">
        <v>434</v>
      </c>
      <c r="P75" s="46" t="s">
        <v>98</v>
      </c>
      <c r="Q75" s="46" t="s">
        <v>98</v>
      </c>
      <c r="R75" s="46" t="s">
        <v>98</v>
      </c>
    </row>
    <row r="76" customHeight="1" spans="1:18">
      <c r="A76" s="28">
        <v>2026</v>
      </c>
      <c r="B76" s="27">
        <v>46254</v>
      </c>
      <c r="C76" s="17" t="s">
        <v>392</v>
      </c>
      <c r="D76" s="63"/>
      <c r="E76" s="17">
        <v>13200</v>
      </c>
      <c r="F76" s="17" t="s">
        <v>98</v>
      </c>
      <c r="G76" s="17" t="s">
        <v>98</v>
      </c>
      <c r="H76" s="17" t="s">
        <v>98</v>
      </c>
      <c r="I76" s="17" t="s">
        <v>98</v>
      </c>
      <c r="K76" s="46">
        <v>2024</v>
      </c>
      <c r="L76" s="46" t="s">
        <v>392</v>
      </c>
      <c r="M76" s="47">
        <v>45301</v>
      </c>
      <c r="N76" s="46">
        <v>3</v>
      </c>
      <c r="O76" s="46">
        <v>1.66</v>
      </c>
      <c r="P76" s="46">
        <v>15100</v>
      </c>
      <c r="Q76" s="46">
        <v>14400</v>
      </c>
      <c r="R76" s="46">
        <v>14750</v>
      </c>
    </row>
    <row r="77" customHeight="1" spans="1:18">
      <c r="A77" s="28">
        <v>2026</v>
      </c>
      <c r="B77" s="27">
        <v>46255</v>
      </c>
      <c r="C77" s="17" t="s">
        <v>392</v>
      </c>
      <c r="D77" s="63"/>
      <c r="E77" s="17">
        <v>8500</v>
      </c>
      <c r="F77" s="17" t="s">
        <v>98</v>
      </c>
      <c r="G77" s="17" t="s">
        <v>98</v>
      </c>
      <c r="H77" s="17" t="s">
        <v>98</v>
      </c>
      <c r="I77" s="17" t="s">
        <v>435</v>
      </c>
      <c r="K77" s="46">
        <v>2024</v>
      </c>
      <c r="L77" s="46" t="s">
        <v>392</v>
      </c>
      <c r="M77" s="47">
        <v>45303</v>
      </c>
      <c r="N77" s="46">
        <v>0.7</v>
      </c>
      <c r="O77" s="46" t="s">
        <v>98</v>
      </c>
      <c r="P77" s="46" t="s">
        <v>98</v>
      </c>
      <c r="Q77" s="46" t="s">
        <v>98</v>
      </c>
      <c r="R77" s="46" t="s">
        <v>98</v>
      </c>
    </row>
    <row r="78" customHeight="1" spans="1:18">
      <c r="A78" s="28">
        <v>2026</v>
      </c>
      <c r="B78" s="27">
        <v>46282</v>
      </c>
      <c r="C78" s="17" t="s">
        <v>392</v>
      </c>
      <c r="D78" s="63"/>
      <c r="E78" s="17">
        <v>15500</v>
      </c>
      <c r="F78" s="17">
        <v>15500</v>
      </c>
      <c r="G78" s="17" t="s">
        <v>98</v>
      </c>
      <c r="H78" s="17" t="s">
        <v>98</v>
      </c>
      <c r="I78" s="17" t="s">
        <v>436</v>
      </c>
      <c r="K78" s="46">
        <v>2024</v>
      </c>
      <c r="L78" s="46" t="s">
        <v>392</v>
      </c>
      <c r="M78" s="47">
        <v>45307</v>
      </c>
      <c r="N78" s="46">
        <v>3</v>
      </c>
      <c r="O78" s="46" t="s">
        <v>98</v>
      </c>
      <c r="P78" s="46" t="s">
        <v>98</v>
      </c>
      <c r="Q78" s="46" t="s">
        <v>98</v>
      </c>
      <c r="R78" s="46" t="s">
        <v>98</v>
      </c>
    </row>
    <row r="79" customHeight="1" spans="1:18">
      <c r="A79" s="28">
        <v>2026</v>
      </c>
      <c r="B79" s="27">
        <v>46283</v>
      </c>
      <c r="C79" s="17" t="s">
        <v>392</v>
      </c>
      <c r="D79" s="63"/>
      <c r="E79" s="17">
        <v>12900</v>
      </c>
      <c r="F79" s="17">
        <v>12900</v>
      </c>
      <c r="G79" s="17" t="s">
        <v>98</v>
      </c>
      <c r="H79" s="17" t="s">
        <v>98</v>
      </c>
      <c r="I79" s="17" t="s">
        <v>437</v>
      </c>
      <c r="K79" s="46">
        <v>2024</v>
      </c>
      <c r="L79" s="46" t="s">
        <v>392</v>
      </c>
      <c r="M79" s="47">
        <v>45314</v>
      </c>
      <c r="N79" s="46">
        <v>3</v>
      </c>
      <c r="O79" s="46" t="s">
        <v>98</v>
      </c>
      <c r="P79" s="46" t="s">
        <v>98</v>
      </c>
      <c r="Q79" s="46" t="s">
        <v>98</v>
      </c>
      <c r="R79" s="46" t="s">
        <v>98</v>
      </c>
    </row>
    <row r="80" customHeight="1" spans="11:18">
      <c r="K80" s="46">
        <v>2024</v>
      </c>
      <c r="L80" s="46" t="s">
        <v>392</v>
      </c>
      <c r="M80" s="47">
        <v>45317</v>
      </c>
      <c r="N80" s="46">
        <v>2</v>
      </c>
      <c r="O80" s="46" t="s">
        <v>98</v>
      </c>
      <c r="P80" s="46" t="s">
        <v>98</v>
      </c>
      <c r="Q80" s="46" t="s">
        <v>98</v>
      </c>
      <c r="R80" s="46" t="s">
        <v>98</v>
      </c>
    </row>
    <row r="81" customHeight="1" spans="11:18">
      <c r="K81" s="46">
        <v>2024</v>
      </c>
      <c r="L81" s="46" t="s">
        <v>392</v>
      </c>
      <c r="M81" s="47">
        <v>45317</v>
      </c>
      <c r="N81" s="46">
        <v>2</v>
      </c>
      <c r="O81" s="46" t="s">
        <v>98</v>
      </c>
      <c r="P81" s="46" t="s">
        <v>98</v>
      </c>
      <c r="Q81" s="46" t="s">
        <v>98</v>
      </c>
      <c r="R81" s="46" t="s">
        <v>98</v>
      </c>
    </row>
    <row r="82" customHeight="1" spans="11:18">
      <c r="K82" s="46">
        <v>2024</v>
      </c>
      <c r="L82" s="46" t="s">
        <v>392</v>
      </c>
      <c r="M82" s="47">
        <v>45321</v>
      </c>
      <c r="N82" s="46">
        <v>2.8</v>
      </c>
      <c r="O82" s="46" t="s">
        <v>98</v>
      </c>
      <c r="P82" s="46" t="s">
        <v>98</v>
      </c>
      <c r="Q82" s="46" t="s">
        <v>98</v>
      </c>
      <c r="R82" s="46" t="s">
        <v>98</v>
      </c>
    </row>
    <row r="83" customHeight="1" spans="11:18">
      <c r="K83" s="46">
        <v>2024</v>
      </c>
      <c r="L83" s="46" t="s">
        <v>392</v>
      </c>
      <c r="M83" s="47">
        <v>45345</v>
      </c>
      <c r="N83" s="46">
        <v>1.4</v>
      </c>
      <c r="O83" s="46" t="s">
        <v>98</v>
      </c>
      <c r="P83" s="46" t="s">
        <v>98</v>
      </c>
      <c r="Q83" s="46" t="s">
        <v>98</v>
      </c>
      <c r="R83" s="46" t="s">
        <v>98</v>
      </c>
    </row>
    <row r="84" customHeight="1" spans="11:18">
      <c r="K84" s="46">
        <v>2024</v>
      </c>
      <c r="L84" s="46" t="s">
        <v>392</v>
      </c>
      <c r="M84" s="47" t="s">
        <v>401</v>
      </c>
      <c r="N84" s="46">
        <v>0.91</v>
      </c>
      <c r="O84" s="46" t="s">
        <v>98</v>
      </c>
      <c r="P84" s="46" t="s">
        <v>98</v>
      </c>
      <c r="Q84" s="46" t="s">
        <v>98</v>
      </c>
      <c r="R84" s="46" t="s">
        <v>98</v>
      </c>
    </row>
    <row r="85" customHeight="1" spans="11:18">
      <c r="K85" s="46">
        <v>2024</v>
      </c>
      <c r="L85" s="46" t="s">
        <v>392</v>
      </c>
      <c r="M85" s="47">
        <v>45421</v>
      </c>
      <c r="N85" s="46">
        <v>3</v>
      </c>
      <c r="O85" s="46" t="s">
        <v>98</v>
      </c>
      <c r="P85" s="46" t="s">
        <v>98</v>
      </c>
      <c r="Q85" s="46" t="s">
        <v>98</v>
      </c>
      <c r="R85" s="46" t="s">
        <v>98</v>
      </c>
    </row>
    <row r="86" customHeight="1" spans="11:18">
      <c r="K86" s="46">
        <v>2024</v>
      </c>
      <c r="L86" s="46" t="s">
        <v>392</v>
      </c>
      <c r="M86" s="47">
        <v>45429</v>
      </c>
      <c r="N86" s="46">
        <v>3</v>
      </c>
      <c r="O86" s="46" t="s">
        <v>98</v>
      </c>
      <c r="P86" s="46" t="s">
        <v>98</v>
      </c>
      <c r="Q86" s="46" t="s">
        <v>98</v>
      </c>
      <c r="R86" s="46" t="s">
        <v>98</v>
      </c>
    </row>
    <row r="87" customHeight="1" spans="11:18">
      <c r="K87" s="46">
        <v>2024</v>
      </c>
      <c r="L87" s="46" t="s">
        <v>392</v>
      </c>
      <c r="M87" s="47">
        <v>45458</v>
      </c>
      <c r="N87" s="46">
        <v>0.7754</v>
      </c>
      <c r="O87" s="46" t="s">
        <v>98</v>
      </c>
      <c r="P87" s="46" t="s">
        <v>98</v>
      </c>
      <c r="Q87" s="46" t="s">
        <v>98</v>
      </c>
      <c r="R87" s="46" t="s">
        <v>98</v>
      </c>
    </row>
    <row r="88" customHeight="1" spans="11:18">
      <c r="K88" s="46">
        <v>2024</v>
      </c>
      <c r="L88" s="46" t="s">
        <v>392</v>
      </c>
      <c r="M88" s="47">
        <v>45534</v>
      </c>
      <c r="N88" s="46">
        <v>2.7</v>
      </c>
      <c r="O88" s="46" t="s">
        <v>98</v>
      </c>
      <c r="P88" s="46" t="s">
        <v>98</v>
      </c>
      <c r="Q88" s="46" t="s">
        <v>98</v>
      </c>
      <c r="R88" s="46" t="s">
        <v>98</v>
      </c>
    </row>
    <row r="89" customHeight="1" spans="11:18">
      <c r="K89" s="46">
        <v>2024</v>
      </c>
      <c r="L89" s="46" t="s">
        <v>392</v>
      </c>
      <c r="M89" s="47">
        <v>45540</v>
      </c>
      <c r="N89" s="46">
        <v>1.58</v>
      </c>
      <c r="O89" s="46" t="s">
        <v>98</v>
      </c>
      <c r="P89" s="46" t="s">
        <v>98</v>
      </c>
      <c r="Q89" s="46" t="s">
        <v>98</v>
      </c>
      <c r="R89" s="46" t="s">
        <v>98</v>
      </c>
    </row>
    <row r="90" customHeight="1" spans="11:18">
      <c r="K90" s="46">
        <v>2024</v>
      </c>
      <c r="L90" s="46" t="s">
        <v>392</v>
      </c>
      <c r="M90" s="47">
        <v>45548</v>
      </c>
      <c r="N90" s="46">
        <v>1.63</v>
      </c>
      <c r="O90" s="46" t="s">
        <v>98</v>
      </c>
      <c r="P90" s="46" t="s">
        <v>98</v>
      </c>
      <c r="Q90" s="46" t="s">
        <v>98</v>
      </c>
      <c r="R90" s="46" t="s">
        <v>98</v>
      </c>
    </row>
    <row r="91" customHeight="1" spans="11:18">
      <c r="K91" s="46">
        <v>2024</v>
      </c>
      <c r="L91" s="46" t="s">
        <v>392</v>
      </c>
      <c r="M91" s="47">
        <v>45559</v>
      </c>
      <c r="N91" s="46">
        <v>2.775566</v>
      </c>
      <c r="O91" s="46" t="s">
        <v>98</v>
      </c>
      <c r="P91" s="46" t="s">
        <v>98</v>
      </c>
      <c r="Q91" s="46" t="s">
        <v>98</v>
      </c>
      <c r="R91" s="46" t="s">
        <v>98</v>
      </c>
    </row>
    <row r="92" customHeight="1" spans="11:14">
      <c r="K92" s="46">
        <v>2024</v>
      </c>
      <c r="L92" s="46" t="s">
        <v>392</v>
      </c>
      <c r="M92" s="47">
        <v>45580</v>
      </c>
      <c r="N92" s="46">
        <v>1.96</v>
      </c>
    </row>
    <row r="93" customHeight="1" spans="11:18">
      <c r="K93" s="69" t="s">
        <v>121</v>
      </c>
      <c r="L93" s="69" t="s">
        <v>427</v>
      </c>
      <c r="M93" s="69" t="s">
        <v>246</v>
      </c>
      <c r="N93" s="69" t="s">
        <v>346</v>
      </c>
      <c r="O93" s="69" t="s">
        <v>347</v>
      </c>
      <c r="P93" s="69" t="s">
        <v>348</v>
      </c>
      <c r="Q93" s="69" t="s">
        <v>349</v>
      </c>
      <c r="R93" s="69" t="s">
        <v>350</v>
      </c>
    </row>
    <row r="94" customHeight="1" spans="11:18">
      <c r="K94" s="46">
        <v>2025</v>
      </c>
      <c r="L94" s="46" t="s">
        <v>392</v>
      </c>
      <c r="M94" s="47">
        <v>45682</v>
      </c>
      <c r="N94" s="46">
        <v>3</v>
      </c>
      <c r="O94" s="46" t="s">
        <v>98</v>
      </c>
      <c r="P94" s="46" t="s">
        <v>98</v>
      </c>
      <c r="Q94" s="46" t="s">
        <v>98</v>
      </c>
      <c r="R94" s="46" t="s">
        <v>98</v>
      </c>
    </row>
    <row r="95" customHeight="1" spans="11:18">
      <c r="K95" s="46">
        <v>2025</v>
      </c>
      <c r="L95" s="46" t="s">
        <v>392</v>
      </c>
      <c r="M95" s="47">
        <v>45684</v>
      </c>
      <c r="N95" s="46">
        <v>2</v>
      </c>
      <c r="O95" s="46" t="s">
        <v>98</v>
      </c>
      <c r="P95" s="46" t="s">
        <v>98</v>
      </c>
      <c r="Q95" s="46" t="s">
        <v>98</v>
      </c>
      <c r="R95" s="46" t="s">
        <v>98</v>
      </c>
    </row>
    <row r="96" customHeight="1" spans="11:18">
      <c r="K96" s="46">
        <v>2025</v>
      </c>
      <c r="L96" s="46" t="s">
        <v>392</v>
      </c>
      <c r="M96" s="47">
        <v>45720</v>
      </c>
      <c r="N96" s="46">
        <v>2.7</v>
      </c>
      <c r="O96" s="46" t="s">
        <v>98</v>
      </c>
      <c r="P96" s="46" t="s">
        <v>98</v>
      </c>
      <c r="Q96" s="46" t="s">
        <v>98</v>
      </c>
      <c r="R96" s="46" t="s">
        <v>98</v>
      </c>
    </row>
    <row r="97" customHeight="1" spans="11:18">
      <c r="K97" s="46">
        <v>2025</v>
      </c>
      <c r="L97" s="46" t="s">
        <v>392</v>
      </c>
      <c r="M97" s="47">
        <v>45761</v>
      </c>
      <c r="N97" s="46">
        <v>2</v>
      </c>
      <c r="O97" s="46" t="s">
        <v>98</v>
      </c>
      <c r="P97" s="46" t="s">
        <v>98</v>
      </c>
      <c r="Q97" s="46" t="s">
        <v>98</v>
      </c>
      <c r="R97" s="46" t="s">
        <v>98</v>
      </c>
    </row>
    <row r="98" customHeight="1" spans="11:18">
      <c r="K98" s="46">
        <v>2025</v>
      </c>
      <c r="L98" s="46" t="s">
        <v>392</v>
      </c>
      <c r="M98" s="47">
        <v>45796</v>
      </c>
      <c r="N98" s="46">
        <v>1.95</v>
      </c>
      <c r="O98" s="46" t="s">
        <v>98</v>
      </c>
      <c r="P98" s="46" t="s">
        <v>98</v>
      </c>
      <c r="Q98" s="46" t="s">
        <v>98</v>
      </c>
      <c r="R98" s="46" t="s">
        <v>98</v>
      </c>
    </row>
    <row r="99" customHeight="1" spans="11:18">
      <c r="K99" s="46">
        <v>2025</v>
      </c>
      <c r="L99" s="46" t="s">
        <v>392</v>
      </c>
      <c r="M99" s="47">
        <v>45895</v>
      </c>
      <c r="N99" s="46">
        <v>1.54</v>
      </c>
      <c r="O99" s="46">
        <v>1.54</v>
      </c>
      <c r="P99" s="46">
        <v>17490</v>
      </c>
      <c r="Q99" s="46">
        <v>14090</v>
      </c>
      <c r="R99" s="46" t="s">
        <v>438</v>
      </c>
    </row>
    <row r="100" customHeight="1" spans="11:18">
      <c r="K100" s="46">
        <v>2025</v>
      </c>
      <c r="L100" s="46" t="s">
        <v>392</v>
      </c>
      <c r="M100" s="47">
        <v>45896</v>
      </c>
      <c r="N100" s="46">
        <v>0.36</v>
      </c>
      <c r="O100" s="46" t="s">
        <v>98</v>
      </c>
      <c r="P100" s="46" t="s">
        <v>98</v>
      </c>
      <c r="Q100" s="46" t="s">
        <v>98</v>
      </c>
      <c r="R100" s="46" t="s">
        <v>98</v>
      </c>
    </row>
    <row r="101" customHeight="1" spans="11:18">
      <c r="K101" s="46">
        <v>2025</v>
      </c>
      <c r="L101" s="46" t="s">
        <v>392</v>
      </c>
      <c r="M101" s="47">
        <v>45918</v>
      </c>
      <c r="N101" s="46">
        <v>1.5</v>
      </c>
      <c r="O101" s="46" t="s">
        <v>98</v>
      </c>
      <c r="P101" s="46" t="s">
        <v>98</v>
      </c>
      <c r="Q101" s="46" t="s">
        <v>98</v>
      </c>
      <c r="R101" s="46" t="s">
        <v>98</v>
      </c>
    </row>
    <row r="102" customHeight="1" spans="11:18">
      <c r="K102" s="46">
        <v>2025</v>
      </c>
      <c r="L102" s="46" t="s">
        <v>392</v>
      </c>
      <c r="M102" s="47">
        <v>45928</v>
      </c>
      <c r="N102" s="46">
        <v>1.5</v>
      </c>
      <c r="O102" s="46" t="s">
        <v>98</v>
      </c>
      <c r="P102" s="46" t="s">
        <v>98</v>
      </c>
      <c r="Q102" s="46" t="s">
        <v>98</v>
      </c>
      <c r="R102" s="46" t="s">
        <v>98</v>
      </c>
    </row>
    <row r="103" customHeight="1" spans="11:18">
      <c r="K103" s="46">
        <v>2025</v>
      </c>
      <c r="L103" s="46" t="s">
        <v>392</v>
      </c>
      <c r="M103" s="47">
        <v>45985</v>
      </c>
      <c r="N103" s="46">
        <v>0.25</v>
      </c>
      <c r="O103" s="46" t="s">
        <v>98</v>
      </c>
      <c r="P103" s="46" t="s">
        <v>98</v>
      </c>
      <c r="Q103" s="46" t="s">
        <v>98</v>
      </c>
      <c r="R103" s="73" t="s">
        <v>439</v>
      </c>
    </row>
    <row r="104" customHeight="1" spans="11:18">
      <c r="K104" s="46">
        <v>2025</v>
      </c>
      <c r="L104" s="46" t="s">
        <v>392</v>
      </c>
      <c r="M104" s="47">
        <v>45987</v>
      </c>
      <c r="N104" s="46">
        <v>0.65</v>
      </c>
      <c r="O104" s="46" t="s">
        <v>98</v>
      </c>
      <c r="P104" s="46" t="s">
        <v>98</v>
      </c>
      <c r="Q104" s="46" t="s">
        <v>98</v>
      </c>
      <c r="R104" s="46" t="s">
        <v>98</v>
      </c>
    </row>
    <row r="105" customHeight="1" spans="11:18">
      <c r="K105" s="46">
        <v>2025</v>
      </c>
      <c r="L105" s="46" t="s">
        <v>392</v>
      </c>
      <c r="M105" s="47">
        <v>46006</v>
      </c>
      <c r="N105" s="46">
        <v>2.05</v>
      </c>
      <c r="O105" s="46" t="s">
        <v>98</v>
      </c>
      <c r="P105" s="46" t="s">
        <v>98</v>
      </c>
      <c r="Q105" s="46" t="s">
        <v>98</v>
      </c>
      <c r="R105" s="46" t="s">
        <v>440</v>
      </c>
    </row>
    <row r="106" customHeight="1" spans="11:18">
      <c r="K106" s="46">
        <v>2025</v>
      </c>
      <c r="L106" s="46" t="s">
        <v>392</v>
      </c>
      <c r="M106" s="47">
        <v>46008</v>
      </c>
      <c r="N106" s="46">
        <v>0.45</v>
      </c>
      <c r="O106" s="46" t="s">
        <v>98</v>
      </c>
      <c r="P106" s="46" t="s">
        <v>98</v>
      </c>
      <c r="Q106" s="46" t="s">
        <v>98</v>
      </c>
      <c r="R106" s="46" t="s">
        <v>98</v>
      </c>
    </row>
    <row r="107" customHeight="1" spans="11:18">
      <c r="K107" s="69" t="s">
        <v>121</v>
      </c>
      <c r="L107" s="69" t="s">
        <v>427</v>
      </c>
      <c r="M107" s="69" t="s">
        <v>246</v>
      </c>
      <c r="N107" s="69" t="s">
        <v>346</v>
      </c>
      <c r="O107" s="69" t="s">
        <v>347</v>
      </c>
      <c r="P107" s="69" t="s">
        <v>348</v>
      </c>
      <c r="Q107" s="69" t="s">
        <v>349</v>
      </c>
      <c r="R107" s="69" t="s">
        <v>350</v>
      </c>
    </row>
    <row r="108" customHeight="1" spans="11:18">
      <c r="K108" s="46">
        <v>2026</v>
      </c>
      <c r="L108" s="46" t="s">
        <v>392</v>
      </c>
      <c r="M108" s="47">
        <v>46034</v>
      </c>
      <c r="N108" s="46">
        <v>17000</v>
      </c>
      <c r="O108" s="46" t="s">
        <v>98</v>
      </c>
      <c r="P108" s="46" t="s">
        <v>98</v>
      </c>
      <c r="Q108" s="46" t="s">
        <v>98</v>
      </c>
      <c r="R108" s="73" t="s">
        <v>441</v>
      </c>
    </row>
    <row r="109" customHeight="1" spans="11:18">
      <c r="K109" s="46">
        <v>2026</v>
      </c>
      <c r="L109" s="46" t="s">
        <v>392</v>
      </c>
      <c r="M109" s="47">
        <v>46036</v>
      </c>
      <c r="N109" s="46">
        <v>800</v>
      </c>
      <c r="O109" s="46" t="s">
        <v>98</v>
      </c>
      <c r="P109" s="46" t="s">
        <v>98</v>
      </c>
      <c r="Q109" s="46" t="s">
        <v>98</v>
      </c>
      <c r="R109" s="46" t="s">
        <v>98</v>
      </c>
    </row>
    <row r="110" customHeight="1" spans="11:18">
      <c r="K110" s="46">
        <v>2026</v>
      </c>
      <c r="L110" s="46" t="s">
        <v>392</v>
      </c>
      <c r="M110" s="47">
        <v>46155</v>
      </c>
      <c r="N110" s="46">
        <v>20000</v>
      </c>
      <c r="O110" s="46" t="s">
        <v>98</v>
      </c>
      <c r="P110" s="46" t="s">
        <v>98</v>
      </c>
      <c r="Q110" s="46" t="s">
        <v>98</v>
      </c>
      <c r="R110" s="46" t="s">
        <v>98</v>
      </c>
    </row>
    <row r="111" customHeight="1" spans="11:18">
      <c r="K111" s="46">
        <v>2026</v>
      </c>
      <c r="L111" s="46" t="s">
        <v>392</v>
      </c>
      <c r="M111" s="47">
        <v>46168</v>
      </c>
      <c r="N111" s="46">
        <v>30000</v>
      </c>
      <c r="O111" s="46" t="s">
        <v>98</v>
      </c>
      <c r="P111" s="46">
        <v>11500</v>
      </c>
      <c r="Q111" s="46">
        <v>9000</v>
      </c>
      <c r="R111" s="46" t="s">
        <v>442</v>
      </c>
    </row>
    <row r="112" customHeight="1" spans="11:18">
      <c r="K112" s="46">
        <v>2026</v>
      </c>
      <c r="L112" s="46" t="s">
        <v>392</v>
      </c>
      <c r="M112" s="47">
        <v>46196</v>
      </c>
      <c r="N112" s="46">
        <v>19100</v>
      </c>
      <c r="O112" s="46" t="s">
        <v>98</v>
      </c>
      <c r="P112" s="46" t="s">
        <v>98</v>
      </c>
      <c r="Q112" s="46" t="s">
        <v>98</v>
      </c>
      <c r="R112" s="73" t="s">
        <v>443</v>
      </c>
    </row>
    <row r="113" customHeight="1" spans="11:18">
      <c r="K113" s="46">
        <v>2026</v>
      </c>
      <c r="L113" s="46" t="s">
        <v>392</v>
      </c>
      <c r="M113" s="47">
        <v>46205</v>
      </c>
      <c r="N113" s="46">
        <v>5700</v>
      </c>
      <c r="O113" s="46" t="s">
        <v>98</v>
      </c>
      <c r="P113" s="46" t="s">
        <v>98</v>
      </c>
      <c r="Q113" s="46" t="s">
        <v>98</v>
      </c>
      <c r="R113" s="73" t="s">
        <v>444</v>
      </c>
    </row>
    <row r="114" customHeight="1" spans="11:18">
      <c r="K114" s="46">
        <v>2026</v>
      </c>
      <c r="L114" s="46" t="s">
        <v>392</v>
      </c>
      <c r="M114" s="47">
        <v>46224</v>
      </c>
      <c r="N114" s="46">
        <v>21200</v>
      </c>
      <c r="O114" s="46" t="s">
        <v>98</v>
      </c>
      <c r="P114" s="46" t="s">
        <v>98</v>
      </c>
      <c r="Q114" s="46" t="s">
        <v>98</v>
      </c>
      <c r="R114" s="73" t="s">
        <v>445</v>
      </c>
    </row>
    <row r="115" customHeight="1" spans="11:18">
      <c r="K115" s="46">
        <v>2026</v>
      </c>
      <c r="L115" s="46" t="s">
        <v>392</v>
      </c>
      <c r="M115" s="47">
        <v>46252</v>
      </c>
      <c r="N115" s="46">
        <v>12000</v>
      </c>
      <c r="O115" s="46" t="s">
        <v>98</v>
      </c>
      <c r="P115" s="46" t="s">
        <v>98</v>
      </c>
      <c r="Q115" s="46" t="s">
        <v>98</v>
      </c>
      <c r="R115" s="73" t="s">
        <v>446</v>
      </c>
    </row>
    <row r="116" customHeight="1" spans="11:18">
      <c r="K116" s="46">
        <v>2026</v>
      </c>
      <c r="L116" s="46" t="s">
        <v>392</v>
      </c>
      <c r="M116" s="47">
        <v>46253</v>
      </c>
      <c r="N116" s="46">
        <v>9700</v>
      </c>
      <c r="O116" s="46" t="s">
        <v>98</v>
      </c>
      <c r="P116" s="46" t="s">
        <v>98</v>
      </c>
      <c r="Q116" s="46" t="s">
        <v>98</v>
      </c>
      <c r="R116" s="46" t="s">
        <v>98</v>
      </c>
    </row>
    <row r="117" customHeight="1" spans="11:18">
      <c r="K117" s="46">
        <v>2026</v>
      </c>
      <c r="L117" s="46" t="s">
        <v>392</v>
      </c>
      <c r="M117" s="47">
        <v>46280</v>
      </c>
      <c r="N117" s="46">
        <v>15500</v>
      </c>
      <c r="O117" s="46" t="s">
        <v>98</v>
      </c>
      <c r="P117" s="46" t="s">
        <v>98</v>
      </c>
      <c r="Q117" s="46" t="s">
        <v>98</v>
      </c>
      <c r="R117" s="73" t="s">
        <v>447</v>
      </c>
    </row>
    <row r="118" customHeight="1" spans="11:18">
      <c r="K118" s="46">
        <v>2026</v>
      </c>
      <c r="L118" s="46" t="s">
        <v>392</v>
      </c>
      <c r="M118" s="47">
        <v>46281</v>
      </c>
      <c r="N118" s="46">
        <v>12900</v>
      </c>
      <c r="O118" s="46">
        <v>12900</v>
      </c>
      <c r="P118" s="46" t="s">
        <v>98</v>
      </c>
      <c r="Q118" s="46" t="s">
        <v>98</v>
      </c>
      <c r="R118" s="73" t="s">
        <v>448</v>
      </c>
    </row>
  </sheetData>
  <mergeCells count="20">
    <mergeCell ref="K1:N1"/>
    <mergeCell ref="L11:M11"/>
    <mergeCell ref="L50:M50"/>
    <mergeCell ref="L60:M60"/>
    <mergeCell ref="L67:M67"/>
    <mergeCell ref="L72:M72"/>
    <mergeCell ref="C12:C13"/>
    <mergeCell ref="C15:C16"/>
    <mergeCell ref="C22:C23"/>
    <mergeCell ref="D8:D11"/>
    <mergeCell ref="D12:D27"/>
    <mergeCell ref="D28:D32"/>
    <mergeCell ref="D33:D48"/>
    <mergeCell ref="D49:D66"/>
    <mergeCell ref="E2:E7"/>
    <mergeCell ref="K3:K10"/>
    <mergeCell ref="K12:K49"/>
    <mergeCell ref="K51:K59"/>
    <mergeCell ref="K61:K66"/>
    <mergeCell ref="G2:I7"/>
  </mergeCells>
  <pageMargins left="0.75" right="0.75" top="1" bottom="1" header="0.511805555555556" footer="0.511805555555556"/>
  <pageSetup paperSize="9" orientation="portrait"/>
  <headerFooter alignWithMargins="0" scaleWithDoc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72"/>
  <sheetViews>
    <sheetView workbookViewId="0">
      <pane xSplit="1" ySplit="2" topLeftCell="B1258" activePane="bottomRight" state="frozen"/>
      <selection/>
      <selection pane="topRight"/>
      <selection pane="bottomLeft"/>
      <selection pane="bottomRight" activeCell="Q1279" sqref="Q1279"/>
    </sheetView>
  </sheetViews>
  <sheetFormatPr defaultColWidth="9" defaultRowHeight="20" customHeight="1" outlineLevelCol="1"/>
  <cols>
    <col min="1" max="1" width="18.2583333333333" style="1" customWidth="1"/>
    <col min="2" max="2" width="20.2583333333333" style="2" customWidth="1"/>
  </cols>
  <sheetData>
    <row r="1" customHeight="1" spans="1:2">
      <c r="A1" s="3" t="s">
        <v>15</v>
      </c>
      <c r="B1" s="4"/>
    </row>
    <row r="2" customHeight="1" spans="1:2">
      <c r="A2" s="5" t="s">
        <v>246</v>
      </c>
      <c r="B2" s="6" t="s">
        <v>449</v>
      </c>
    </row>
    <row r="3" customHeight="1" spans="1:2">
      <c r="A3" s="7">
        <v>44927</v>
      </c>
      <c r="B3" s="8">
        <v>25.65</v>
      </c>
    </row>
    <row r="4" customHeight="1" spans="1:2">
      <c r="A4" s="9">
        <v>44928</v>
      </c>
      <c r="B4" s="10">
        <v>25.12</v>
      </c>
    </row>
    <row r="5" customHeight="1" spans="1:2">
      <c r="A5" s="7">
        <v>44929</v>
      </c>
      <c r="B5" s="8">
        <v>26.01</v>
      </c>
    </row>
    <row r="6" customHeight="1" spans="1:2">
      <c r="A6" s="9">
        <v>44930</v>
      </c>
      <c r="B6" s="10">
        <v>25.38</v>
      </c>
    </row>
    <row r="7" customHeight="1" spans="1:2">
      <c r="A7" s="7">
        <v>44931</v>
      </c>
      <c r="B7" s="8">
        <v>24.87</v>
      </c>
    </row>
    <row r="8" customHeight="1" spans="1:2">
      <c r="A8" s="9">
        <v>44932</v>
      </c>
      <c r="B8" s="10">
        <v>25.13</v>
      </c>
    </row>
    <row r="9" customHeight="1" spans="1:2">
      <c r="A9" s="7">
        <v>44933</v>
      </c>
      <c r="B9" s="8">
        <v>24.63</v>
      </c>
    </row>
    <row r="10" customHeight="1" spans="1:2">
      <c r="A10" s="9">
        <v>44934</v>
      </c>
      <c r="B10" s="10">
        <v>24.28</v>
      </c>
    </row>
    <row r="11" customHeight="1" spans="1:2">
      <c r="A11" s="7">
        <v>44935</v>
      </c>
      <c r="B11" s="8">
        <v>24.44</v>
      </c>
    </row>
    <row r="12" customHeight="1" spans="1:2">
      <c r="A12" s="9">
        <v>44936</v>
      </c>
      <c r="B12" s="10">
        <v>24.48</v>
      </c>
    </row>
    <row r="13" customHeight="1" spans="1:2">
      <c r="A13" s="7">
        <v>44937</v>
      </c>
      <c r="B13" s="8">
        <v>23.92</v>
      </c>
    </row>
    <row r="14" customHeight="1" spans="1:2">
      <c r="A14" s="9">
        <v>44938</v>
      </c>
      <c r="B14" s="10">
        <v>23.98</v>
      </c>
    </row>
    <row r="15" customHeight="1" spans="1:2">
      <c r="A15" s="7">
        <v>44939</v>
      </c>
      <c r="B15" s="8">
        <v>23.12</v>
      </c>
    </row>
    <row r="16" customHeight="1" spans="1:2">
      <c r="A16" s="9">
        <v>44940</v>
      </c>
      <c r="B16" s="10">
        <v>23.56</v>
      </c>
    </row>
    <row r="17" customHeight="1" spans="1:2">
      <c r="A17" s="7">
        <v>44941</v>
      </c>
      <c r="B17" s="8">
        <v>23.11</v>
      </c>
    </row>
    <row r="18" customHeight="1" spans="1:2">
      <c r="A18" s="9">
        <v>44942</v>
      </c>
      <c r="B18" s="10">
        <v>22.96</v>
      </c>
    </row>
    <row r="19" customHeight="1" spans="1:2">
      <c r="A19" s="7">
        <v>44943</v>
      </c>
      <c r="B19" s="8">
        <v>22.53</v>
      </c>
    </row>
    <row r="20" customHeight="1" spans="1:2">
      <c r="A20" s="9">
        <v>44944</v>
      </c>
      <c r="B20" s="10">
        <v>22.96</v>
      </c>
    </row>
    <row r="21" customHeight="1" spans="1:2">
      <c r="A21" s="7">
        <v>44945</v>
      </c>
      <c r="B21" s="8">
        <v>23.04</v>
      </c>
    </row>
    <row r="22" customHeight="1" spans="1:2">
      <c r="A22" s="9">
        <v>44946</v>
      </c>
      <c r="B22" s="10">
        <v>23.25</v>
      </c>
    </row>
    <row r="23" customHeight="1" spans="1:2">
      <c r="A23" s="7">
        <v>44947</v>
      </c>
      <c r="B23" s="8">
        <v>22.72</v>
      </c>
    </row>
    <row r="24" customHeight="1" spans="1:2">
      <c r="A24" s="9">
        <v>44948</v>
      </c>
      <c r="B24" s="10">
        <v>22.73</v>
      </c>
    </row>
    <row r="25" customHeight="1" spans="1:2">
      <c r="A25" s="7">
        <v>44949</v>
      </c>
      <c r="B25" s="8">
        <v>22.65</v>
      </c>
    </row>
    <row r="26" customHeight="1" spans="1:2">
      <c r="A26" s="9">
        <v>44950</v>
      </c>
      <c r="B26" s="10">
        <v>23.91</v>
      </c>
    </row>
    <row r="27" customHeight="1" spans="1:2">
      <c r="A27" s="7">
        <v>44951</v>
      </c>
      <c r="B27" s="8">
        <v>22.88</v>
      </c>
    </row>
    <row r="28" customHeight="1" spans="1:2">
      <c r="A28" s="9">
        <v>44952</v>
      </c>
      <c r="B28" s="10">
        <v>22.75</v>
      </c>
    </row>
    <row r="29" customHeight="1" spans="1:2">
      <c r="A29" s="7">
        <v>44953</v>
      </c>
      <c r="B29" s="8">
        <v>22.71</v>
      </c>
    </row>
    <row r="30" customHeight="1" spans="1:2">
      <c r="A30" s="9">
        <v>44954</v>
      </c>
      <c r="B30" s="10">
        <v>23.24</v>
      </c>
    </row>
    <row r="31" customHeight="1" spans="1:2">
      <c r="A31" s="7">
        <v>44955</v>
      </c>
      <c r="B31" s="8">
        <v>23.38</v>
      </c>
    </row>
    <row r="32" customHeight="1" spans="1:2">
      <c r="A32" s="9">
        <v>44956</v>
      </c>
      <c r="B32" s="10">
        <v>23.17</v>
      </c>
    </row>
    <row r="33" customHeight="1" spans="1:2">
      <c r="A33" s="7">
        <v>44957</v>
      </c>
      <c r="B33" s="8">
        <v>22.65</v>
      </c>
    </row>
    <row r="34" customHeight="1" spans="1:2">
      <c r="A34" s="9">
        <v>44958</v>
      </c>
      <c r="B34" s="10">
        <v>22.63</v>
      </c>
    </row>
    <row r="35" customHeight="1" spans="1:2">
      <c r="A35" s="7">
        <v>44959</v>
      </c>
      <c r="B35" s="8">
        <v>21.94</v>
      </c>
    </row>
    <row r="36" customHeight="1" spans="1:2">
      <c r="A36" s="9">
        <v>44960</v>
      </c>
      <c r="B36" s="10">
        <v>22.71</v>
      </c>
    </row>
    <row r="37" customHeight="1" spans="1:2">
      <c r="A37" s="7">
        <v>44961</v>
      </c>
      <c r="B37" s="8">
        <v>21.49</v>
      </c>
    </row>
    <row r="38" customHeight="1" spans="1:2">
      <c r="A38" s="9">
        <v>44962</v>
      </c>
      <c r="B38" s="10">
        <v>21.17</v>
      </c>
    </row>
    <row r="39" customHeight="1" spans="1:2">
      <c r="A39" s="7">
        <v>44963</v>
      </c>
      <c r="B39" s="8">
        <v>21.78</v>
      </c>
    </row>
    <row r="40" customHeight="1" spans="1:2">
      <c r="A40" s="9">
        <v>44964</v>
      </c>
      <c r="B40" s="10">
        <v>21.64</v>
      </c>
    </row>
    <row r="41" customHeight="1" spans="1:2">
      <c r="A41" s="7">
        <v>44965</v>
      </c>
      <c r="B41" s="8">
        <v>21.51</v>
      </c>
    </row>
    <row r="42" customHeight="1" spans="1:2">
      <c r="A42" s="9">
        <v>44966</v>
      </c>
      <c r="B42" s="10">
        <v>20.69</v>
      </c>
    </row>
    <row r="43" customHeight="1" spans="1:2">
      <c r="A43" s="7">
        <v>44967</v>
      </c>
      <c r="B43" s="8">
        <v>20.49</v>
      </c>
    </row>
    <row r="44" customHeight="1" spans="1:2">
      <c r="A44" s="9">
        <v>44968</v>
      </c>
      <c r="B44" s="10">
        <v>20.22</v>
      </c>
    </row>
    <row r="45" customHeight="1" spans="1:2">
      <c r="A45" s="7">
        <v>44969</v>
      </c>
      <c r="B45" s="8">
        <v>20.1</v>
      </c>
    </row>
    <row r="46" customHeight="1" spans="1:2">
      <c r="A46" s="9">
        <v>44970</v>
      </c>
      <c r="B46" s="10">
        <v>20.31</v>
      </c>
    </row>
    <row r="47" customHeight="1" spans="1:2">
      <c r="A47" s="7">
        <v>44971</v>
      </c>
      <c r="B47" s="8">
        <v>20.25</v>
      </c>
    </row>
    <row r="48" customHeight="1" spans="1:2">
      <c r="A48" s="9">
        <v>44972</v>
      </c>
      <c r="B48" s="10">
        <v>20.81</v>
      </c>
    </row>
    <row r="49" customHeight="1" spans="1:2">
      <c r="A49" s="7">
        <v>44973</v>
      </c>
      <c r="B49" s="8">
        <v>20.57</v>
      </c>
    </row>
    <row r="50" customHeight="1" spans="1:2">
      <c r="A50" s="9">
        <v>44974</v>
      </c>
      <c r="B50" s="10">
        <v>20.97</v>
      </c>
    </row>
    <row r="51" customHeight="1" spans="1:2">
      <c r="A51" s="7">
        <v>44975</v>
      </c>
      <c r="B51" s="8">
        <v>20.15</v>
      </c>
    </row>
    <row r="52" customHeight="1" spans="1:2">
      <c r="A52" s="9">
        <v>44976</v>
      </c>
      <c r="B52" s="10">
        <v>20.27</v>
      </c>
    </row>
    <row r="53" customHeight="1" spans="1:2">
      <c r="A53" s="7">
        <v>44977</v>
      </c>
      <c r="B53" s="8">
        <v>20.64</v>
      </c>
    </row>
    <row r="54" customHeight="1" spans="1:2">
      <c r="A54" s="9">
        <v>44978</v>
      </c>
      <c r="B54" s="10">
        <v>20.83</v>
      </c>
    </row>
    <row r="55" customHeight="1" spans="1:2">
      <c r="A55" s="7">
        <v>44979</v>
      </c>
      <c r="B55" s="8">
        <v>21.23</v>
      </c>
    </row>
    <row r="56" customHeight="1" spans="1:2">
      <c r="A56" s="9">
        <v>44980</v>
      </c>
      <c r="B56" s="10">
        <v>20.65</v>
      </c>
    </row>
    <row r="57" customHeight="1" spans="1:2">
      <c r="A57" s="7">
        <v>44981</v>
      </c>
      <c r="B57" s="8">
        <v>20.78</v>
      </c>
    </row>
    <row r="58" customHeight="1" spans="1:2">
      <c r="A58" s="9">
        <v>44982</v>
      </c>
      <c r="B58" s="10">
        <v>20.94</v>
      </c>
    </row>
    <row r="59" customHeight="1" spans="1:2">
      <c r="A59" s="7">
        <v>44983</v>
      </c>
      <c r="B59" s="8">
        <v>20.79</v>
      </c>
    </row>
    <row r="60" customHeight="1" spans="1:2">
      <c r="A60" s="9">
        <v>44984</v>
      </c>
      <c r="B60" s="10">
        <v>20.72</v>
      </c>
    </row>
    <row r="61" customHeight="1" spans="1:2">
      <c r="A61" s="7">
        <v>44985</v>
      </c>
      <c r="B61" s="8">
        <v>20.97</v>
      </c>
    </row>
    <row r="62" customHeight="1" spans="1:2">
      <c r="A62" s="9">
        <v>44986</v>
      </c>
      <c r="B62" s="10">
        <v>21.01</v>
      </c>
    </row>
    <row r="63" customHeight="1" spans="1:2">
      <c r="A63" s="7">
        <v>44987</v>
      </c>
      <c r="B63" s="8">
        <v>21.08</v>
      </c>
    </row>
    <row r="64" customHeight="1" spans="1:2">
      <c r="A64" s="9">
        <v>44988</v>
      </c>
      <c r="B64" s="10">
        <v>21.04</v>
      </c>
    </row>
    <row r="65" customHeight="1" spans="1:2">
      <c r="A65" s="7">
        <v>44989</v>
      </c>
      <c r="B65" s="8">
        <v>20.95</v>
      </c>
    </row>
    <row r="66" customHeight="1" spans="1:2">
      <c r="A66" s="9">
        <v>44990</v>
      </c>
      <c r="B66" s="10">
        <v>21.09</v>
      </c>
    </row>
    <row r="67" customHeight="1" spans="1:2">
      <c r="A67" s="7">
        <v>44991</v>
      </c>
      <c r="B67" s="8">
        <v>21.22</v>
      </c>
    </row>
    <row r="68" customHeight="1" spans="1:2">
      <c r="A68" s="9">
        <v>44992</v>
      </c>
      <c r="B68" s="10">
        <v>21.15</v>
      </c>
    </row>
    <row r="69" customHeight="1" spans="1:2">
      <c r="A69" s="7">
        <v>44993</v>
      </c>
      <c r="B69" s="8">
        <v>20.94</v>
      </c>
    </row>
    <row r="70" customHeight="1" spans="1:2">
      <c r="A70" s="9">
        <v>44994</v>
      </c>
      <c r="B70" s="10">
        <v>20.89</v>
      </c>
    </row>
    <row r="71" customHeight="1" spans="1:2">
      <c r="A71" s="7">
        <v>44995</v>
      </c>
      <c r="B71" s="8">
        <v>20.83</v>
      </c>
    </row>
    <row r="72" customHeight="1" spans="1:2">
      <c r="A72" s="9">
        <v>44996</v>
      </c>
      <c r="B72" s="10">
        <v>21</v>
      </c>
    </row>
    <row r="73" customHeight="1" spans="1:2">
      <c r="A73" s="7">
        <v>44997</v>
      </c>
      <c r="B73" s="8">
        <v>20.71</v>
      </c>
    </row>
    <row r="74" customHeight="1" spans="1:2">
      <c r="A74" s="9">
        <v>44998</v>
      </c>
      <c r="B74" s="10">
        <v>20.83</v>
      </c>
    </row>
    <row r="75" customHeight="1" spans="1:2">
      <c r="A75" s="7">
        <v>44999</v>
      </c>
      <c r="B75" s="8">
        <v>20.67</v>
      </c>
    </row>
    <row r="76" customHeight="1" spans="1:2">
      <c r="A76" s="9">
        <v>45000</v>
      </c>
      <c r="B76" s="10">
        <v>20.65</v>
      </c>
    </row>
    <row r="77" customHeight="1" spans="1:2">
      <c r="A77" s="7">
        <v>45001</v>
      </c>
      <c r="B77" s="8">
        <v>20.58</v>
      </c>
    </row>
    <row r="78" customHeight="1" spans="1:2">
      <c r="A78" s="9">
        <v>45002</v>
      </c>
      <c r="B78" s="10">
        <v>20.45</v>
      </c>
    </row>
    <row r="79" customHeight="1" spans="1:2">
      <c r="A79" s="7">
        <v>45003</v>
      </c>
      <c r="B79" s="8">
        <v>20.55</v>
      </c>
    </row>
    <row r="80" customHeight="1" spans="1:2">
      <c r="A80" s="9">
        <v>45004</v>
      </c>
      <c r="B80" s="10">
        <v>20.32</v>
      </c>
    </row>
    <row r="81" customHeight="1" spans="1:2">
      <c r="A81" s="7">
        <v>45005</v>
      </c>
      <c r="B81" s="8">
        <v>20.48</v>
      </c>
    </row>
    <row r="82" customHeight="1" spans="1:2">
      <c r="A82" s="9">
        <v>45006</v>
      </c>
      <c r="B82" s="10">
        <v>20.32</v>
      </c>
    </row>
    <row r="83" customHeight="1" spans="1:2">
      <c r="A83" s="7">
        <v>45007</v>
      </c>
      <c r="B83" s="8">
        <v>20.25</v>
      </c>
    </row>
    <row r="84" customHeight="1" spans="1:2">
      <c r="A84" s="9">
        <v>45008</v>
      </c>
      <c r="B84" s="10">
        <v>20.11</v>
      </c>
    </row>
    <row r="85" customHeight="1" spans="1:2">
      <c r="A85" s="7">
        <v>45009</v>
      </c>
      <c r="B85" s="8">
        <v>20.31</v>
      </c>
    </row>
    <row r="86" customHeight="1" spans="1:2">
      <c r="A86" s="9">
        <v>45010</v>
      </c>
      <c r="B86" s="10">
        <v>20.21</v>
      </c>
    </row>
    <row r="87" customHeight="1" spans="1:2">
      <c r="A87" s="7">
        <v>45011</v>
      </c>
      <c r="B87" s="8">
        <v>20.28</v>
      </c>
    </row>
    <row r="88" customHeight="1" spans="1:2">
      <c r="A88" s="9">
        <v>45012</v>
      </c>
      <c r="B88" s="10">
        <v>20.14</v>
      </c>
    </row>
    <row r="89" customHeight="1" spans="1:2">
      <c r="A89" s="7">
        <v>45013</v>
      </c>
      <c r="B89" s="8">
        <v>20.26</v>
      </c>
    </row>
    <row r="90" customHeight="1" spans="1:2">
      <c r="A90" s="9">
        <v>45014</v>
      </c>
      <c r="B90" s="10">
        <v>20.17</v>
      </c>
    </row>
    <row r="91" customHeight="1" spans="1:2">
      <c r="A91" s="7">
        <v>45015</v>
      </c>
      <c r="B91" s="8">
        <v>20.05</v>
      </c>
    </row>
    <row r="92" customHeight="1" spans="1:2">
      <c r="A92" s="9">
        <v>45016</v>
      </c>
      <c r="B92" s="10">
        <v>20.08</v>
      </c>
    </row>
    <row r="93" customHeight="1" spans="1:2">
      <c r="A93" s="7">
        <v>45017</v>
      </c>
      <c r="B93" s="8">
        <v>19.95</v>
      </c>
    </row>
    <row r="94" customHeight="1" spans="1:2">
      <c r="A94" s="9">
        <v>45018</v>
      </c>
      <c r="B94" s="10">
        <v>19.75</v>
      </c>
    </row>
    <row r="95" customHeight="1" spans="1:2">
      <c r="A95" s="7">
        <v>45019</v>
      </c>
      <c r="B95" s="8">
        <v>19.81</v>
      </c>
    </row>
    <row r="96" customHeight="1" spans="1:2">
      <c r="A96" s="9">
        <v>45020</v>
      </c>
      <c r="B96" s="10">
        <v>19.88</v>
      </c>
    </row>
    <row r="97" customHeight="1" spans="1:2">
      <c r="A97" s="7">
        <v>45021</v>
      </c>
      <c r="B97" s="8">
        <v>19.9</v>
      </c>
    </row>
    <row r="98" customHeight="1" spans="1:2">
      <c r="A98" s="9">
        <v>45022</v>
      </c>
      <c r="B98" s="10">
        <v>19.86</v>
      </c>
    </row>
    <row r="99" customHeight="1" spans="1:2">
      <c r="A99" s="7">
        <v>45023</v>
      </c>
      <c r="B99" s="8">
        <v>20.04</v>
      </c>
    </row>
    <row r="100" customHeight="1" spans="1:2">
      <c r="A100" s="9">
        <v>45024</v>
      </c>
      <c r="B100" s="10">
        <v>19.75</v>
      </c>
    </row>
    <row r="101" customHeight="1" spans="1:2">
      <c r="A101" s="7">
        <v>45025</v>
      </c>
      <c r="B101" s="8">
        <v>19.56</v>
      </c>
    </row>
    <row r="102" customHeight="1" spans="1:2">
      <c r="A102" s="9">
        <v>45026</v>
      </c>
      <c r="B102" s="10">
        <v>19.66</v>
      </c>
    </row>
    <row r="103" customHeight="1" spans="1:2">
      <c r="A103" s="7">
        <v>45027</v>
      </c>
      <c r="B103" s="8">
        <v>19.64</v>
      </c>
    </row>
    <row r="104" customHeight="1" spans="1:2">
      <c r="A104" s="9">
        <v>45028</v>
      </c>
      <c r="B104" s="10">
        <v>19.51</v>
      </c>
    </row>
    <row r="105" customHeight="1" spans="1:2">
      <c r="A105" s="7">
        <v>45029</v>
      </c>
      <c r="B105" s="8">
        <v>19.48</v>
      </c>
    </row>
    <row r="106" customHeight="1" spans="1:2">
      <c r="A106" s="9">
        <v>45030</v>
      </c>
      <c r="B106" s="10">
        <v>19.39</v>
      </c>
    </row>
    <row r="107" customHeight="1" spans="1:2">
      <c r="A107" s="7">
        <v>45031</v>
      </c>
      <c r="B107" s="8">
        <v>19.01</v>
      </c>
    </row>
    <row r="108" customHeight="1" spans="1:2">
      <c r="A108" s="9">
        <v>45032</v>
      </c>
      <c r="B108" s="10">
        <v>19.34</v>
      </c>
    </row>
    <row r="109" customHeight="1" spans="1:2">
      <c r="A109" s="7">
        <v>45033</v>
      </c>
      <c r="B109" s="8">
        <v>19.53</v>
      </c>
    </row>
    <row r="110" customHeight="1" spans="1:2">
      <c r="A110" s="9">
        <v>45034</v>
      </c>
      <c r="B110" s="10">
        <v>19.39</v>
      </c>
    </row>
    <row r="111" customHeight="1" spans="1:2">
      <c r="A111" s="7">
        <v>45035</v>
      </c>
      <c r="B111" s="8">
        <v>19.36</v>
      </c>
    </row>
    <row r="112" customHeight="1" spans="1:2">
      <c r="A112" s="9">
        <v>45036</v>
      </c>
      <c r="B112" s="10">
        <v>19.25</v>
      </c>
    </row>
    <row r="113" customHeight="1" spans="1:2">
      <c r="A113" s="7">
        <v>45037</v>
      </c>
      <c r="B113" s="8">
        <v>19.28</v>
      </c>
    </row>
    <row r="114" customHeight="1" spans="1:2">
      <c r="A114" s="9">
        <v>45038</v>
      </c>
      <c r="B114" s="10">
        <v>19.29</v>
      </c>
    </row>
    <row r="115" customHeight="1" spans="1:2">
      <c r="A115" s="7">
        <v>45039</v>
      </c>
      <c r="B115" s="8">
        <v>19.28</v>
      </c>
    </row>
    <row r="116" customHeight="1" spans="1:2">
      <c r="A116" s="9">
        <v>45040</v>
      </c>
      <c r="B116" s="10">
        <v>19.26</v>
      </c>
    </row>
    <row r="117" customHeight="1" spans="1:2">
      <c r="A117" s="7">
        <v>45041</v>
      </c>
      <c r="B117" s="8">
        <v>19.35</v>
      </c>
    </row>
    <row r="118" customHeight="1" spans="1:2">
      <c r="A118" s="9">
        <v>45042</v>
      </c>
      <c r="B118" s="10">
        <v>19.64</v>
      </c>
    </row>
    <row r="119" customHeight="1" spans="1:2">
      <c r="A119" s="7">
        <v>45043</v>
      </c>
      <c r="B119" s="8">
        <v>19.77</v>
      </c>
    </row>
    <row r="120" customHeight="1" spans="1:2">
      <c r="A120" s="9">
        <v>45044</v>
      </c>
      <c r="B120" s="10">
        <v>19.67</v>
      </c>
    </row>
    <row r="121" customHeight="1" spans="1:2">
      <c r="A121" s="7">
        <v>45045</v>
      </c>
      <c r="B121" s="8">
        <v>19.46</v>
      </c>
    </row>
    <row r="122" customHeight="1" spans="1:2">
      <c r="A122" s="9">
        <v>45046</v>
      </c>
      <c r="B122" s="10">
        <v>19.69</v>
      </c>
    </row>
    <row r="123" customHeight="1" spans="1:2">
      <c r="A123" s="7">
        <v>45047</v>
      </c>
      <c r="B123" s="8">
        <v>19.83</v>
      </c>
    </row>
    <row r="124" customHeight="1" spans="1:2">
      <c r="A124" s="9">
        <v>45048</v>
      </c>
      <c r="B124" s="10">
        <v>19.6</v>
      </c>
    </row>
    <row r="125" customHeight="1" spans="1:2">
      <c r="A125" s="7">
        <v>45049</v>
      </c>
      <c r="B125" s="8">
        <v>19.61</v>
      </c>
    </row>
    <row r="126" customHeight="1" spans="1:2">
      <c r="A126" s="9">
        <v>45050</v>
      </c>
      <c r="B126" s="10">
        <v>19.79</v>
      </c>
    </row>
    <row r="127" customHeight="1" spans="1:2">
      <c r="A127" s="7">
        <v>45051</v>
      </c>
      <c r="B127" s="8">
        <v>19.5</v>
      </c>
    </row>
    <row r="128" customHeight="1" spans="1:2">
      <c r="A128" s="9">
        <v>45052</v>
      </c>
      <c r="B128" s="10">
        <v>19.67</v>
      </c>
    </row>
    <row r="129" customHeight="1" spans="1:2">
      <c r="A129" s="7">
        <v>45053</v>
      </c>
      <c r="B129" s="8">
        <v>19.41</v>
      </c>
    </row>
    <row r="130" customHeight="1" spans="1:2">
      <c r="A130" s="9">
        <v>45054</v>
      </c>
      <c r="B130" s="10">
        <v>19.67</v>
      </c>
    </row>
    <row r="131" customHeight="1" spans="1:2">
      <c r="A131" s="7">
        <v>45055</v>
      </c>
      <c r="B131" s="8">
        <v>19.46</v>
      </c>
    </row>
    <row r="132" customHeight="1" spans="1:2">
      <c r="A132" s="9">
        <v>45056</v>
      </c>
      <c r="B132" s="10">
        <v>19.59</v>
      </c>
    </row>
    <row r="133" customHeight="1" spans="1:2">
      <c r="A133" s="7">
        <v>45057</v>
      </c>
      <c r="B133" s="8">
        <v>19.63</v>
      </c>
    </row>
    <row r="134" customHeight="1" spans="1:2">
      <c r="A134" s="9">
        <v>45058</v>
      </c>
      <c r="B134" s="10">
        <v>19.42</v>
      </c>
    </row>
    <row r="135" customHeight="1" spans="1:2">
      <c r="A135" s="7">
        <v>45059</v>
      </c>
      <c r="B135" s="8">
        <v>19.48</v>
      </c>
    </row>
    <row r="136" customHeight="1" spans="1:2">
      <c r="A136" s="9">
        <v>45060</v>
      </c>
      <c r="B136" s="10">
        <v>19.48</v>
      </c>
    </row>
    <row r="137" customHeight="1" spans="1:2">
      <c r="A137" s="7">
        <v>45061</v>
      </c>
      <c r="B137" s="8">
        <v>19.38</v>
      </c>
    </row>
    <row r="138" customHeight="1" spans="1:2">
      <c r="A138" s="9">
        <v>45062</v>
      </c>
      <c r="B138" s="10">
        <v>19.41</v>
      </c>
    </row>
    <row r="139" customHeight="1" spans="1:2">
      <c r="A139" s="7">
        <v>45063</v>
      </c>
      <c r="B139" s="8">
        <v>19.39</v>
      </c>
    </row>
    <row r="140" customHeight="1" spans="1:2">
      <c r="A140" s="9">
        <v>45064</v>
      </c>
      <c r="B140" s="10">
        <v>19.43</v>
      </c>
    </row>
    <row r="141" customHeight="1" spans="1:2">
      <c r="A141" s="7">
        <v>45065</v>
      </c>
      <c r="B141" s="8">
        <v>19.35</v>
      </c>
    </row>
    <row r="142" customHeight="1" spans="1:2">
      <c r="A142" s="9">
        <v>45066</v>
      </c>
      <c r="B142" s="10">
        <v>19.34</v>
      </c>
    </row>
    <row r="143" customHeight="1" spans="1:2">
      <c r="A143" s="7">
        <v>45067</v>
      </c>
      <c r="B143" s="8">
        <v>19.4</v>
      </c>
    </row>
    <row r="144" customHeight="1" spans="1:2">
      <c r="A144" s="9">
        <v>45068</v>
      </c>
      <c r="B144" s="10">
        <v>19.4</v>
      </c>
    </row>
    <row r="145" customHeight="1" spans="1:2">
      <c r="A145" s="7">
        <v>45069</v>
      </c>
      <c r="B145" s="8">
        <v>19.48</v>
      </c>
    </row>
    <row r="146" customHeight="1" spans="1:2">
      <c r="A146" s="9">
        <v>45070</v>
      </c>
      <c r="B146" s="10">
        <v>19.43</v>
      </c>
    </row>
    <row r="147" customHeight="1" spans="1:2">
      <c r="A147" s="7">
        <v>45071</v>
      </c>
      <c r="B147" s="8">
        <v>19.26</v>
      </c>
    </row>
    <row r="148" customHeight="1" spans="1:2">
      <c r="A148" s="9">
        <v>45072</v>
      </c>
      <c r="B148" s="10">
        <v>19.33</v>
      </c>
    </row>
    <row r="149" customHeight="1" spans="1:2">
      <c r="A149" s="7">
        <v>45073</v>
      </c>
      <c r="B149" s="8">
        <v>19.29</v>
      </c>
    </row>
    <row r="150" customHeight="1" spans="1:2">
      <c r="A150" s="9">
        <v>45074</v>
      </c>
      <c r="B150" s="10">
        <v>19.29</v>
      </c>
    </row>
    <row r="151" customHeight="1" spans="1:2">
      <c r="A151" s="7">
        <v>45075</v>
      </c>
      <c r="B151" s="8">
        <v>19.38</v>
      </c>
    </row>
    <row r="152" customHeight="1" spans="1:2">
      <c r="A152" s="9">
        <v>45076</v>
      </c>
      <c r="B152" s="10">
        <v>19.29</v>
      </c>
    </row>
    <row r="153" customHeight="1" spans="1:2">
      <c r="A153" s="7">
        <v>45077</v>
      </c>
      <c r="B153" s="8">
        <v>19.26</v>
      </c>
    </row>
    <row r="154" customHeight="1" spans="1:2">
      <c r="A154" s="9">
        <v>45078</v>
      </c>
      <c r="B154" s="10">
        <v>19.1</v>
      </c>
    </row>
    <row r="155" customHeight="1" spans="1:2">
      <c r="A155" s="7">
        <v>45079</v>
      </c>
      <c r="B155" s="8">
        <v>19.15</v>
      </c>
    </row>
    <row r="156" customHeight="1" spans="1:2">
      <c r="A156" s="9">
        <v>45080</v>
      </c>
      <c r="B156" s="10">
        <v>19.2</v>
      </c>
    </row>
    <row r="157" customHeight="1" spans="1:2">
      <c r="A157" s="7">
        <v>45081</v>
      </c>
      <c r="B157" s="8">
        <v>19.08</v>
      </c>
    </row>
    <row r="158" customHeight="1" spans="1:2">
      <c r="A158" s="9">
        <v>45082</v>
      </c>
      <c r="B158" s="10">
        <v>19.13</v>
      </c>
    </row>
    <row r="159" customHeight="1" spans="1:2">
      <c r="A159" s="7">
        <v>45083</v>
      </c>
      <c r="B159" s="8">
        <v>19.2</v>
      </c>
    </row>
    <row r="160" customHeight="1" spans="1:2">
      <c r="A160" s="9">
        <v>45084</v>
      </c>
      <c r="B160" s="10">
        <v>19.21</v>
      </c>
    </row>
    <row r="161" customHeight="1" spans="1:2">
      <c r="A161" s="7">
        <v>45085</v>
      </c>
      <c r="B161" s="8">
        <v>19.08</v>
      </c>
    </row>
    <row r="162" customHeight="1" spans="1:2">
      <c r="A162" s="9">
        <v>45086</v>
      </c>
      <c r="B162" s="10">
        <v>19.29</v>
      </c>
    </row>
    <row r="163" customHeight="1" spans="1:2">
      <c r="A163" s="7">
        <v>45087</v>
      </c>
      <c r="B163" s="8">
        <v>19.11</v>
      </c>
    </row>
    <row r="164" customHeight="1" spans="1:2">
      <c r="A164" s="9">
        <v>45088</v>
      </c>
      <c r="B164" s="10">
        <v>18.96</v>
      </c>
    </row>
    <row r="165" customHeight="1" spans="1:2">
      <c r="A165" s="7">
        <v>45089</v>
      </c>
      <c r="B165" s="8">
        <v>19.24</v>
      </c>
    </row>
    <row r="166" customHeight="1" spans="1:2">
      <c r="A166" s="9">
        <v>45090</v>
      </c>
      <c r="B166" s="10">
        <v>19.13</v>
      </c>
    </row>
    <row r="167" customHeight="1" spans="1:2">
      <c r="A167" s="7">
        <v>45091</v>
      </c>
      <c r="B167" s="8">
        <v>19.18</v>
      </c>
    </row>
    <row r="168" customHeight="1" spans="1:2">
      <c r="A168" s="9">
        <v>45092</v>
      </c>
      <c r="B168" s="10">
        <v>19.2</v>
      </c>
    </row>
    <row r="169" customHeight="1" spans="1:2">
      <c r="A169" s="7">
        <v>45093</v>
      </c>
      <c r="B169" s="8">
        <v>19.14</v>
      </c>
    </row>
    <row r="170" customHeight="1" spans="1:2">
      <c r="A170" s="9">
        <v>45094</v>
      </c>
      <c r="B170" s="10">
        <v>19.28</v>
      </c>
    </row>
    <row r="171" customHeight="1" spans="1:2">
      <c r="A171" s="7">
        <v>45095</v>
      </c>
      <c r="B171" s="8">
        <v>19.16</v>
      </c>
    </row>
    <row r="172" customHeight="1" spans="1:2">
      <c r="A172" s="9">
        <v>45096</v>
      </c>
      <c r="B172" s="10">
        <v>19.17</v>
      </c>
    </row>
    <row r="173" customHeight="1" spans="1:2">
      <c r="A173" s="7">
        <v>45097</v>
      </c>
      <c r="B173" s="8">
        <v>19.08</v>
      </c>
    </row>
    <row r="174" customHeight="1" spans="1:2">
      <c r="A174" s="9">
        <v>45098</v>
      </c>
      <c r="B174" s="10">
        <v>19.23</v>
      </c>
    </row>
    <row r="175" customHeight="1" spans="1:2">
      <c r="A175" s="7">
        <v>45099</v>
      </c>
      <c r="B175" s="8">
        <v>19.03</v>
      </c>
    </row>
    <row r="176" customHeight="1" spans="1:2">
      <c r="A176" s="9">
        <v>45100</v>
      </c>
      <c r="B176" s="10">
        <v>19.19</v>
      </c>
    </row>
    <row r="177" customHeight="1" spans="1:2">
      <c r="A177" s="7">
        <v>45101</v>
      </c>
      <c r="B177" s="8">
        <v>19.2</v>
      </c>
    </row>
    <row r="178" customHeight="1" spans="1:2">
      <c r="A178" s="9">
        <v>45102</v>
      </c>
      <c r="B178" s="10">
        <v>19.13</v>
      </c>
    </row>
    <row r="179" customHeight="1" spans="1:2">
      <c r="A179" s="7">
        <v>45103</v>
      </c>
      <c r="B179" s="8">
        <v>19.08</v>
      </c>
    </row>
    <row r="180" customHeight="1" spans="1:2">
      <c r="A180" s="9">
        <v>45104</v>
      </c>
      <c r="B180" s="10">
        <v>19.03</v>
      </c>
    </row>
    <row r="181" customHeight="1" spans="1:2">
      <c r="A181" s="7">
        <v>45105</v>
      </c>
      <c r="B181" s="8">
        <v>18.87</v>
      </c>
    </row>
    <row r="182" customHeight="1" spans="1:2">
      <c r="A182" s="9">
        <v>45106</v>
      </c>
      <c r="B182" s="10">
        <v>18.9</v>
      </c>
    </row>
    <row r="183" customHeight="1" spans="1:2">
      <c r="A183" s="7">
        <v>45107</v>
      </c>
      <c r="B183" s="8">
        <v>18.92</v>
      </c>
    </row>
    <row r="184" customHeight="1" spans="1:2">
      <c r="A184" s="9">
        <v>45108</v>
      </c>
      <c r="B184" s="10">
        <v>18.93</v>
      </c>
    </row>
    <row r="185" customHeight="1" spans="1:2">
      <c r="A185" s="7">
        <v>45109</v>
      </c>
      <c r="B185" s="8">
        <v>18.94</v>
      </c>
    </row>
    <row r="186" customHeight="1" spans="1:2">
      <c r="A186" s="9">
        <v>45110</v>
      </c>
      <c r="B186" s="10">
        <v>19.09</v>
      </c>
    </row>
    <row r="187" customHeight="1" spans="1:2">
      <c r="A187" s="7">
        <v>45111</v>
      </c>
      <c r="B187" s="8">
        <v>18.92</v>
      </c>
    </row>
    <row r="188" customHeight="1" spans="1:2">
      <c r="A188" s="9">
        <v>45112</v>
      </c>
      <c r="B188" s="10">
        <v>18.97</v>
      </c>
    </row>
    <row r="189" customHeight="1" spans="1:2">
      <c r="A189" s="7">
        <v>45113</v>
      </c>
      <c r="B189" s="8">
        <v>18.95</v>
      </c>
    </row>
    <row r="190" customHeight="1" spans="1:2">
      <c r="A190" s="9">
        <v>45114</v>
      </c>
      <c r="B190" s="10">
        <v>18.83</v>
      </c>
    </row>
    <row r="191" customHeight="1" spans="1:2">
      <c r="A191" s="7">
        <v>45115</v>
      </c>
      <c r="B191" s="8">
        <v>19.08</v>
      </c>
    </row>
    <row r="192" customHeight="1" spans="1:2">
      <c r="A192" s="9">
        <v>45116</v>
      </c>
      <c r="B192" s="10">
        <v>19.03</v>
      </c>
    </row>
    <row r="193" customHeight="1" spans="1:2">
      <c r="A193" s="7">
        <v>45117</v>
      </c>
      <c r="B193" s="8">
        <v>18.9</v>
      </c>
    </row>
    <row r="194" customHeight="1" spans="1:2">
      <c r="A194" s="9">
        <v>45118</v>
      </c>
      <c r="B194" s="10">
        <v>18.82</v>
      </c>
    </row>
    <row r="195" customHeight="1" spans="1:2">
      <c r="A195" s="7">
        <v>45119</v>
      </c>
      <c r="B195" s="8">
        <v>18.88</v>
      </c>
    </row>
    <row r="196" customHeight="1" spans="1:2">
      <c r="A196" s="9">
        <v>45120</v>
      </c>
      <c r="B196" s="10">
        <v>18.85</v>
      </c>
    </row>
    <row r="197" customHeight="1" spans="1:2">
      <c r="A197" s="7">
        <v>45121</v>
      </c>
      <c r="B197" s="8">
        <v>18.95</v>
      </c>
    </row>
    <row r="198" customHeight="1" spans="1:2">
      <c r="A198" s="9">
        <v>45122</v>
      </c>
      <c r="B198" s="10">
        <v>18.96</v>
      </c>
    </row>
    <row r="199" customHeight="1" spans="1:2">
      <c r="A199" s="7">
        <v>45123</v>
      </c>
      <c r="B199" s="8">
        <v>18.86</v>
      </c>
    </row>
    <row r="200" customHeight="1" spans="1:2">
      <c r="A200" s="9">
        <v>45124</v>
      </c>
      <c r="B200" s="10">
        <v>18.84</v>
      </c>
    </row>
    <row r="201" customHeight="1" spans="1:2">
      <c r="A201" s="7">
        <v>45125</v>
      </c>
      <c r="B201" s="8">
        <v>18.92</v>
      </c>
    </row>
    <row r="202" customHeight="1" spans="1:2">
      <c r="A202" s="9">
        <v>45126</v>
      </c>
      <c r="B202" s="10">
        <v>19.03</v>
      </c>
    </row>
    <row r="203" customHeight="1" spans="1:2">
      <c r="A203" s="7">
        <v>45127</v>
      </c>
      <c r="B203" s="8">
        <v>18.95</v>
      </c>
    </row>
    <row r="204" customHeight="1" spans="1:2">
      <c r="A204" s="9">
        <v>45128</v>
      </c>
      <c r="B204" s="10">
        <v>18.78</v>
      </c>
    </row>
    <row r="205" customHeight="1" spans="1:2">
      <c r="A205" s="7">
        <v>45129</v>
      </c>
      <c r="B205" s="8">
        <v>18.93</v>
      </c>
    </row>
    <row r="206" customHeight="1" spans="1:2">
      <c r="A206" s="9">
        <v>45130</v>
      </c>
      <c r="B206" s="10">
        <v>19.03</v>
      </c>
    </row>
    <row r="207" customHeight="1" spans="1:2">
      <c r="A207" s="7">
        <v>45131</v>
      </c>
      <c r="B207" s="8">
        <v>19.08</v>
      </c>
    </row>
    <row r="208" customHeight="1" spans="1:2">
      <c r="A208" s="9">
        <v>45132</v>
      </c>
      <c r="B208" s="10">
        <v>19.13</v>
      </c>
    </row>
    <row r="209" customHeight="1" spans="1:2">
      <c r="A209" s="7">
        <v>45133</v>
      </c>
      <c r="B209" s="8">
        <v>19.3</v>
      </c>
    </row>
    <row r="210" customHeight="1" spans="1:2">
      <c r="A210" s="9">
        <v>45134</v>
      </c>
      <c r="B210" s="10">
        <v>19.55</v>
      </c>
    </row>
    <row r="211" customHeight="1" spans="1:2">
      <c r="A211" s="7">
        <v>45135</v>
      </c>
      <c r="B211" s="8">
        <v>19.86</v>
      </c>
    </row>
    <row r="212" customHeight="1" spans="1:2">
      <c r="A212" s="9">
        <v>45136</v>
      </c>
      <c r="B212" s="10">
        <v>20.24</v>
      </c>
    </row>
    <row r="213" customHeight="1" spans="1:2">
      <c r="A213" s="7">
        <v>45137</v>
      </c>
      <c r="B213" s="8">
        <v>20.21</v>
      </c>
    </row>
    <row r="214" customHeight="1" spans="1:2">
      <c r="A214" s="9">
        <v>45138</v>
      </c>
      <c r="B214" s="10">
        <v>20.81</v>
      </c>
    </row>
    <row r="215" customHeight="1" spans="1:2">
      <c r="A215" s="7">
        <v>45139</v>
      </c>
      <c r="B215" s="8">
        <v>21.26</v>
      </c>
    </row>
    <row r="216" customHeight="1" spans="1:2">
      <c r="A216" s="9">
        <v>45140</v>
      </c>
      <c r="B216" s="10">
        <v>21.4</v>
      </c>
    </row>
    <row r="217" customHeight="1" spans="1:2">
      <c r="A217" s="7">
        <v>45141</v>
      </c>
      <c r="B217" s="8">
        <v>21.6</v>
      </c>
    </row>
    <row r="218" customHeight="1" spans="1:2">
      <c r="A218" s="9">
        <v>45142</v>
      </c>
      <c r="B218" s="10">
        <v>22.17</v>
      </c>
    </row>
    <row r="219" customHeight="1" spans="1:2">
      <c r="A219" s="7">
        <v>45143</v>
      </c>
      <c r="B219" s="8">
        <v>22.57</v>
      </c>
    </row>
    <row r="220" customHeight="1" spans="1:2">
      <c r="A220" s="9">
        <v>45144</v>
      </c>
      <c r="B220" s="10">
        <v>22.91</v>
      </c>
    </row>
    <row r="221" customHeight="1" spans="1:2">
      <c r="A221" s="7">
        <v>45145</v>
      </c>
      <c r="B221" s="8">
        <v>22.56</v>
      </c>
    </row>
    <row r="222" customHeight="1" spans="1:2">
      <c r="A222" s="9">
        <v>45146</v>
      </c>
      <c r="B222" s="10">
        <v>22.74</v>
      </c>
    </row>
    <row r="223" customHeight="1" spans="1:2">
      <c r="A223" s="7">
        <v>45147</v>
      </c>
      <c r="B223" s="8">
        <v>22.6</v>
      </c>
    </row>
    <row r="224" customHeight="1" spans="1:2">
      <c r="A224" s="9">
        <v>45148</v>
      </c>
      <c r="B224" s="10">
        <v>22.67</v>
      </c>
    </row>
    <row r="225" customHeight="1" spans="1:2">
      <c r="A225" s="7">
        <v>45149</v>
      </c>
      <c r="B225" s="8">
        <v>22.84</v>
      </c>
    </row>
    <row r="226" customHeight="1" spans="1:2">
      <c r="A226" s="9">
        <v>45150</v>
      </c>
      <c r="B226" s="10">
        <v>23.07</v>
      </c>
    </row>
    <row r="227" customHeight="1" spans="1:2">
      <c r="A227" s="7">
        <v>45151</v>
      </c>
      <c r="B227" s="8">
        <v>23</v>
      </c>
    </row>
    <row r="228" customHeight="1" spans="1:2">
      <c r="A228" s="9">
        <v>45152</v>
      </c>
      <c r="B228" s="10">
        <v>22.7</v>
      </c>
    </row>
    <row r="229" customHeight="1" spans="1:2">
      <c r="A229" s="7">
        <v>45153</v>
      </c>
      <c r="B229" s="8">
        <v>22.66</v>
      </c>
    </row>
    <row r="230" customHeight="1" spans="1:2">
      <c r="A230" s="9">
        <v>45154</v>
      </c>
      <c r="B230" s="10">
        <v>22.47</v>
      </c>
    </row>
    <row r="231" customHeight="1" spans="1:2">
      <c r="A231" s="7">
        <v>45155</v>
      </c>
      <c r="B231" s="8">
        <v>22.48</v>
      </c>
    </row>
    <row r="232" customHeight="1" spans="1:2">
      <c r="A232" s="9">
        <v>45156</v>
      </c>
      <c r="B232" s="10">
        <v>22.64</v>
      </c>
    </row>
    <row r="233" customHeight="1" spans="1:2">
      <c r="A233" s="7">
        <v>45157</v>
      </c>
      <c r="B233" s="8">
        <v>23.04</v>
      </c>
    </row>
    <row r="234" customHeight="1" spans="1:2">
      <c r="A234" s="9">
        <v>45158</v>
      </c>
      <c r="B234" s="10">
        <v>22.83</v>
      </c>
    </row>
    <row r="235" customHeight="1" spans="1:2">
      <c r="A235" s="7">
        <v>45159</v>
      </c>
      <c r="B235" s="8">
        <v>22.62</v>
      </c>
    </row>
    <row r="236" customHeight="1" spans="1:2">
      <c r="A236" s="9">
        <v>45160</v>
      </c>
      <c r="B236" s="10">
        <v>22.49</v>
      </c>
    </row>
    <row r="237" customHeight="1" spans="1:2">
      <c r="A237" s="7">
        <v>45161</v>
      </c>
      <c r="B237" s="8">
        <v>22.53</v>
      </c>
    </row>
    <row r="238" customHeight="1" spans="1:2">
      <c r="A238" s="9">
        <v>45162</v>
      </c>
      <c r="B238" s="10">
        <v>22.65</v>
      </c>
    </row>
    <row r="239" customHeight="1" spans="1:2">
      <c r="A239" s="7">
        <v>45163</v>
      </c>
      <c r="B239" s="8">
        <v>22.66</v>
      </c>
    </row>
    <row r="240" customHeight="1" spans="1:2">
      <c r="A240" s="9">
        <v>45164</v>
      </c>
      <c r="B240" s="10">
        <v>22.84</v>
      </c>
    </row>
    <row r="241" customHeight="1" spans="1:2">
      <c r="A241" s="7">
        <v>45165</v>
      </c>
      <c r="B241" s="8">
        <v>22.65</v>
      </c>
    </row>
    <row r="242" customHeight="1" spans="1:2">
      <c r="A242" s="9">
        <v>45166</v>
      </c>
      <c r="B242" s="10">
        <v>22.78</v>
      </c>
    </row>
    <row r="243" customHeight="1" spans="1:2">
      <c r="A243" s="7">
        <v>45167</v>
      </c>
      <c r="B243" s="8">
        <v>22.63</v>
      </c>
    </row>
    <row r="244" customHeight="1" spans="1:2">
      <c r="A244" s="9">
        <v>45168</v>
      </c>
      <c r="B244" s="10">
        <v>22.53</v>
      </c>
    </row>
    <row r="245" customHeight="1" spans="1:2">
      <c r="A245" s="7">
        <v>45169</v>
      </c>
      <c r="B245" s="8">
        <v>22.78</v>
      </c>
    </row>
    <row r="246" customHeight="1" spans="1:2">
      <c r="A246" s="9">
        <v>45170</v>
      </c>
      <c r="B246" s="10">
        <v>22.66</v>
      </c>
    </row>
    <row r="247" customHeight="1" spans="1:2">
      <c r="A247" s="7">
        <v>45171</v>
      </c>
      <c r="B247" s="8">
        <v>22.73</v>
      </c>
    </row>
    <row r="248" customHeight="1" spans="1:2">
      <c r="A248" s="9">
        <v>45172</v>
      </c>
      <c r="B248" s="10">
        <v>22.73</v>
      </c>
    </row>
    <row r="249" customHeight="1" spans="1:2">
      <c r="A249" s="7">
        <v>45173</v>
      </c>
      <c r="B249" s="8">
        <v>22.74</v>
      </c>
    </row>
    <row r="250" customHeight="1" spans="1:2">
      <c r="A250" s="9">
        <v>45174</v>
      </c>
      <c r="B250" s="10">
        <v>22.57</v>
      </c>
    </row>
    <row r="251" customHeight="1" spans="1:2">
      <c r="A251" s="7">
        <v>45175</v>
      </c>
      <c r="B251" s="8">
        <v>22.42</v>
      </c>
    </row>
    <row r="252" customHeight="1" spans="1:2">
      <c r="A252" s="9">
        <v>45176</v>
      </c>
      <c r="B252" s="10">
        <v>22.35</v>
      </c>
    </row>
    <row r="253" customHeight="1" spans="1:2">
      <c r="A253" s="7">
        <v>45177</v>
      </c>
      <c r="B253" s="8">
        <v>22.44</v>
      </c>
    </row>
    <row r="254" customHeight="1" spans="1:2">
      <c r="A254" s="9">
        <v>45178</v>
      </c>
      <c r="B254" s="10">
        <v>22.74</v>
      </c>
    </row>
    <row r="255" customHeight="1" spans="1:2">
      <c r="A255" s="7">
        <v>45179</v>
      </c>
      <c r="B255" s="8">
        <v>22.43</v>
      </c>
    </row>
    <row r="256" customHeight="1" spans="1:2">
      <c r="A256" s="9">
        <v>45180</v>
      </c>
      <c r="B256" s="10">
        <v>22.42</v>
      </c>
    </row>
    <row r="257" customHeight="1" spans="1:2">
      <c r="A257" s="7">
        <v>45181</v>
      </c>
      <c r="B257" s="8">
        <v>22.31</v>
      </c>
    </row>
    <row r="258" customHeight="1" spans="1:2">
      <c r="A258" s="9">
        <v>45182</v>
      </c>
      <c r="B258" s="10">
        <v>22.31</v>
      </c>
    </row>
    <row r="259" customHeight="1" spans="1:2">
      <c r="A259" s="7">
        <v>45183</v>
      </c>
      <c r="B259" s="8">
        <v>22.23</v>
      </c>
    </row>
    <row r="260" customHeight="1" spans="1:2">
      <c r="A260" s="9">
        <v>45184</v>
      </c>
      <c r="B260" s="10">
        <v>22.29</v>
      </c>
    </row>
    <row r="261" customHeight="1" spans="1:2">
      <c r="A261" s="7">
        <v>45185</v>
      </c>
      <c r="B261" s="8">
        <v>22.5</v>
      </c>
    </row>
    <row r="262" customHeight="1" spans="1:2">
      <c r="A262" s="9">
        <v>45186</v>
      </c>
      <c r="B262" s="10">
        <v>22.39</v>
      </c>
    </row>
    <row r="263" customHeight="1" spans="1:2">
      <c r="A263" s="7">
        <v>45187</v>
      </c>
      <c r="B263" s="8">
        <v>22.28</v>
      </c>
    </row>
    <row r="264" customHeight="1" spans="1:2">
      <c r="A264" s="9">
        <v>45188</v>
      </c>
      <c r="B264" s="10">
        <v>22.32</v>
      </c>
    </row>
    <row r="265" customHeight="1" spans="1:2">
      <c r="A265" s="7">
        <v>45189</v>
      </c>
      <c r="B265" s="8">
        <v>22.17</v>
      </c>
    </row>
    <row r="266" customHeight="1" spans="1:2">
      <c r="A266" s="9">
        <v>45190</v>
      </c>
      <c r="B266" s="10">
        <v>22.28</v>
      </c>
    </row>
    <row r="267" customHeight="1" spans="1:2">
      <c r="A267" s="7">
        <v>45191</v>
      </c>
      <c r="B267" s="8">
        <v>22.17</v>
      </c>
    </row>
    <row r="268" customHeight="1" spans="1:2">
      <c r="A268" s="9">
        <v>45192</v>
      </c>
      <c r="B268" s="10">
        <v>22.26</v>
      </c>
    </row>
    <row r="269" customHeight="1" spans="1:2">
      <c r="A269" s="7">
        <v>45193</v>
      </c>
      <c r="B269" s="8">
        <v>22.37</v>
      </c>
    </row>
    <row r="270" customHeight="1" spans="1:2">
      <c r="A270" s="9">
        <v>45194</v>
      </c>
      <c r="B270" s="10">
        <v>22.36</v>
      </c>
    </row>
    <row r="271" customHeight="1" spans="1:2">
      <c r="A271" s="7">
        <v>45195</v>
      </c>
      <c r="B271" s="8">
        <v>22.32</v>
      </c>
    </row>
    <row r="272" customHeight="1" spans="1:2">
      <c r="A272" s="9">
        <v>45196</v>
      </c>
      <c r="B272" s="10">
        <v>22.14</v>
      </c>
    </row>
    <row r="273" customHeight="1" spans="1:2">
      <c r="A273" s="7">
        <v>45197</v>
      </c>
      <c r="B273" s="8">
        <v>22.04</v>
      </c>
    </row>
    <row r="274" customHeight="1" spans="1:2">
      <c r="A274" s="9">
        <v>45198</v>
      </c>
      <c r="B274" s="10">
        <v>22.43</v>
      </c>
    </row>
    <row r="275" customHeight="1" spans="1:2">
      <c r="A275" s="7">
        <v>45199</v>
      </c>
      <c r="B275" s="8">
        <v>22.16</v>
      </c>
    </row>
    <row r="276" customHeight="1" spans="1:2">
      <c r="A276" s="9">
        <v>45200</v>
      </c>
      <c r="B276" s="10">
        <v>22.23</v>
      </c>
    </row>
    <row r="277" customHeight="1" spans="1:2">
      <c r="A277" s="7">
        <v>45201</v>
      </c>
      <c r="B277" s="8">
        <v>22.27</v>
      </c>
    </row>
    <row r="278" customHeight="1" spans="1:2">
      <c r="A278" s="9">
        <v>45202</v>
      </c>
      <c r="B278" s="10">
        <v>22.11</v>
      </c>
    </row>
    <row r="279" customHeight="1" spans="1:2">
      <c r="A279" s="7">
        <v>45203</v>
      </c>
      <c r="B279" s="8">
        <v>22.16</v>
      </c>
    </row>
    <row r="280" customHeight="1" spans="1:2">
      <c r="A280" s="9">
        <v>45204</v>
      </c>
      <c r="B280" s="10">
        <v>22.19</v>
      </c>
    </row>
    <row r="281" customHeight="1" spans="1:2">
      <c r="A281" s="7">
        <v>45205</v>
      </c>
      <c r="B281" s="8">
        <v>22.23</v>
      </c>
    </row>
    <row r="282" customHeight="1" spans="1:2">
      <c r="A282" s="9">
        <v>45206</v>
      </c>
      <c r="B282" s="10">
        <v>21.82</v>
      </c>
    </row>
    <row r="283" customHeight="1" spans="1:2">
      <c r="A283" s="7">
        <v>45207</v>
      </c>
      <c r="B283" s="8">
        <v>21.96</v>
      </c>
    </row>
    <row r="284" customHeight="1" spans="1:2">
      <c r="A284" s="9">
        <v>45208</v>
      </c>
      <c r="B284" s="10">
        <v>21.8</v>
      </c>
    </row>
    <row r="285" customHeight="1" spans="1:2">
      <c r="A285" s="7">
        <v>45209</v>
      </c>
      <c r="B285" s="8">
        <v>21.82</v>
      </c>
    </row>
    <row r="286" customHeight="1" spans="1:2">
      <c r="A286" s="9">
        <v>45210</v>
      </c>
      <c r="B286" s="10">
        <v>21.69</v>
      </c>
    </row>
    <row r="287" customHeight="1" spans="1:2">
      <c r="A287" s="7">
        <v>45211</v>
      </c>
      <c r="B287" s="8">
        <v>21.77</v>
      </c>
    </row>
    <row r="288" customHeight="1" spans="1:2">
      <c r="A288" s="9">
        <v>45212</v>
      </c>
      <c r="B288" s="10">
        <v>21.7</v>
      </c>
    </row>
    <row r="289" customHeight="1" spans="1:2">
      <c r="A289" s="7">
        <v>45213</v>
      </c>
      <c r="B289" s="8">
        <v>21.38</v>
      </c>
    </row>
    <row r="290" customHeight="1" spans="1:2">
      <c r="A290" s="9">
        <v>45214</v>
      </c>
      <c r="B290" s="10">
        <v>21.59</v>
      </c>
    </row>
    <row r="291" customHeight="1" spans="1:2">
      <c r="A291" s="7">
        <v>45215</v>
      </c>
      <c r="B291" s="8">
        <v>21.52</v>
      </c>
    </row>
    <row r="292" customHeight="1" spans="1:2">
      <c r="A292" s="9">
        <v>45216</v>
      </c>
      <c r="B292" s="10">
        <v>21.44</v>
      </c>
    </row>
    <row r="293" customHeight="1" spans="1:2">
      <c r="A293" s="7">
        <v>45217</v>
      </c>
      <c r="B293" s="8">
        <v>21.56</v>
      </c>
    </row>
    <row r="294" customHeight="1" spans="1:2">
      <c r="A294" s="9">
        <v>45218</v>
      </c>
      <c r="B294" s="10">
        <v>21.32</v>
      </c>
    </row>
    <row r="295" customHeight="1" spans="1:2">
      <c r="A295" s="7">
        <v>45219</v>
      </c>
      <c r="B295" s="8">
        <v>21.29</v>
      </c>
    </row>
    <row r="296" customHeight="1" spans="1:2">
      <c r="A296" s="9">
        <v>45220</v>
      </c>
      <c r="B296" s="10">
        <v>21.32</v>
      </c>
    </row>
    <row r="297" customHeight="1" spans="1:2">
      <c r="A297" s="7">
        <v>45221</v>
      </c>
      <c r="B297" s="8">
        <v>21.23</v>
      </c>
    </row>
    <row r="298" customHeight="1" spans="1:2">
      <c r="A298" s="9">
        <v>45222</v>
      </c>
      <c r="B298" s="10">
        <v>21.04</v>
      </c>
    </row>
    <row r="299" customHeight="1" spans="1:2">
      <c r="A299" s="7">
        <v>45223</v>
      </c>
      <c r="B299" s="8">
        <v>20.95</v>
      </c>
    </row>
    <row r="300" customHeight="1" spans="1:2">
      <c r="A300" s="9">
        <v>45224</v>
      </c>
      <c r="B300" s="10">
        <v>20.97</v>
      </c>
    </row>
    <row r="301" customHeight="1" spans="1:2">
      <c r="A301" s="7">
        <v>45225</v>
      </c>
      <c r="B301" s="8">
        <v>21.38</v>
      </c>
    </row>
    <row r="302" customHeight="1" spans="1:2">
      <c r="A302" s="9">
        <v>45226</v>
      </c>
      <c r="B302" s="10">
        <v>20.81</v>
      </c>
    </row>
    <row r="303" customHeight="1" spans="1:2">
      <c r="A303" s="7">
        <v>45227</v>
      </c>
      <c r="B303" s="8">
        <v>20.85</v>
      </c>
    </row>
    <row r="304" customHeight="1" spans="1:2">
      <c r="A304" s="9">
        <v>45228</v>
      </c>
      <c r="B304" s="10">
        <v>21.17</v>
      </c>
    </row>
    <row r="305" customHeight="1" spans="1:2">
      <c r="A305" s="7">
        <v>45229</v>
      </c>
      <c r="B305" s="8">
        <v>20.54</v>
      </c>
    </row>
    <row r="306" customHeight="1" spans="1:2">
      <c r="A306" s="9">
        <v>45230</v>
      </c>
      <c r="B306" s="10">
        <v>20.7</v>
      </c>
    </row>
    <row r="307" customHeight="1" spans="1:2">
      <c r="A307" s="7">
        <v>45231</v>
      </c>
      <c r="B307" s="8">
        <v>20.69</v>
      </c>
    </row>
    <row r="308" customHeight="1" spans="1:2">
      <c r="A308" s="9">
        <v>45232</v>
      </c>
      <c r="B308" s="10">
        <v>20.55</v>
      </c>
    </row>
    <row r="309" customHeight="1" spans="1:2">
      <c r="A309" s="7">
        <v>45233</v>
      </c>
      <c r="B309" s="8">
        <v>20.81</v>
      </c>
    </row>
    <row r="310" customHeight="1" spans="1:2">
      <c r="A310" s="9">
        <v>45234</v>
      </c>
      <c r="B310" s="10">
        <v>20.51</v>
      </c>
    </row>
    <row r="311" customHeight="1" spans="1:2">
      <c r="A311" s="7">
        <v>45235</v>
      </c>
      <c r="B311" s="8">
        <v>20.52</v>
      </c>
    </row>
    <row r="312" customHeight="1" spans="1:2">
      <c r="A312" s="9">
        <v>45236</v>
      </c>
      <c r="B312" s="10">
        <v>20.44</v>
      </c>
    </row>
    <row r="313" customHeight="1" spans="1:2">
      <c r="A313" s="7">
        <v>45237</v>
      </c>
      <c r="B313" s="8">
        <v>20.49</v>
      </c>
    </row>
    <row r="314" customHeight="1" spans="1:2">
      <c r="A314" s="9">
        <v>45238</v>
      </c>
      <c r="B314" s="10">
        <v>20.41</v>
      </c>
    </row>
    <row r="315" customHeight="1" spans="1:2">
      <c r="A315" s="7">
        <v>45239</v>
      </c>
      <c r="B315" s="8">
        <v>20.57</v>
      </c>
    </row>
    <row r="316" customHeight="1" spans="1:2">
      <c r="A316" s="9">
        <v>45240</v>
      </c>
      <c r="B316" s="10">
        <v>20.48</v>
      </c>
    </row>
    <row r="317" customHeight="1" spans="1:2">
      <c r="A317" s="7">
        <v>45241</v>
      </c>
      <c r="B317" s="8">
        <v>20.34</v>
      </c>
    </row>
    <row r="318" customHeight="1" spans="1:2">
      <c r="A318" s="9">
        <v>45242</v>
      </c>
      <c r="B318" s="10">
        <v>20.48</v>
      </c>
    </row>
    <row r="319" customHeight="1" spans="1:2">
      <c r="A319" s="7">
        <v>45243</v>
      </c>
      <c r="B319" s="8">
        <v>20.25</v>
      </c>
    </row>
    <row r="320" customHeight="1" spans="1:2">
      <c r="A320" s="9">
        <v>45244</v>
      </c>
      <c r="B320" s="10">
        <v>20.26</v>
      </c>
    </row>
    <row r="321" customHeight="1" spans="1:2">
      <c r="A321" s="7">
        <v>45245</v>
      </c>
      <c r="B321" s="8">
        <v>20.27</v>
      </c>
    </row>
    <row r="322" customHeight="1" spans="1:2">
      <c r="A322" s="9">
        <v>45246</v>
      </c>
      <c r="B322" s="10">
        <v>20.07</v>
      </c>
    </row>
    <row r="323" customHeight="1" spans="1:2">
      <c r="A323" s="7">
        <v>45247</v>
      </c>
      <c r="B323" s="8">
        <v>20.26</v>
      </c>
    </row>
    <row r="324" customHeight="1" spans="1:2">
      <c r="A324" s="9">
        <v>45248</v>
      </c>
      <c r="B324" s="10">
        <v>20.26</v>
      </c>
    </row>
    <row r="325" customHeight="1" spans="1:2">
      <c r="A325" s="7">
        <v>45249</v>
      </c>
      <c r="B325" s="8">
        <v>19.92</v>
      </c>
    </row>
    <row r="326" customHeight="1" spans="1:2">
      <c r="A326" s="9">
        <v>45250</v>
      </c>
      <c r="B326" s="10">
        <v>20.43</v>
      </c>
    </row>
    <row r="327" customHeight="1" spans="1:2">
      <c r="A327" s="7">
        <v>45251</v>
      </c>
      <c r="B327" s="8">
        <v>20.15</v>
      </c>
    </row>
    <row r="328" customHeight="1" spans="1:2">
      <c r="A328" s="9">
        <v>45252</v>
      </c>
      <c r="B328" s="10">
        <v>20.26</v>
      </c>
    </row>
    <row r="329" customHeight="1" spans="1:2">
      <c r="A329" s="7">
        <v>45253</v>
      </c>
      <c r="B329" s="8">
        <v>20.16</v>
      </c>
    </row>
    <row r="330" customHeight="1" spans="1:2">
      <c r="A330" s="9">
        <v>45254</v>
      </c>
      <c r="B330" s="10">
        <v>19.89</v>
      </c>
    </row>
    <row r="331" customHeight="1" spans="1:2">
      <c r="A331" s="7">
        <v>45255</v>
      </c>
      <c r="B331" s="8">
        <v>20.11</v>
      </c>
    </row>
    <row r="332" customHeight="1" spans="1:2">
      <c r="A332" s="9">
        <v>45256</v>
      </c>
      <c r="B332" s="10">
        <v>20.14</v>
      </c>
    </row>
    <row r="333" customHeight="1" spans="1:2">
      <c r="A333" s="7">
        <v>45257</v>
      </c>
      <c r="B333" s="8">
        <v>20.27</v>
      </c>
    </row>
    <row r="334" customHeight="1" spans="1:2">
      <c r="A334" s="9">
        <v>45258</v>
      </c>
      <c r="B334" s="10">
        <v>20.41</v>
      </c>
    </row>
    <row r="335" customHeight="1" spans="1:2">
      <c r="A335" s="7">
        <v>45259</v>
      </c>
      <c r="B335" s="8">
        <v>20.05</v>
      </c>
    </row>
    <row r="336" customHeight="1" spans="1:2">
      <c r="A336" s="9">
        <v>45260</v>
      </c>
      <c r="B336" s="10">
        <v>20.19</v>
      </c>
    </row>
    <row r="337" customHeight="1" spans="1:2">
      <c r="A337" s="7">
        <v>45261</v>
      </c>
      <c r="B337" s="8">
        <v>20.19</v>
      </c>
    </row>
    <row r="338" customHeight="1" spans="1:2">
      <c r="A338" s="9">
        <v>45262</v>
      </c>
      <c r="B338" s="10">
        <v>20.17</v>
      </c>
    </row>
    <row r="339" customHeight="1" spans="1:2">
      <c r="A339" s="7">
        <v>45263</v>
      </c>
      <c r="B339" s="8">
        <v>19.92</v>
      </c>
    </row>
    <row r="340" customHeight="1" spans="1:2">
      <c r="A340" s="9">
        <v>45264</v>
      </c>
      <c r="B340" s="10">
        <v>20.14</v>
      </c>
    </row>
    <row r="341" customHeight="1" spans="1:2">
      <c r="A341" s="7">
        <v>45265</v>
      </c>
      <c r="B341" s="8">
        <v>20.16</v>
      </c>
    </row>
    <row r="342" customHeight="1" spans="1:2">
      <c r="A342" s="9">
        <v>45266</v>
      </c>
      <c r="B342" s="10">
        <v>20.06</v>
      </c>
    </row>
    <row r="343" customHeight="1" spans="1:2">
      <c r="A343" s="7">
        <v>45267</v>
      </c>
      <c r="B343" s="8">
        <v>19.96</v>
      </c>
    </row>
    <row r="344" customHeight="1" spans="1:2">
      <c r="A344" s="9">
        <v>45268</v>
      </c>
      <c r="B344" s="10">
        <v>20.02</v>
      </c>
    </row>
    <row r="345" customHeight="1" spans="1:2">
      <c r="A345" s="7">
        <v>45269</v>
      </c>
      <c r="B345" s="8">
        <v>19.88</v>
      </c>
    </row>
    <row r="346" customHeight="1" spans="1:2">
      <c r="A346" s="9">
        <v>45270</v>
      </c>
      <c r="B346" s="10">
        <v>19.83</v>
      </c>
    </row>
    <row r="347" customHeight="1" spans="1:2">
      <c r="A347" s="7">
        <v>45271</v>
      </c>
      <c r="B347" s="8">
        <v>19.83</v>
      </c>
    </row>
    <row r="348" customHeight="1" spans="1:2">
      <c r="A348" s="9">
        <v>45272</v>
      </c>
      <c r="B348" s="10">
        <v>19.89</v>
      </c>
    </row>
    <row r="349" customHeight="1" spans="1:2">
      <c r="A349" s="7">
        <v>45273</v>
      </c>
      <c r="B349" s="8">
        <v>19.93</v>
      </c>
    </row>
    <row r="350" customHeight="1" spans="1:2">
      <c r="A350" s="9">
        <v>45274</v>
      </c>
      <c r="B350" s="10">
        <v>20.02</v>
      </c>
    </row>
    <row r="351" customHeight="1" spans="1:2">
      <c r="A351" s="7">
        <v>45275</v>
      </c>
      <c r="B351" s="8">
        <v>20.06</v>
      </c>
    </row>
    <row r="352" customHeight="1" spans="1:2">
      <c r="A352" s="9">
        <v>45276</v>
      </c>
      <c r="B352" s="10">
        <v>20.24</v>
      </c>
    </row>
    <row r="353" customHeight="1" spans="1:2">
      <c r="A353" s="7">
        <v>45277</v>
      </c>
      <c r="B353" s="8">
        <v>20.14</v>
      </c>
    </row>
    <row r="354" customHeight="1" spans="1:2">
      <c r="A354" s="9">
        <v>45278</v>
      </c>
      <c r="B354" s="10">
        <v>20.12</v>
      </c>
    </row>
    <row r="355" customHeight="1" spans="1:2">
      <c r="A355" s="7">
        <v>45279</v>
      </c>
      <c r="B355" s="8">
        <v>20.24</v>
      </c>
    </row>
    <row r="356" customHeight="1" spans="1:2">
      <c r="A356" s="9">
        <v>45280</v>
      </c>
      <c r="B356" s="10">
        <v>20.39</v>
      </c>
    </row>
    <row r="357" customHeight="1" spans="1:2">
      <c r="A357" s="7">
        <v>45281</v>
      </c>
      <c r="B357" s="8">
        <v>20.54</v>
      </c>
    </row>
    <row r="358" customHeight="1" spans="1:2">
      <c r="A358" s="9">
        <v>45282</v>
      </c>
      <c r="B358" s="10">
        <v>20.62</v>
      </c>
    </row>
    <row r="359" customHeight="1" spans="1:2">
      <c r="A359" s="7">
        <v>45283</v>
      </c>
      <c r="B359" s="8">
        <v>20.7</v>
      </c>
    </row>
    <row r="360" customHeight="1" spans="1:2">
      <c r="A360" s="9">
        <v>45284</v>
      </c>
      <c r="B360" s="10">
        <v>20.62</v>
      </c>
    </row>
    <row r="361" customHeight="1" spans="1:2">
      <c r="A361" s="7">
        <v>45285</v>
      </c>
      <c r="B361" s="8">
        <v>20.51</v>
      </c>
    </row>
    <row r="362" customHeight="1" spans="1:2">
      <c r="A362" s="9">
        <v>45286</v>
      </c>
      <c r="B362" s="10">
        <v>20.45</v>
      </c>
    </row>
    <row r="363" customHeight="1" spans="1:2">
      <c r="A363" s="7">
        <v>45287</v>
      </c>
      <c r="B363" s="8">
        <v>20.3</v>
      </c>
    </row>
    <row r="364" customHeight="1" spans="1:2">
      <c r="A364" s="9">
        <v>45288</v>
      </c>
      <c r="B364" s="10">
        <v>20.47</v>
      </c>
    </row>
    <row r="365" customHeight="1" spans="1:2">
      <c r="A365" s="7">
        <v>45289</v>
      </c>
      <c r="B365" s="8">
        <v>20.45</v>
      </c>
    </row>
    <row r="366" customHeight="1" spans="1:2">
      <c r="A366" s="9">
        <v>45290</v>
      </c>
      <c r="B366" s="10">
        <v>20.46</v>
      </c>
    </row>
    <row r="367" customHeight="1" spans="1:2">
      <c r="A367" s="7">
        <v>45291</v>
      </c>
      <c r="B367" s="8">
        <v>20.19</v>
      </c>
    </row>
    <row r="368" customHeight="1" spans="1:2">
      <c r="A368" s="9">
        <v>45292</v>
      </c>
      <c r="B368" s="10">
        <v>20.11</v>
      </c>
    </row>
    <row r="369" customHeight="1" spans="1:2">
      <c r="A369" s="7">
        <v>45293</v>
      </c>
      <c r="B369" s="8">
        <v>20.26</v>
      </c>
    </row>
    <row r="370" customHeight="1" spans="1:2">
      <c r="A370" s="9">
        <v>45294</v>
      </c>
      <c r="B370" s="10">
        <v>20.28</v>
      </c>
    </row>
    <row r="371" customHeight="1" spans="1:2">
      <c r="A371" s="7">
        <v>45295</v>
      </c>
      <c r="B371" s="8">
        <v>20.23</v>
      </c>
    </row>
    <row r="372" customHeight="1" spans="1:2">
      <c r="A372" s="9">
        <v>45296</v>
      </c>
      <c r="B372" s="10">
        <v>20.04</v>
      </c>
    </row>
    <row r="373" customHeight="1" spans="1:2">
      <c r="A373" s="7">
        <v>45297</v>
      </c>
      <c r="B373" s="8">
        <v>19.95</v>
      </c>
    </row>
    <row r="374" customHeight="1" spans="1:2">
      <c r="A374" s="9">
        <v>45298</v>
      </c>
      <c r="B374" s="10">
        <v>20.03</v>
      </c>
    </row>
    <row r="375" customHeight="1" spans="1:2">
      <c r="A375" s="7">
        <v>45299</v>
      </c>
      <c r="B375" s="8">
        <v>19.79</v>
      </c>
    </row>
    <row r="376" customHeight="1" spans="1:2">
      <c r="A376" s="9">
        <v>45300</v>
      </c>
      <c r="B376" s="10">
        <v>19.83</v>
      </c>
    </row>
    <row r="377" customHeight="1" spans="1:2">
      <c r="A377" s="7">
        <v>45301</v>
      </c>
      <c r="B377" s="8">
        <v>19.83</v>
      </c>
    </row>
    <row r="378" customHeight="1" spans="1:2">
      <c r="A378" s="9">
        <v>45302</v>
      </c>
      <c r="B378" s="10">
        <v>19.81</v>
      </c>
    </row>
    <row r="379" customHeight="1" spans="1:2">
      <c r="A379" s="7">
        <v>45303</v>
      </c>
      <c r="B379" s="8">
        <v>19.62</v>
      </c>
    </row>
    <row r="380" customHeight="1" spans="1:2">
      <c r="A380" s="9">
        <v>45304</v>
      </c>
      <c r="B380" s="10">
        <v>19.72</v>
      </c>
    </row>
    <row r="381" customHeight="1" spans="1:2">
      <c r="A381" s="7">
        <v>45305</v>
      </c>
      <c r="B381" s="8">
        <v>19.76</v>
      </c>
    </row>
    <row r="382" customHeight="1" spans="1:2">
      <c r="A382" s="9">
        <v>45306</v>
      </c>
      <c r="B382" s="10">
        <v>19.78</v>
      </c>
    </row>
    <row r="383" customHeight="1" spans="1:2">
      <c r="A383" s="7">
        <v>45307</v>
      </c>
      <c r="B383" s="8">
        <v>19.71</v>
      </c>
    </row>
    <row r="384" customHeight="1" spans="1:2">
      <c r="A384" s="9">
        <v>45308</v>
      </c>
      <c r="B384" s="10">
        <v>19.84</v>
      </c>
    </row>
    <row r="385" customHeight="1" spans="1:2">
      <c r="A385" s="7">
        <v>45309</v>
      </c>
      <c r="B385" s="8">
        <v>19.97</v>
      </c>
    </row>
    <row r="386" customHeight="1" spans="1:2">
      <c r="A386" s="9">
        <v>45310</v>
      </c>
      <c r="B386" s="10">
        <v>19.89</v>
      </c>
    </row>
    <row r="387" customHeight="1" spans="1:2">
      <c r="A387" s="7">
        <v>45311</v>
      </c>
      <c r="B387" s="8">
        <v>19.9</v>
      </c>
    </row>
    <row r="388" customHeight="1" spans="1:2">
      <c r="A388" s="9">
        <v>45312</v>
      </c>
      <c r="B388" s="10">
        <v>19.59</v>
      </c>
    </row>
    <row r="389" customHeight="1" spans="1:2">
      <c r="A389" s="7">
        <v>45313</v>
      </c>
      <c r="B389" s="8">
        <v>19.85</v>
      </c>
    </row>
    <row r="390" customHeight="1" spans="1:2">
      <c r="A390" s="9">
        <v>45314</v>
      </c>
      <c r="B390" s="10">
        <v>19.81</v>
      </c>
    </row>
    <row r="391" customHeight="1" spans="1:2">
      <c r="A391" s="7">
        <v>45315</v>
      </c>
      <c r="B391" s="8">
        <v>20.11</v>
      </c>
    </row>
    <row r="392" customHeight="1" spans="1:2">
      <c r="A392" s="9">
        <v>45316</v>
      </c>
      <c r="B392" s="10">
        <v>20.05</v>
      </c>
    </row>
    <row r="393" customHeight="1" spans="1:2">
      <c r="A393" s="7">
        <v>45317</v>
      </c>
      <c r="B393" s="8">
        <v>20.37</v>
      </c>
    </row>
    <row r="394" customHeight="1" spans="1:2">
      <c r="A394" s="9">
        <v>45318</v>
      </c>
      <c r="B394" s="10">
        <v>20.46</v>
      </c>
    </row>
    <row r="395" customHeight="1" spans="1:2">
      <c r="A395" s="7">
        <v>45319</v>
      </c>
      <c r="B395" s="8">
        <v>20.6</v>
      </c>
    </row>
    <row r="396" customHeight="1" spans="1:2">
      <c r="A396" s="9">
        <v>45320</v>
      </c>
      <c r="B396" s="10">
        <v>20.62</v>
      </c>
    </row>
    <row r="397" customHeight="1" spans="1:2">
      <c r="A397" s="7">
        <v>45321</v>
      </c>
      <c r="B397" s="8">
        <v>21.19</v>
      </c>
    </row>
    <row r="398" customHeight="1" spans="1:2">
      <c r="A398" s="9">
        <v>45322</v>
      </c>
      <c r="B398" s="10">
        <v>21.2</v>
      </c>
    </row>
    <row r="399" customHeight="1" spans="1:2">
      <c r="A399" s="7">
        <v>45323</v>
      </c>
      <c r="B399" s="8">
        <v>21.55</v>
      </c>
    </row>
    <row r="400" customHeight="1" spans="1:2">
      <c r="A400" s="9">
        <v>45324</v>
      </c>
      <c r="B400" s="10">
        <v>21.79</v>
      </c>
    </row>
    <row r="401" customHeight="1" spans="1:2">
      <c r="A401" s="7">
        <v>45325</v>
      </c>
      <c r="B401" s="8">
        <v>22.14</v>
      </c>
    </row>
    <row r="402" customHeight="1" spans="1:2">
      <c r="A402" s="9">
        <v>45326</v>
      </c>
      <c r="B402" s="10">
        <v>22.17</v>
      </c>
    </row>
    <row r="403" customHeight="1" spans="1:2">
      <c r="A403" s="7">
        <v>45327</v>
      </c>
      <c r="B403" s="8">
        <v>22.45</v>
      </c>
    </row>
    <row r="404" customHeight="1" spans="1:2">
      <c r="A404" s="9">
        <v>45328</v>
      </c>
      <c r="B404" s="10">
        <v>22.79</v>
      </c>
    </row>
    <row r="405" customHeight="1" spans="1:2">
      <c r="A405" s="7">
        <v>45329</v>
      </c>
      <c r="B405" s="8">
        <v>22.91</v>
      </c>
    </row>
    <row r="406" customHeight="1" spans="1:2">
      <c r="A406" s="9">
        <v>45330</v>
      </c>
      <c r="B406" s="10">
        <v>22.97</v>
      </c>
    </row>
    <row r="407" customHeight="1" spans="1:2">
      <c r="A407" s="7">
        <v>45331</v>
      </c>
      <c r="B407" s="8">
        <v>22.96</v>
      </c>
    </row>
    <row r="408" customHeight="1" spans="1:2">
      <c r="A408" s="9">
        <v>45332</v>
      </c>
      <c r="B408" s="10">
        <v>22.69</v>
      </c>
    </row>
    <row r="409" customHeight="1" spans="1:2">
      <c r="A409" s="7">
        <v>45333</v>
      </c>
      <c r="B409" s="8">
        <v>23.01</v>
      </c>
    </row>
    <row r="410" customHeight="1" spans="1:2">
      <c r="A410" s="9">
        <v>45334</v>
      </c>
      <c r="B410" s="10">
        <v>23.62</v>
      </c>
    </row>
    <row r="411" customHeight="1" spans="1:2">
      <c r="A411" s="7">
        <v>45335</v>
      </c>
      <c r="B411" s="8">
        <v>23.06</v>
      </c>
    </row>
    <row r="412" customHeight="1" spans="1:2">
      <c r="A412" s="9">
        <v>45336</v>
      </c>
      <c r="B412" s="10">
        <v>23.22</v>
      </c>
    </row>
    <row r="413" customHeight="1" spans="1:2">
      <c r="A413" s="7">
        <v>45337</v>
      </c>
      <c r="B413" s="8">
        <v>23.28</v>
      </c>
    </row>
    <row r="414" customHeight="1" spans="1:2">
      <c r="A414" s="9">
        <v>45338</v>
      </c>
      <c r="B414" s="10">
        <v>23.25</v>
      </c>
    </row>
    <row r="415" customHeight="1" spans="1:2">
      <c r="A415" s="7">
        <v>45339</v>
      </c>
      <c r="B415" s="8">
        <v>23.03</v>
      </c>
    </row>
    <row r="416" customHeight="1" spans="1:2">
      <c r="A416" s="9">
        <v>45340</v>
      </c>
      <c r="B416" s="10">
        <v>22.37</v>
      </c>
    </row>
    <row r="417" customHeight="1" spans="1:2">
      <c r="A417" s="7">
        <v>45341</v>
      </c>
      <c r="B417" s="8">
        <v>22.05</v>
      </c>
    </row>
    <row r="418" customHeight="1" spans="1:2">
      <c r="A418" s="9">
        <v>45342</v>
      </c>
      <c r="B418" s="10">
        <v>21.37</v>
      </c>
    </row>
    <row r="419" customHeight="1" spans="1:2">
      <c r="A419" s="7">
        <v>45343</v>
      </c>
      <c r="B419" s="8">
        <v>21.08</v>
      </c>
    </row>
    <row r="420" customHeight="1" spans="1:2">
      <c r="A420" s="9">
        <v>45344</v>
      </c>
      <c r="B420" s="10">
        <v>21.07</v>
      </c>
    </row>
    <row r="421" customHeight="1" spans="1:2">
      <c r="A421" s="7">
        <v>45345</v>
      </c>
      <c r="B421" s="8">
        <v>20.93</v>
      </c>
    </row>
    <row r="422" customHeight="1" spans="1:2">
      <c r="A422" s="9">
        <v>45346</v>
      </c>
      <c r="B422" s="10">
        <v>20.83</v>
      </c>
    </row>
    <row r="423" customHeight="1" spans="1:2">
      <c r="A423" s="7">
        <v>45347</v>
      </c>
      <c r="B423" s="8">
        <v>20.68</v>
      </c>
    </row>
    <row r="424" customHeight="1" spans="1:2">
      <c r="A424" s="9">
        <v>45348</v>
      </c>
      <c r="B424" s="10">
        <v>20.67</v>
      </c>
    </row>
    <row r="425" customHeight="1" spans="1:2">
      <c r="A425" s="7">
        <v>45349</v>
      </c>
      <c r="B425" s="8">
        <v>20.42</v>
      </c>
    </row>
    <row r="426" customHeight="1" spans="1:2">
      <c r="A426" s="9">
        <v>45350</v>
      </c>
      <c r="B426" s="10">
        <v>20.31</v>
      </c>
    </row>
    <row r="427" customHeight="1" spans="1:2">
      <c r="A427" s="7">
        <v>45351</v>
      </c>
      <c r="B427" s="8">
        <v>20.36</v>
      </c>
    </row>
    <row r="428" customHeight="1" spans="1:2">
      <c r="A428" s="9">
        <v>45352</v>
      </c>
      <c r="B428" s="10">
        <v>20.14</v>
      </c>
    </row>
    <row r="429" customHeight="1" spans="1:2">
      <c r="A429" s="7">
        <v>45353</v>
      </c>
      <c r="B429" s="8">
        <v>20.1</v>
      </c>
    </row>
    <row r="430" customHeight="1" spans="1:2">
      <c r="A430" s="9">
        <v>45354</v>
      </c>
      <c r="B430" s="10">
        <v>20.21</v>
      </c>
    </row>
    <row r="431" customHeight="1" spans="1:2">
      <c r="A431" s="7">
        <v>45355</v>
      </c>
      <c r="B431" s="8">
        <v>20.03</v>
      </c>
    </row>
    <row r="432" customHeight="1" spans="1:2">
      <c r="A432" s="9">
        <v>45356</v>
      </c>
      <c r="B432" s="10">
        <v>20.07</v>
      </c>
    </row>
    <row r="433" customHeight="1" spans="1:2">
      <c r="A433" s="7">
        <v>45357</v>
      </c>
      <c r="B433" s="8">
        <v>20.14</v>
      </c>
    </row>
    <row r="434" customHeight="1" spans="1:2">
      <c r="A434" s="9">
        <v>45358</v>
      </c>
      <c r="B434" s="10">
        <v>20.17</v>
      </c>
    </row>
    <row r="435" customHeight="1" spans="1:2">
      <c r="A435" s="7">
        <v>45359</v>
      </c>
      <c r="B435" s="8">
        <v>19.78</v>
      </c>
    </row>
    <row r="436" customHeight="1" spans="1:2">
      <c r="A436" s="9">
        <v>45360</v>
      </c>
      <c r="B436" s="10">
        <v>19.96</v>
      </c>
    </row>
    <row r="437" customHeight="1" spans="1:2">
      <c r="A437" s="7">
        <v>45361</v>
      </c>
      <c r="B437" s="8">
        <v>19.84</v>
      </c>
    </row>
    <row r="438" customHeight="1" spans="1:2">
      <c r="A438" s="9">
        <v>45362</v>
      </c>
      <c r="B438" s="10">
        <v>19.89</v>
      </c>
    </row>
    <row r="439" customHeight="1" spans="1:2">
      <c r="A439" s="7">
        <v>45363</v>
      </c>
      <c r="B439" s="8">
        <v>19.96</v>
      </c>
    </row>
    <row r="440" customHeight="1" spans="1:2">
      <c r="A440" s="9">
        <v>45364</v>
      </c>
      <c r="B440" s="10">
        <v>20.01</v>
      </c>
    </row>
    <row r="441" customHeight="1" spans="1:2">
      <c r="A441" s="7">
        <v>45365</v>
      </c>
      <c r="B441" s="8">
        <v>20.12</v>
      </c>
    </row>
    <row r="442" customHeight="1" spans="1:2">
      <c r="A442" s="9">
        <v>45366</v>
      </c>
      <c r="B442" s="10">
        <v>20.27</v>
      </c>
    </row>
    <row r="443" customHeight="1" spans="1:2">
      <c r="A443" s="7">
        <v>45367</v>
      </c>
      <c r="B443" s="8">
        <v>20.18</v>
      </c>
    </row>
    <row r="444" customHeight="1" spans="1:2">
      <c r="A444" s="9">
        <v>45368</v>
      </c>
      <c r="B444" s="10">
        <v>20.25</v>
      </c>
    </row>
    <row r="445" customHeight="1" spans="1:2">
      <c r="A445" s="7">
        <v>45369</v>
      </c>
      <c r="B445" s="8">
        <v>20.08</v>
      </c>
    </row>
    <row r="446" customHeight="1" spans="1:2">
      <c r="A446" s="9">
        <v>45370</v>
      </c>
      <c r="B446" s="10">
        <v>20.11</v>
      </c>
    </row>
    <row r="447" customHeight="1" spans="1:2">
      <c r="A447" s="7">
        <v>45371</v>
      </c>
      <c r="B447" s="8">
        <v>20.06</v>
      </c>
    </row>
    <row r="448" customHeight="1" spans="1:2">
      <c r="A448" s="9">
        <v>45372</v>
      </c>
      <c r="B448" s="10">
        <v>20.21</v>
      </c>
    </row>
    <row r="449" customHeight="1" spans="1:2">
      <c r="A449" s="7">
        <v>45373</v>
      </c>
      <c r="B449" s="8">
        <v>20.31</v>
      </c>
    </row>
    <row r="450" customHeight="1" spans="1:2">
      <c r="A450" s="9">
        <v>45374</v>
      </c>
      <c r="B450" s="10">
        <v>20.4</v>
      </c>
    </row>
    <row r="451" customHeight="1" spans="1:2">
      <c r="A451" s="7">
        <v>45375</v>
      </c>
      <c r="B451" s="8">
        <v>20.33</v>
      </c>
    </row>
    <row r="452" customHeight="1" spans="1:2">
      <c r="A452" s="9">
        <v>45376</v>
      </c>
      <c r="B452" s="10">
        <v>20.26</v>
      </c>
    </row>
    <row r="453" customHeight="1" spans="1:2">
      <c r="A453" s="7">
        <v>45377</v>
      </c>
      <c r="B453" s="8">
        <v>20.53</v>
      </c>
    </row>
    <row r="454" customHeight="1" spans="1:2">
      <c r="A454" s="9">
        <v>45378</v>
      </c>
      <c r="B454" s="10">
        <v>20.34</v>
      </c>
    </row>
    <row r="455" customHeight="1" spans="1:2">
      <c r="A455" s="7">
        <v>45379</v>
      </c>
      <c r="B455" s="8">
        <v>20.41</v>
      </c>
    </row>
    <row r="456" customHeight="1" spans="1:2">
      <c r="A456" s="9">
        <v>45380</v>
      </c>
      <c r="B456" s="10">
        <v>20.46</v>
      </c>
    </row>
    <row r="457" customHeight="1" spans="1:2">
      <c r="A457" s="7">
        <v>45381</v>
      </c>
      <c r="B457" s="8">
        <v>20.46</v>
      </c>
    </row>
    <row r="458" customHeight="1" spans="1:2">
      <c r="A458" s="9">
        <v>45382</v>
      </c>
      <c r="B458" s="10">
        <v>20.44</v>
      </c>
    </row>
    <row r="459" customHeight="1" spans="1:2">
      <c r="A459" s="7">
        <v>45383</v>
      </c>
      <c r="B459" s="8">
        <v>20.49</v>
      </c>
    </row>
    <row r="460" customHeight="1" spans="1:2">
      <c r="A460" s="9">
        <v>45384</v>
      </c>
      <c r="B460" s="10">
        <v>20.39</v>
      </c>
    </row>
    <row r="461" customHeight="1" spans="1:2">
      <c r="A461" s="7">
        <v>45385</v>
      </c>
      <c r="B461" s="8">
        <v>20.37</v>
      </c>
    </row>
    <row r="462" customHeight="1" spans="1:2">
      <c r="A462" s="9">
        <v>45386</v>
      </c>
      <c r="B462" s="10">
        <v>20.34</v>
      </c>
    </row>
    <row r="463" customHeight="1" spans="1:2">
      <c r="A463" s="7">
        <v>45387</v>
      </c>
      <c r="B463" s="8">
        <v>20.45</v>
      </c>
    </row>
    <row r="464" customHeight="1" spans="1:2">
      <c r="A464" s="9">
        <v>45388</v>
      </c>
      <c r="B464" s="10">
        <v>20.28</v>
      </c>
    </row>
    <row r="465" customHeight="1" spans="1:2">
      <c r="A465" s="7">
        <v>45389</v>
      </c>
      <c r="B465" s="8">
        <v>20.44</v>
      </c>
    </row>
    <row r="466" customHeight="1" spans="1:2">
      <c r="A466" s="9">
        <v>45390</v>
      </c>
      <c r="B466" s="10">
        <v>20.46</v>
      </c>
    </row>
    <row r="467" customHeight="1" spans="1:2">
      <c r="A467" s="7">
        <v>45391</v>
      </c>
      <c r="B467" s="8">
        <v>20.46</v>
      </c>
    </row>
    <row r="468" customHeight="1" spans="1:2">
      <c r="A468" s="9">
        <v>45392</v>
      </c>
      <c r="B468" s="10">
        <v>20.45</v>
      </c>
    </row>
    <row r="469" customHeight="1" spans="1:2">
      <c r="A469" s="7">
        <v>45393</v>
      </c>
      <c r="B469" s="8">
        <v>20.62</v>
      </c>
    </row>
    <row r="470" customHeight="1" spans="1:2">
      <c r="A470" s="9">
        <v>45394</v>
      </c>
      <c r="B470" s="10">
        <v>20.51</v>
      </c>
    </row>
    <row r="471" customHeight="1" spans="1:2">
      <c r="A471" s="7">
        <v>45395</v>
      </c>
      <c r="B471" s="8">
        <v>20.61</v>
      </c>
    </row>
    <row r="472" customHeight="1" spans="1:2">
      <c r="A472" s="9">
        <v>45396</v>
      </c>
      <c r="B472" s="10">
        <v>20.66</v>
      </c>
    </row>
    <row r="473" customHeight="1" spans="1:2">
      <c r="A473" s="7">
        <v>45397</v>
      </c>
      <c r="B473" s="8">
        <v>20.65</v>
      </c>
    </row>
    <row r="474" customHeight="1" spans="1:2">
      <c r="A474" s="9">
        <v>45398</v>
      </c>
      <c r="B474" s="10">
        <v>20.67</v>
      </c>
    </row>
    <row r="475" customHeight="1" spans="1:2">
      <c r="A475" s="7">
        <v>45399</v>
      </c>
      <c r="B475" s="8">
        <v>20.71</v>
      </c>
    </row>
    <row r="476" customHeight="1" spans="1:2">
      <c r="A476" s="9">
        <v>45400</v>
      </c>
      <c r="B476" s="10">
        <v>20.72</v>
      </c>
    </row>
    <row r="477" customHeight="1" spans="1:2">
      <c r="A477" s="7">
        <v>45401</v>
      </c>
      <c r="B477" s="8">
        <v>20.55</v>
      </c>
    </row>
    <row r="478" customHeight="1" spans="1:2">
      <c r="A478" s="9">
        <v>45402</v>
      </c>
      <c r="B478" s="10">
        <v>20.59</v>
      </c>
    </row>
    <row r="479" customHeight="1" spans="1:2">
      <c r="A479" s="7">
        <v>45403</v>
      </c>
      <c r="B479" s="8">
        <v>20.53</v>
      </c>
    </row>
    <row r="480" customHeight="1" spans="1:2">
      <c r="A480" s="9">
        <v>45404</v>
      </c>
      <c r="B480" s="11">
        <v>20.52</v>
      </c>
    </row>
    <row r="481" customHeight="1" spans="1:2">
      <c r="A481" s="7">
        <v>45405</v>
      </c>
      <c r="B481" s="8">
        <v>20.59</v>
      </c>
    </row>
    <row r="482" customHeight="1" spans="1:2">
      <c r="A482" s="9">
        <v>45406</v>
      </c>
      <c r="B482" s="10">
        <v>20.69</v>
      </c>
    </row>
    <row r="483" customHeight="1" spans="1:2">
      <c r="A483" s="7">
        <v>45407</v>
      </c>
      <c r="B483" s="8">
        <v>20.54</v>
      </c>
    </row>
    <row r="484" customHeight="1" spans="1:2">
      <c r="A484" s="9">
        <v>45408</v>
      </c>
      <c r="B484" s="10">
        <v>20.42</v>
      </c>
    </row>
    <row r="485" customHeight="1" spans="1:2">
      <c r="A485" s="7">
        <v>45409</v>
      </c>
      <c r="B485" s="8">
        <v>20.7</v>
      </c>
    </row>
    <row r="486" customHeight="1" spans="1:2">
      <c r="A486" s="9">
        <v>45410</v>
      </c>
      <c r="B486" s="10">
        <v>20.56</v>
      </c>
    </row>
    <row r="487" customHeight="1" spans="1:2">
      <c r="A487" s="7">
        <v>45411</v>
      </c>
      <c r="B487" s="8">
        <v>20.24</v>
      </c>
    </row>
    <row r="488" customHeight="1" spans="1:2">
      <c r="A488" s="9">
        <v>45412</v>
      </c>
      <c r="B488" s="10">
        <v>20.3</v>
      </c>
    </row>
    <row r="489" customHeight="1" spans="1:2">
      <c r="A489" s="7">
        <v>45413</v>
      </c>
      <c r="B489" s="8">
        <v>20.27</v>
      </c>
    </row>
    <row r="490" customHeight="1" spans="1:2">
      <c r="A490" s="9">
        <v>45414</v>
      </c>
      <c r="B490" s="10">
        <v>20.29</v>
      </c>
    </row>
    <row r="491" customHeight="1" spans="1:2">
      <c r="A491" s="7">
        <v>45415</v>
      </c>
      <c r="B491" s="8">
        <v>20.45</v>
      </c>
    </row>
    <row r="492" customHeight="1" spans="1:2">
      <c r="A492" s="9">
        <v>45416</v>
      </c>
      <c r="B492" s="10">
        <v>20.46</v>
      </c>
    </row>
    <row r="493" customHeight="1" spans="1:2">
      <c r="A493" s="7">
        <v>45417</v>
      </c>
      <c r="B493" s="8">
        <v>20.5</v>
      </c>
    </row>
    <row r="494" customHeight="1" spans="1:2">
      <c r="A494" s="9">
        <v>45418</v>
      </c>
      <c r="B494" s="10">
        <v>20.48</v>
      </c>
    </row>
    <row r="495" customHeight="1" spans="1:2">
      <c r="A495" s="7">
        <v>45419</v>
      </c>
      <c r="B495" s="8">
        <v>20.38</v>
      </c>
    </row>
    <row r="496" customHeight="1" spans="1:2">
      <c r="A496" s="9">
        <v>45420</v>
      </c>
      <c r="B496" s="10">
        <v>20.45</v>
      </c>
    </row>
    <row r="497" customHeight="1" spans="1:2">
      <c r="A497" s="7">
        <v>45421</v>
      </c>
      <c r="B497" s="8">
        <v>20.42</v>
      </c>
    </row>
    <row r="498" customHeight="1" spans="1:2">
      <c r="A498" s="9">
        <v>45422</v>
      </c>
      <c r="B498" s="10">
        <v>20.46</v>
      </c>
    </row>
    <row r="499" customHeight="1" spans="1:2">
      <c r="A499" s="7">
        <v>45423</v>
      </c>
      <c r="B499" s="8">
        <v>20.41</v>
      </c>
    </row>
    <row r="500" customHeight="1" spans="1:2">
      <c r="A500" s="9">
        <v>45424</v>
      </c>
      <c r="B500" s="10">
        <v>20.36</v>
      </c>
    </row>
    <row r="501" customHeight="1" spans="1:2">
      <c r="A501" s="7">
        <v>45425</v>
      </c>
      <c r="B501" s="8">
        <v>20.32</v>
      </c>
    </row>
    <row r="502" customHeight="1" spans="1:2">
      <c r="A502" s="9">
        <v>45426</v>
      </c>
      <c r="B502" s="10">
        <v>20.33</v>
      </c>
    </row>
    <row r="503" customHeight="1" spans="1:2">
      <c r="A503" s="7">
        <v>45427</v>
      </c>
      <c r="B503" s="8">
        <v>20.56</v>
      </c>
    </row>
    <row r="504" customHeight="1" spans="1:2">
      <c r="A504" s="9">
        <v>45428</v>
      </c>
      <c r="B504" s="10">
        <v>20.55</v>
      </c>
    </row>
    <row r="505" customHeight="1" spans="1:2">
      <c r="A505" s="7">
        <v>45429</v>
      </c>
      <c r="B505" s="8">
        <v>20.76</v>
      </c>
    </row>
    <row r="506" customHeight="1" spans="1:2">
      <c r="A506" s="9">
        <v>45430</v>
      </c>
      <c r="B506" s="10">
        <v>20.63</v>
      </c>
    </row>
    <row r="507" customHeight="1" spans="1:2">
      <c r="A507" s="7">
        <v>45431</v>
      </c>
      <c r="B507" s="8">
        <v>20.69</v>
      </c>
    </row>
    <row r="508" customHeight="1" spans="1:2">
      <c r="A508" s="9">
        <v>45432</v>
      </c>
      <c r="B508" s="10">
        <v>20.7</v>
      </c>
    </row>
    <row r="509" customHeight="1" spans="1:2">
      <c r="A509" s="7">
        <v>45433</v>
      </c>
      <c r="B509" s="8">
        <v>20.67</v>
      </c>
    </row>
    <row r="510" customHeight="1" spans="1:2">
      <c r="A510" s="9">
        <v>45434</v>
      </c>
      <c r="B510" s="10">
        <v>20.83</v>
      </c>
    </row>
    <row r="511" customHeight="1" spans="1:2">
      <c r="A511" s="7">
        <v>45435</v>
      </c>
      <c r="B511" s="8">
        <v>20.83</v>
      </c>
    </row>
    <row r="512" customHeight="1" spans="1:2">
      <c r="A512" s="9">
        <v>45436</v>
      </c>
      <c r="B512" s="10">
        <v>21.2</v>
      </c>
    </row>
    <row r="513" customHeight="1" spans="1:2">
      <c r="A513" s="7">
        <v>45437</v>
      </c>
      <c r="B513" s="8">
        <v>21.22</v>
      </c>
    </row>
    <row r="514" customHeight="1" spans="1:2">
      <c r="A514" s="9">
        <v>45438</v>
      </c>
      <c r="B514" s="10">
        <v>21.46</v>
      </c>
    </row>
    <row r="515" customHeight="1" spans="1:2">
      <c r="A515" s="7">
        <v>45439</v>
      </c>
      <c r="B515" s="8">
        <v>21.66</v>
      </c>
    </row>
    <row r="516" customHeight="1" spans="1:2">
      <c r="A516" s="9">
        <v>45440</v>
      </c>
      <c r="B516" s="10">
        <v>21.89</v>
      </c>
    </row>
    <row r="517" customHeight="1" spans="1:2">
      <c r="A517" s="7">
        <v>45441</v>
      </c>
      <c r="B517" s="8">
        <v>22.09</v>
      </c>
    </row>
    <row r="518" customHeight="1" spans="1:2">
      <c r="A518" s="9">
        <v>45442</v>
      </c>
      <c r="B518" s="10">
        <v>22.31</v>
      </c>
    </row>
    <row r="519" customHeight="1" spans="1:2">
      <c r="A519" s="7">
        <v>45443</v>
      </c>
      <c r="B519" s="8">
        <v>22.66</v>
      </c>
    </row>
    <row r="520" customHeight="1" spans="1:2">
      <c r="A520" s="9">
        <v>45444</v>
      </c>
      <c r="B520" s="10">
        <v>22.87</v>
      </c>
    </row>
    <row r="521" customHeight="1" spans="1:2">
      <c r="A521" s="7">
        <v>45445</v>
      </c>
      <c r="B521" s="8">
        <v>22.83</v>
      </c>
    </row>
    <row r="522" customHeight="1" spans="1:2">
      <c r="A522" s="9">
        <v>45446</v>
      </c>
      <c r="B522" s="10">
        <v>23.19</v>
      </c>
    </row>
    <row r="523" customHeight="1" spans="1:2">
      <c r="A523" s="7">
        <v>45447</v>
      </c>
      <c r="B523" s="8">
        <v>23.56</v>
      </c>
    </row>
    <row r="524" customHeight="1" spans="1:2">
      <c r="A524" s="9">
        <v>45448</v>
      </c>
      <c r="B524" s="10">
        <v>23.89</v>
      </c>
    </row>
    <row r="525" customHeight="1" spans="1:2">
      <c r="A525" s="7">
        <v>45449</v>
      </c>
      <c r="B525" s="8">
        <v>23.97</v>
      </c>
    </row>
    <row r="526" customHeight="1" spans="1:2">
      <c r="A526" s="9">
        <v>45450</v>
      </c>
      <c r="B526" s="10">
        <v>24.17</v>
      </c>
    </row>
    <row r="527" customHeight="1" spans="1:2">
      <c r="A527" s="7">
        <v>45451</v>
      </c>
      <c r="B527" s="8">
        <v>24.32</v>
      </c>
    </row>
    <row r="528" customHeight="1" spans="1:2">
      <c r="A528" s="9">
        <v>45452</v>
      </c>
      <c r="B528" s="10">
        <v>24.5</v>
      </c>
    </row>
    <row r="529" customHeight="1" spans="1:2">
      <c r="A529" s="7">
        <v>45453</v>
      </c>
      <c r="B529" s="8">
        <v>24.36</v>
      </c>
    </row>
    <row r="530" customHeight="1" spans="1:2">
      <c r="A530" s="9">
        <v>45454</v>
      </c>
      <c r="B530" s="10">
        <v>24.6</v>
      </c>
    </row>
    <row r="531" customHeight="1" spans="1:2">
      <c r="A531" s="7">
        <v>45455</v>
      </c>
      <c r="B531" s="8">
        <v>24.55</v>
      </c>
    </row>
    <row r="532" customHeight="1" spans="1:2">
      <c r="A532" s="9">
        <v>45456</v>
      </c>
      <c r="B532" s="10">
        <v>24.64</v>
      </c>
    </row>
    <row r="533" customHeight="1" spans="1:2">
      <c r="A533" s="7">
        <v>45457</v>
      </c>
      <c r="B533" s="8">
        <v>24.45</v>
      </c>
    </row>
    <row r="534" customHeight="1" spans="1:2">
      <c r="A534" s="9">
        <v>45458</v>
      </c>
      <c r="B534" s="10">
        <v>24.54</v>
      </c>
    </row>
    <row r="535" customHeight="1" spans="1:2">
      <c r="A535" s="7">
        <v>45459</v>
      </c>
      <c r="B535" s="8">
        <v>24.62</v>
      </c>
    </row>
    <row r="536" customHeight="1" spans="1:2">
      <c r="A536" s="9">
        <v>45460</v>
      </c>
      <c r="B536" s="10">
        <v>24.82</v>
      </c>
    </row>
    <row r="537" customHeight="1" spans="1:2">
      <c r="A537" s="7">
        <v>45461</v>
      </c>
      <c r="B537" s="8">
        <v>24.8</v>
      </c>
    </row>
    <row r="538" customHeight="1" spans="1:2">
      <c r="A538" s="9">
        <v>45462</v>
      </c>
      <c r="B538" s="10">
        <v>24.67</v>
      </c>
    </row>
    <row r="539" customHeight="1" spans="1:2">
      <c r="A539" s="7">
        <v>45463</v>
      </c>
      <c r="B539" s="8">
        <v>24.56</v>
      </c>
    </row>
    <row r="540" customHeight="1" spans="1:2">
      <c r="A540" s="9">
        <v>45464</v>
      </c>
      <c r="B540" s="10">
        <v>24.55</v>
      </c>
    </row>
    <row r="541" customHeight="1" spans="1:2">
      <c r="A541" s="7">
        <v>45465</v>
      </c>
      <c r="B541" s="8">
        <v>24.42</v>
      </c>
    </row>
    <row r="542" customHeight="1" spans="1:2">
      <c r="A542" s="9">
        <v>45466</v>
      </c>
      <c r="B542" s="10">
        <v>24.66</v>
      </c>
    </row>
    <row r="543" customHeight="1" spans="1:2">
      <c r="A543" s="7">
        <v>45467</v>
      </c>
      <c r="B543" s="8">
        <v>24.38</v>
      </c>
    </row>
    <row r="544" customHeight="1" spans="1:2">
      <c r="A544" s="9">
        <v>45468</v>
      </c>
      <c r="B544" s="10">
        <v>24.39</v>
      </c>
    </row>
    <row r="545" customHeight="1" spans="1:2">
      <c r="A545" s="7">
        <v>45469</v>
      </c>
      <c r="B545" s="8">
        <v>24.38</v>
      </c>
    </row>
    <row r="546" customHeight="1" spans="1:2">
      <c r="A546" s="9">
        <v>45470</v>
      </c>
      <c r="B546" s="10">
        <v>24.25</v>
      </c>
    </row>
    <row r="547" customHeight="1" spans="1:2">
      <c r="A547" s="7">
        <v>45471</v>
      </c>
      <c r="B547" s="8">
        <v>24.21</v>
      </c>
    </row>
    <row r="548" customHeight="1" spans="1:2">
      <c r="A548" s="9">
        <v>45472</v>
      </c>
      <c r="B548" s="10">
        <v>24.12</v>
      </c>
    </row>
    <row r="549" customHeight="1" spans="1:2">
      <c r="A549" s="7">
        <v>45473</v>
      </c>
      <c r="B549" s="8">
        <v>24.21</v>
      </c>
    </row>
    <row r="550" customHeight="1" spans="1:2">
      <c r="A550" s="9">
        <v>45474</v>
      </c>
      <c r="B550" s="10">
        <v>24.31</v>
      </c>
    </row>
    <row r="551" customHeight="1" spans="1:2">
      <c r="A551" s="7">
        <v>45475</v>
      </c>
      <c r="B551" s="8">
        <v>24.37</v>
      </c>
    </row>
    <row r="552" customHeight="1" spans="1:2">
      <c r="A552" s="9">
        <v>45476</v>
      </c>
      <c r="B552" s="10">
        <v>24.11</v>
      </c>
    </row>
    <row r="553" customHeight="1" spans="1:2">
      <c r="A553" s="7">
        <v>45477</v>
      </c>
      <c r="B553" s="8">
        <v>24.31</v>
      </c>
    </row>
    <row r="554" customHeight="1" spans="1:2">
      <c r="A554" s="9">
        <v>45478</v>
      </c>
      <c r="B554" s="10">
        <v>24.43</v>
      </c>
    </row>
    <row r="555" customHeight="1" spans="1:2">
      <c r="A555" s="7">
        <v>45479</v>
      </c>
      <c r="B555" s="8">
        <v>24.38</v>
      </c>
    </row>
    <row r="556" customHeight="1" spans="1:2">
      <c r="A556" s="9">
        <v>45480</v>
      </c>
      <c r="B556" s="10">
        <v>24.25</v>
      </c>
    </row>
    <row r="557" customHeight="1" spans="1:2">
      <c r="A557" s="7">
        <v>45481</v>
      </c>
      <c r="B557" s="8">
        <v>24.41</v>
      </c>
    </row>
    <row r="558" customHeight="1" spans="1:2">
      <c r="A558" s="9">
        <v>45482</v>
      </c>
      <c r="B558" s="10">
        <v>24.49</v>
      </c>
    </row>
    <row r="559" customHeight="1" spans="1:2">
      <c r="A559" s="7">
        <v>45483</v>
      </c>
      <c r="B559" s="8">
        <v>24.34</v>
      </c>
    </row>
    <row r="560" customHeight="1" spans="1:2">
      <c r="A560" s="9">
        <v>45484</v>
      </c>
      <c r="B560" s="10">
        <v>24.79</v>
      </c>
    </row>
    <row r="561" customHeight="1" spans="1:2">
      <c r="A561" s="7">
        <v>45485</v>
      </c>
      <c r="B561" s="8">
        <v>24.73</v>
      </c>
    </row>
    <row r="562" customHeight="1" spans="1:2">
      <c r="A562" s="9">
        <v>45486</v>
      </c>
      <c r="B562" s="10">
        <v>24.48</v>
      </c>
    </row>
    <row r="563" customHeight="1" spans="1:2">
      <c r="A563" s="7">
        <v>45487</v>
      </c>
      <c r="B563" s="8">
        <v>24.97</v>
      </c>
    </row>
    <row r="564" customHeight="1" spans="1:2">
      <c r="A564" s="9">
        <v>45488</v>
      </c>
      <c r="B564" s="10">
        <v>24.68</v>
      </c>
    </row>
    <row r="565" customHeight="1" spans="1:2">
      <c r="A565" s="7">
        <v>45489</v>
      </c>
      <c r="B565" s="8">
        <v>24.91</v>
      </c>
    </row>
    <row r="566" customHeight="1" spans="1:2">
      <c r="A566" s="9">
        <v>45490</v>
      </c>
      <c r="B566" s="10">
        <v>24.75</v>
      </c>
    </row>
    <row r="567" customHeight="1" spans="1:2">
      <c r="A567" s="7">
        <v>45491</v>
      </c>
      <c r="B567" s="8">
        <v>25.03</v>
      </c>
    </row>
    <row r="568" customHeight="1" spans="1:2">
      <c r="A568" s="9">
        <v>45492</v>
      </c>
      <c r="B568" s="10">
        <v>24.89</v>
      </c>
    </row>
    <row r="569" customHeight="1" spans="1:2">
      <c r="A569" s="7">
        <v>45493</v>
      </c>
      <c r="B569" s="8">
        <v>24.95</v>
      </c>
    </row>
    <row r="570" customHeight="1" spans="1:2">
      <c r="A570" s="9">
        <v>45494</v>
      </c>
      <c r="B570" s="10">
        <v>25.07</v>
      </c>
    </row>
    <row r="571" customHeight="1" spans="1:2">
      <c r="A571" s="7">
        <v>45495</v>
      </c>
      <c r="B571" s="8">
        <v>25.14</v>
      </c>
    </row>
    <row r="572" customHeight="1" spans="1:2">
      <c r="A572" s="9">
        <v>45496</v>
      </c>
      <c r="B572" s="10">
        <v>25.02</v>
      </c>
    </row>
    <row r="573" customHeight="1" spans="1:2">
      <c r="A573" s="7">
        <v>45497</v>
      </c>
      <c r="B573" s="8">
        <v>25.08</v>
      </c>
    </row>
    <row r="574" customHeight="1" spans="1:2">
      <c r="A574" s="9">
        <v>45498</v>
      </c>
      <c r="B574" s="10">
        <v>25.2</v>
      </c>
    </row>
    <row r="575" customHeight="1" spans="1:2">
      <c r="A575" s="7">
        <v>45499</v>
      </c>
      <c r="B575" s="8">
        <v>25.22</v>
      </c>
    </row>
    <row r="576" customHeight="1" spans="1:2">
      <c r="A576" s="9">
        <v>45500</v>
      </c>
      <c r="B576" s="10">
        <v>25.16</v>
      </c>
    </row>
    <row r="577" customHeight="1" spans="1:2">
      <c r="A577" s="7">
        <v>45501</v>
      </c>
      <c r="B577" s="8">
        <v>25.33</v>
      </c>
    </row>
    <row r="578" customHeight="1" spans="1:2">
      <c r="A578" s="9">
        <v>45502</v>
      </c>
      <c r="B578" s="10">
        <v>25.35</v>
      </c>
    </row>
    <row r="579" customHeight="1" spans="1:2">
      <c r="A579" s="7">
        <v>45503</v>
      </c>
      <c r="B579" s="8">
        <v>25.21</v>
      </c>
    </row>
    <row r="580" customHeight="1" spans="1:2">
      <c r="A580" s="9">
        <v>45504</v>
      </c>
      <c r="B580" s="10">
        <v>25.16</v>
      </c>
    </row>
    <row r="581" customHeight="1" spans="1:2">
      <c r="A581" s="7">
        <v>45505</v>
      </c>
      <c r="B581" s="8">
        <v>25.23</v>
      </c>
    </row>
    <row r="582" customHeight="1" spans="1:2">
      <c r="A582" s="9">
        <v>45506</v>
      </c>
      <c r="B582" s="10">
        <v>25.33</v>
      </c>
    </row>
    <row r="583" customHeight="1" spans="1:2">
      <c r="A583" s="7">
        <v>45507</v>
      </c>
      <c r="B583" s="8">
        <v>25.35</v>
      </c>
    </row>
    <row r="584" customHeight="1" spans="1:2">
      <c r="A584" s="9">
        <v>45508</v>
      </c>
      <c r="B584" s="10">
        <v>25.47</v>
      </c>
    </row>
    <row r="585" customHeight="1" spans="1:2">
      <c r="A585" s="7">
        <v>45509</v>
      </c>
      <c r="B585" s="8">
        <v>25.42</v>
      </c>
    </row>
    <row r="586" customHeight="1" spans="1:2">
      <c r="A586" s="9">
        <v>45510</v>
      </c>
      <c r="B586" s="10">
        <v>25.81</v>
      </c>
    </row>
    <row r="587" customHeight="1" spans="1:2">
      <c r="A587" s="7">
        <v>45511</v>
      </c>
      <c r="B587" s="8">
        <v>26.13</v>
      </c>
    </row>
    <row r="588" customHeight="1" spans="1:2">
      <c r="A588" s="9">
        <v>45512</v>
      </c>
      <c r="B588" s="10">
        <v>26.21</v>
      </c>
    </row>
    <row r="589" customHeight="1" spans="1:2">
      <c r="A589" s="7">
        <v>45513</v>
      </c>
      <c r="B589" s="8">
        <v>26.19</v>
      </c>
    </row>
    <row r="590" customHeight="1" spans="1:2">
      <c r="A590" s="9">
        <v>45514</v>
      </c>
      <c r="B590" s="10">
        <v>26.69</v>
      </c>
    </row>
    <row r="591" customHeight="1" spans="1:2">
      <c r="A591" s="7">
        <v>45515</v>
      </c>
      <c r="B591" s="8">
        <v>26.56</v>
      </c>
    </row>
    <row r="592" customHeight="1" spans="1:2">
      <c r="A592" s="9">
        <v>45516</v>
      </c>
      <c r="B592" s="10">
        <v>26.78</v>
      </c>
    </row>
    <row r="593" customHeight="1" spans="1:2">
      <c r="A593" s="7">
        <v>45517</v>
      </c>
      <c r="B593" s="8">
        <v>27.09</v>
      </c>
    </row>
    <row r="594" customHeight="1" spans="1:2">
      <c r="A594" s="9">
        <v>45518</v>
      </c>
      <c r="B594" s="10">
        <v>27.29</v>
      </c>
    </row>
    <row r="595" customHeight="1" spans="1:2">
      <c r="A595" s="7">
        <v>45519</v>
      </c>
      <c r="B595" s="8">
        <v>27.36</v>
      </c>
    </row>
    <row r="596" customHeight="1" spans="1:2">
      <c r="A596" s="9">
        <v>45520</v>
      </c>
      <c r="B596" s="10">
        <v>27.38</v>
      </c>
    </row>
    <row r="597" customHeight="1" spans="1:2">
      <c r="A597" s="7">
        <v>45521</v>
      </c>
      <c r="B597" s="8">
        <v>27.87</v>
      </c>
    </row>
    <row r="598" customHeight="1" spans="1:2">
      <c r="A598" s="9">
        <v>45522</v>
      </c>
      <c r="B598" s="10">
        <v>27.67</v>
      </c>
    </row>
    <row r="599" customHeight="1" spans="1:2">
      <c r="A599" s="7">
        <v>45523</v>
      </c>
      <c r="B599" s="8">
        <v>27.46</v>
      </c>
    </row>
    <row r="600" customHeight="1" spans="1:2">
      <c r="A600" s="9">
        <v>45524</v>
      </c>
      <c r="B600" s="10">
        <v>27.64</v>
      </c>
    </row>
    <row r="601" customHeight="1" spans="1:2">
      <c r="A601" s="7">
        <v>45525</v>
      </c>
      <c r="B601" s="8">
        <v>27.75</v>
      </c>
    </row>
    <row r="602" customHeight="1" spans="1:2">
      <c r="A602" s="9">
        <v>45526</v>
      </c>
      <c r="B602" s="10">
        <v>27.77</v>
      </c>
    </row>
    <row r="603" customHeight="1" spans="1:2">
      <c r="A603" s="7">
        <v>45527</v>
      </c>
      <c r="B603" s="8">
        <v>27.75</v>
      </c>
    </row>
    <row r="604" customHeight="1" spans="1:2">
      <c r="A604" s="9">
        <v>45528</v>
      </c>
      <c r="B604" s="10">
        <v>27.77</v>
      </c>
    </row>
    <row r="605" customHeight="1" spans="1:2">
      <c r="A605" s="7">
        <v>45529</v>
      </c>
      <c r="B605" s="8">
        <v>27.5</v>
      </c>
    </row>
    <row r="606" customHeight="1" spans="1:2">
      <c r="A606" s="9">
        <v>45530</v>
      </c>
      <c r="B606" s="10">
        <v>27.48</v>
      </c>
    </row>
    <row r="607" customHeight="1" spans="1:2">
      <c r="A607" s="7">
        <v>45531</v>
      </c>
      <c r="B607" s="8">
        <v>27.51</v>
      </c>
    </row>
    <row r="608" customHeight="1" spans="1:2">
      <c r="A608" s="9">
        <v>45532</v>
      </c>
      <c r="B608" s="10">
        <v>27.68</v>
      </c>
    </row>
    <row r="609" customHeight="1" spans="1:2">
      <c r="A609" s="7">
        <v>45533</v>
      </c>
      <c r="B609" s="8">
        <v>27.32</v>
      </c>
    </row>
    <row r="610" customHeight="1" spans="1:2">
      <c r="A610" s="9">
        <v>45534</v>
      </c>
      <c r="B610" s="10">
        <v>27.53</v>
      </c>
    </row>
    <row r="611" customHeight="1" spans="1:2">
      <c r="A611" s="7">
        <v>45535</v>
      </c>
      <c r="B611" s="8">
        <v>27.27</v>
      </c>
    </row>
    <row r="612" customHeight="1" spans="1:2">
      <c r="A612" s="9">
        <v>45536</v>
      </c>
      <c r="B612" s="10">
        <v>27.09</v>
      </c>
    </row>
    <row r="613" customHeight="1" spans="1:2">
      <c r="A613" s="7">
        <v>45537</v>
      </c>
      <c r="B613" s="8">
        <v>27.47</v>
      </c>
    </row>
    <row r="614" customHeight="1" spans="1:2">
      <c r="A614" s="9">
        <v>45538</v>
      </c>
      <c r="B614" s="10">
        <v>27.23</v>
      </c>
    </row>
    <row r="615" customHeight="1" spans="1:2">
      <c r="A615" s="7">
        <v>45539</v>
      </c>
      <c r="B615" s="8">
        <v>27.24</v>
      </c>
    </row>
    <row r="616" customHeight="1" spans="1:2">
      <c r="A616" s="9">
        <v>45540</v>
      </c>
      <c r="B616" s="10">
        <v>27.05</v>
      </c>
    </row>
    <row r="617" customHeight="1" spans="1:2">
      <c r="A617" s="7">
        <v>45541</v>
      </c>
      <c r="B617" s="8">
        <v>27.36</v>
      </c>
    </row>
    <row r="618" customHeight="1" spans="1:2">
      <c r="A618" s="9">
        <v>45542</v>
      </c>
      <c r="B618" s="10">
        <v>27.58</v>
      </c>
    </row>
    <row r="619" customHeight="1" spans="1:2">
      <c r="A619" s="7">
        <v>45543</v>
      </c>
      <c r="B619" s="8">
        <v>26.94</v>
      </c>
    </row>
    <row r="620" customHeight="1" spans="1:2">
      <c r="A620" s="9">
        <v>45544</v>
      </c>
      <c r="B620" s="10">
        <v>27.21</v>
      </c>
    </row>
    <row r="621" customHeight="1" spans="1:2">
      <c r="A621" s="7">
        <v>45545</v>
      </c>
      <c r="B621" s="8">
        <v>26.91</v>
      </c>
    </row>
    <row r="622" customHeight="1" spans="1:2">
      <c r="A622" s="9">
        <v>45546</v>
      </c>
      <c r="B622" s="10">
        <v>27.15</v>
      </c>
    </row>
    <row r="623" customHeight="1" spans="1:2">
      <c r="A623" s="7">
        <v>45547</v>
      </c>
      <c r="B623" s="8">
        <v>27</v>
      </c>
    </row>
    <row r="624" customHeight="1" spans="1:2">
      <c r="A624" s="9">
        <v>45548</v>
      </c>
      <c r="B624" s="10">
        <v>26.91</v>
      </c>
    </row>
    <row r="625" customHeight="1" spans="1:2">
      <c r="A625" s="7">
        <v>45549</v>
      </c>
      <c r="B625" s="8">
        <v>27.14</v>
      </c>
    </row>
    <row r="626" customHeight="1" spans="1:2">
      <c r="A626" s="9">
        <v>45550</v>
      </c>
      <c r="B626" s="10">
        <v>26.87</v>
      </c>
    </row>
    <row r="627" customHeight="1" spans="1:2">
      <c r="A627" s="7">
        <v>45551</v>
      </c>
      <c r="B627" s="8">
        <v>26.71</v>
      </c>
    </row>
    <row r="628" customHeight="1" spans="1:2">
      <c r="A628" s="9">
        <v>45552</v>
      </c>
      <c r="B628" s="10">
        <v>26.67</v>
      </c>
    </row>
    <row r="629" customHeight="1" spans="1:2">
      <c r="A629" s="7">
        <v>45553</v>
      </c>
      <c r="B629" s="8">
        <v>27.01</v>
      </c>
    </row>
    <row r="630" customHeight="1" spans="1:2">
      <c r="A630" s="9">
        <v>45554</v>
      </c>
      <c r="B630" s="10">
        <v>27.09</v>
      </c>
    </row>
    <row r="631" customHeight="1" spans="1:2">
      <c r="A631" s="7">
        <v>45555</v>
      </c>
      <c r="B631" s="8">
        <v>26.66</v>
      </c>
    </row>
    <row r="632" customHeight="1" spans="1:2">
      <c r="A632" s="9">
        <v>45556</v>
      </c>
      <c r="B632" s="10">
        <v>26.76</v>
      </c>
    </row>
    <row r="633" customHeight="1" spans="1:2">
      <c r="A633" s="7">
        <v>45557</v>
      </c>
      <c r="B633" s="8">
        <v>26.37</v>
      </c>
    </row>
    <row r="634" customHeight="1" spans="1:2">
      <c r="A634" s="9">
        <v>45558</v>
      </c>
      <c r="B634" s="10">
        <v>26.25</v>
      </c>
    </row>
    <row r="635" customHeight="1" spans="1:2">
      <c r="A635" s="7">
        <v>45559</v>
      </c>
      <c r="B635" s="8">
        <v>26.22</v>
      </c>
    </row>
    <row r="636" customHeight="1" spans="1:2">
      <c r="A636" s="9">
        <v>45560</v>
      </c>
      <c r="B636" s="10">
        <v>25.98</v>
      </c>
    </row>
    <row r="637" customHeight="1" spans="1:2">
      <c r="A637" s="7">
        <v>45561</v>
      </c>
      <c r="B637" s="8">
        <v>25.97</v>
      </c>
    </row>
    <row r="638" customHeight="1" spans="1:2">
      <c r="A638" s="9">
        <v>45562</v>
      </c>
      <c r="B638" s="10">
        <v>26.13</v>
      </c>
    </row>
    <row r="639" customHeight="1" spans="1:2">
      <c r="A639" s="7">
        <v>45563</v>
      </c>
      <c r="B639" s="8">
        <v>25.9</v>
      </c>
    </row>
    <row r="640" customHeight="1" spans="1:2">
      <c r="A640" s="9">
        <v>45564</v>
      </c>
      <c r="B640" s="10">
        <v>25.71</v>
      </c>
    </row>
    <row r="641" customHeight="1" spans="1:2">
      <c r="A641" s="7">
        <v>45565</v>
      </c>
      <c r="B641" s="8">
        <v>25.45</v>
      </c>
    </row>
    <row r="642" customHeight="1" spans="1:2">
      <c r="A642" s="9">
        <v>45566</v>
      </c>
      <c r="B642" s="10">
        <v>25.41</v>
      </c>
    </row>
    <row r="643" customHeight="1" spans="1:2">
      <c r="A643" s="7">
        <v>45567</v>
      </c>
      <c r="B643" s="8">
        <v>25.22</v>
      </c>
    </row>
    <row r="644" customHeight="1" spans="1:2">
      <c r="A644" s="9">
        <v>45568</v>
      </c>
      <c r="B644" s="10">
        <v>25.16</v>
      </c>
    </row>
    <row r="645" customHeight="1" spans="1:2">
      <c r="A645" s="7">
        <v>45569</v>
      </c>
      <c r="B645" s="8">
        <v>25.2</v>
      </c>
    </row>
    <row r="646" customHeight="1" spans="1:2">
      <c r="A646" s="9">
        <v>45570</v>
      </c>
      <c r="B646" s="10">
        <v>25.26</v>
      </c>
    </row>
    <row r="647" customHeight="1" spans="1:2">
      <c r="A647" s="7">
        <v>45571</v>
      </c>
      <c r="B647" s="8">
        <v>25.3</v>
      </c>
    </row>
    <row r="648" customHeight="1" spans="1:2">
      <c r="A648" s="9">
        <v>45572</v>
      </c>
      <c r="B648" s="10">
        <v>24.99</v>
      </c>
    </row>
    <row r="649" customHeight="1" spans="1:2">
      <c r="A649" s="7">
        <v>45573</v>
      </c>
      <c r="B649" s="8">
        <v>25.1</v>
      </c>
    </row>
    <row r="650" customHeight="1" spans="1:2">
      <c r="A650" s="9">
        <v>45574</v>
      </c>
      <c r="B650" s="10">
        <v>24.84</v>
      </c>
    </row>
    <row r="651" customHeight="1" spans="1:2">
      <c r="A651" s="7">
        <v>45575</v>
      </c>
      <c r="B651" s="8">
        <v>25.04</v>
      </c>
    </row>
    <row r="652" customHeight="1" spans="1:2">
      <c r="A652" s="9">
        <v>45576</v>
      </c>
      <c r="B652" s="10">
        <v>25.02</v>
      </c>
    </row>
    <row r="653" customHeight="1" spans="1:2">
      <c r="A653" s="7">
        <v>45577</v>
      </c>
      <c r="B653" s="8">
        <v>25.06</v>
      </c>
    </row>
    <row r="654" customHeight="1" spans="1:2">
      <c r="A654" s="9">
        <v>45578</v>
      </c>
      <c r="B654" s="10">
        <v>24.88</v>
      </c>
    </row>
    <row r="655" customHeight="1" spans="1:2">
      <c r="A655" s="7">
        <v>45579</v>
      </c>
      <c r="B655" s="8">
        <v>24.99</v>
      </c>
    </row>
    <row r="656" customHeight="1" spans="1:2">
      <c r="A656" s="9">
        <v>45580</v>
      </c>
      <c r="B656" s="10">
        <v>24.89</v>
      </c>
    </row>
    <row r="657" customHeight="1" spans="1:2">
      <c r="A657" s="7">
        <v>45581</v>
      </c>
      <c r="B657" s="8">
        <v>25.06</v>
      </c>
    </row>
    <row r="658" customHeight="1" spans="1:2">
      <c r="A658" s="9">
        <v>45582</v>
      </c>
      <c r="B658" s="10">
        <v>24.82</v>
      </c>
    </row>
    <row r="659" customHeight="1" spans="1:2">
      <c r="A659" s="7">
        <v>45583</v>
      </c>
      <c r="B659" s="8">
        <v>25.08</v>
      </c>
    </row>
    <row r="660" customHeight="1" spans="1:2">
      <c r="A660" s="9">
        <v>45584</v>
      </c>
      <c r="B660" s="10">
        <v>24.91</v>
      </c>
    </row>
    <row r="661" customHeight="1" spans="1:2">
      <c r="A661" s="7">
        <v>45585</v>
      </c>
      <c r="B661" s="8">
        <v>24.73</v>
      </c>
    </row>
    <row r="662" customHeight="1" spans="1:2">
      <c r="A662" s="9">
        <v>45586</v>
      </c>
      <c r="B662" s="10">
        <v>24.73</v>
      </c>
    </row>
    <row r="663" customHeight="1" spans="1:2">
      <c r="A663" s="7">
        <v>45587</v>
      </c>
      <c r="B663" s="8">
        <v>24.58</v>
      </c>
    </row>
    <row r="664" customHeight="1" spans="1:2">
      <c r="A664" s="9">
        <v>45588</v>
      </c>
      <c r="B664" s="10">
        <v>24.7</v>
      </c>
    </row>
    <row r="665" customHeight="1" spans="1:2">
      <c r="A665" s="7">
        <v>45589</v>
      </c>
      <c r="B665" s="8">
        <v>24.72</v>
      </c>
    </row>
    <row r="666" customHeight="1" spans="1:2">
      <c r="A666" s="9">
        <v>45590</v>
      </c>
      <c r="B666" s="10">
        <v>24.67</v>
      </c>
    </row>
    <row r="667" customHeight="1" spans="1:2">
      <c r="A667" s="7">
        <v>45591</v>
      </c>
      <c r="B667" s="8">
        <v>24.78</v>
      </c>
    </row>
    <row r="668" customHeight="1" spans="1:2">
      <c r="A668" s="9">
        <v>45592</v>
      </c>
      <c r="B668" s="10">
        <v>24.24</v>
      </c>
    </row>
    <row r="669" customHeight="1" spans="1:2">
      <c r="A669" s="7">
        <v>45593</v>
      </c>
      <c r="B669" s="8">
        <v>24.61</v>
      </c>
    </row>
    <row r="670" customHeight="1" spans="1:2">
      <c r="A670" s="9">
        <v>45594</v>
      </c>
      <c r="B670" s="10">
        <v>24.73</v>
      </c>
    </row>
    <row r="671" customHeight="1" spans="1:2">
      <c r="A671" s="7">
        <v>45595</v>
      </c>
      <c r="B671" s="8">
        <v>24.74</v>
      </c>
    </row>
    <row r="672" customHeight="1" spans="1:2">
      <c r="A672" s="9">
        <v>45596</v>
      </c>
      <c r="B672" s="10">
        <v>24.63</v>
      </c>
    </row>
    <row r="673" customHeight="1" spans="1:2">
      <c r="A673" s="7">
        <v>45597</v>
      </c>
      <c r="B673" s="8">
        <v>24.44</v>
      </c>
    </row>
    <row r="674" customHeight="1" spans="1:2">
      <c r="A674" s="9">
        <v>45598</v>
      </c>
      <c r="B674" s="10">
        <v>24.39</v>
      </c>
    </row>
    <row r="675" customHeight="1" spans="1:2">
      <c r="A675" s="7">
        <v>45599</v>
      </c>
      <c r="B675" s="8">
        <v>24.25</v>
      </c>
    </row>
    <row r="676" customHeight="1" spans="1:2">
      <c r="A676" s="9">
        <v>45600</v>
      </c>
      <c r="B676" s="10">
        <v>24.54</v>
      </c>
    </row>
    <row r="677" customHeight="1" spans="1:2">
      <c r="A677" s="7">
        <v>45601</v>
      </c>
      <c r="B677" s="8">
        <v>24.4</v>
      </c>
    </row>
    <row r="678" customHeight="1" spans="1:2">
      <c r="A678" s="9">
        <v>45602</v>
      </c>
      <c r="B678" s="10">
        <v>24.42</v>
      </c>
    </row>
    <row r="679" customHeight="1" spans="1:2">
      <c r="A679" s="7">
        <v>45603</v>
      </c>
      <c r="B679" s="8">
        <v>24.23</v>
      </c>
    </row>
    <row r="680" customHeight="1" spans="1:2">
      <c r="A680" s="9">
        <v>45604</v>
      </c>
      <c r="B680" s="10">
        <v>24.24</v>
      </c>
    </row>
    <row r="681" customHeight="1" spans="1:2">
      <c r="A681" s="7">
        <v>45605</v>
      </c>
      <c r="B681" s="8">
        <v>23.98</v>
      </c>
    </row>
    <row r="682" customHeight="1" spans="1:2">
      <c r="A682" s="9">
        <v>45606</v>
      </c>
      <c r="B682" s="10">
        <v>24.08</v>
      </c>
    </row>
    <row r="683" customHeight="1" spans="1:2">
      <c r="A683" s="7">
        <v>45607</v>
      </c>
      <c r="B683" s="8">
        <v>24.17</v>
      </c>
    </row>
    <row r="684" customHeight="1" spans="1:2">
      <c r="A684" s="9">
        <v>45608</v>
      </c>
      <c r="B684" s="10">
        <v>24.16</v>
      </c>
    </row>
    <row r="685" customHeight="1" spans="1:2">
      <c r="A685" s="7">
        <v>45609</v>
      </c>
      <c r="B685" s="8">
        <v>24.2</v>
      </c>
    </row>
    <row r="686" customHeight="1" spans="1:2">
      <c r="A686" s="9">
        <v>45610</v>
      </c>
      <c r="B686" s="10">
        <v>23.94</v>
      </c>
    </row>
    <row r="687" customHeight="1" spans="1:2">
      <c r="A687" s="7">
        <v>45611</v>
      </c>
      <c r="B687" s="8">
        <v>23.64</v>
      </c>
    </row>
    <row r="688" customHeight="1" spans="1:2">
      <c r="A688" s="9">
        <v>45612</v>
      </c>
      <c r="B688" s="10">
        <v>24.15</v>
      </c>
    </row>
    <row r="689" customHeight="1" spans="1:2">
      <c r="A689" s="7">
        <v>45613</v>
      </c>
      <c r="B689" s="8">
        <v>23.55</v>
      </c>
    </row>
    <row r="690" customHeight="1" spans="1:2">
      <c r="A690" s="9">
        <v>45614</v>
      </c>
      <c r="B690" s="10">
        <v>23.84</v>
      </c>
    </row>
    <row r="691" customHeight="1" spans="1:2">
      <c r="A691" s="7">
        <v>45615</v>
      </c>
      <c r="B691" s="8">
        <v>23.9</v>
      </c>
    </row>
    <row r="692" customHeight="1" spans="1:2">
      <c r="A692" s="9">
        <v>45616</v>
      </c>
      <c r="B692" s="10">
        <v>23.71</v>
      </c>
    </row>
    <row r="693" customHeight="1" spans="1:2">
      <c r="A693" s="7">
        <v>45617</v>
      </c>
      <c r="B693" s="8">
        <v>23.59</v>
      </c>
    </row>
    <row r="694" customHeight="1" spans="1:2">
      <c r="A694" s="9">
        <v>45618</v>
      </c>
      <c r="B694" s="10">
        <v>23.48</v>
      </c>
    </row>
    <row r="695" customHeight="1" spans="1:2">
      <c r="A695" s="7">
        <v>45619</v>
      </c>
      <c r="B695" s="8">
        <v>23.43</v>
      </c>
    </row>
    <row r="696" customHeight="1" spans="1:2">
      <c r="A696" s="9">
        <v>45620</v>
      </c>
      <c r="B696" s="10">
        <v>23.15</v>
      </c>
    </row>
    <row r="697" customHeight="1" spans="1:2">
      <c r="A697" s="7">
        <v>45621</v>
      </c>
      <c r="B697" s="8">
        <v>23.39</v>
      </c>
    </row>
    <row r="698" customHeight="1" spans="1:2">
      <c r="A698" s="9">
        <v>45622</v>
      </c>
      <c r="B698" s="10">
        <v>23.27</v>
      </c>
    </row>
    <row r="699" customHeight="1" spans="1:2">
      <c r="A699" s="7">
        <v>45623</v>
      </c>
      <c r="B699" s="8">
        <v>23.43</v>
      </c>
    </row>
    <row r="700" customHeight="1" spans="1:2">
      <c r="A700" s="9">
        <v>45624</v>
      </c>
      <c r="B700" s="10">
        <v>23.5</v>
      </c>
    </row>
    <row r="701" customHeight="1" spans="1:2">
      <c r="A701" s="7">
        <v>45625</v>
      </c>
      <c r="B701" s="8">
        <v>23.51</v>
      </c>
    </row>
    <row r="702" customHeight="1" spans="1:2">
      <c r="A702" s="9">
        <v>45626</v>
      </c>
      <c r="B702" s="10">
        <v>23.43</v>
      </c>
    </row>
    <row r="703" customHeight="1" spans="1:2">
      <c r="A703" s="7">
        <v>45627</v>
      </c>
      <c r="B703" s="8">
        <v>23.28</v>
      </c>
    </row>
    <row r="704" customHeight="1" spans="1:2">
      <c r="A704" s="9">
        <v>45628</v>
      </c>
      <c r="B704" s="10">
        <v>23.36</v>
      </c>
    </row>
    <row r="705" customHeight="1" spans="1:2">
      <c r="A705" s="7">
        <v>45629</v>
      </c>
      <c r="B705" s="8">
        <v>23.44</v>
      </c>
    </row>
    <row r="706" customHeight="1" spans="1:2">
      <c r="A706" s="9">
        <v>45630</v>
      </c>
      <c r="B706" s="10">
        <v>23.52</v>
      </c>
    </row>
    <row r="707" customHeight="1" spans="1:2">
      <c r="A707" s="7">
        <v>45631</v>
      </c>
      <c r="B707" s="8">
        <v>23.33</v>
      </c>
    </row>
    <row r="708" customHeight="1" spans="1:2">
      <c r="A708" s="9">
        <v>45632</v>
      </c>
      <c r="B708" s="10">
        <v>23.13</v>
      </c>
    </row>
    <row r="709" customHeight="1" spans="1:2">
      <c r="A709" s="7">
        <v>45633</v>
      </c>
      <c r="B709" s="8">
        <v>23.29</v>
      </c>
    </row>
    <row r="710" customHeight="1" spans="1:2">
      <c r="A710" s="9">
        <v>45634</v>
      </c>
      <c r="B710" s="10">
        <v>22.93</v>
      </c>
    </row>
    <row r="711" customHeight="1" spans="1:2">
      <c r="A711" s="7">
        <v>45635</v>
      </c>
      <c r="B711" s="8">
        <v>23.23</v>
      </c>
    </row>
    <row r="712" customHeight="1" spans="1:2">
      <c r="A712" s="9">
        <v>45636</v>
      </c>
      <c r="B712" s="10">
        <v>23.02</v>
      </c>
    </row>
    <row r="713" customHeight="1" spans="1:2">
      <c r="A713" s="7">
        <v>45637</v>
      </c>
      <c r="B713" s="8">
        <v>23.15</v>
      </c>
    </row>
    <row r="714" customHeight="1" spans="1:2">
      <c r="A714" s="9">
        <v>45638</v>
      </c>
      <c r="B714" s="10">
        <v>23.14</v>
      </c>
    </row>
    <row r="715" customHeight="1" spans="1:2">
      <c r="A715" s="7">
        <v>45639</v>
      </c>
      <c r="B715" s="8">
        <v>23.14</v>
      </c>
    </row>
    <row r="716" customHeight="1" spans="1:2">
      <c r="A716" s="9">
        <v>45640</v>
      </c>
      <c r="B716" s="10">
        <v>23.03</v>
      </c>
    </row>
    <row r="717" customHeight="1" spans="1:2">
      <c r="A717" s="7">
        <v>45641</v>
      </c>
      <c r="B717" s="8">
        <v>22.94</v>
      </c>
    </row>
    <row r="718" customHeight="1" spans="1:2">
      <c r="A718" s="9">
        <v>45642</v>
      </c>
      <c r="B718" s="10">
        <v>22.97</v>
      </c>
    </row>
    <row r="719" customHeight="1" spans="1:2">
      <c r="A719" s="7">
        <v>45643</v>
      </c>
      <c r="B719" s="8">
        <v>23.05</v>
      </c>
    </row>
    <row r="720" customHeight="1" spans="1:2">
      <c r="A720" s="9">
        <v>45644</v>
      </c>
      <c r="B720" s="10">
        <v>23.02</v>
      </c>
    </row>
    <row r="721" customHeight="1" spans="1:2">
      <c r="A721" s="7">
        <v>45645</v>
      </c>
      <c r="B721" s="8">
        <v>23.1</v>
      </c>
    </row>
    <row r="722" customHeight="1" spans="1:2">
      <c r="A722" s="9">
        <v>45646</v>
      </c>
      <c r="B722" s="10">
        <v>22.81</v>
      </c>
    </row>
    <row r="723" customHeight="1" spans="1:2">
      <c r="A723" s="7">
        <v>45647</v>
      </c>
      <c r="B723" s="8">
        <v>22.83</v>
      </c>
    </row>
    <row r="724" customHeight="1" spans="1:2">
      <c r="A724" s="9">
        <v>45648</v>
      </c>
      <c r="B724" s="10">
        <v>22.78</v>
      </c>
    </row>
    <row r="725" customHeight="1" spans="1:2">
      <c r="A725" s="7">
        <v>45649</v>
      </c>
      <c r="B725" s="8">
        <v>22.91</v>
      </c>
    </row>
    <row r="726" customHeight="1" spans="1:2">
      <c r="A726" s="9">
        <v>45650</v>
      </c>
      <c r="B726" s="10">
        <v>22.63</v>
      </c>
    </row>
    <row r="727" customHeight="1" spans="1:2">
      <c r="A727" s="7">
        <v>45651</v>
      </c>
      <c r="B727" s="8">
        <v>22.37</v>
      </c>
    </row>
    <row r="728" customHeight="1" spans="1:2">
      <c r="A728" s="9">
        <v>45652</v>
      </c>
      <c r="B728" s="10">
        <v>22.12</v>
      </c>
    </row>
    <row r="729" customHeight="1" spans="1:2">
      <c r="A729" s="7">
        <v>45653</v>
      </c>
      <c r="B729" s="8">
        <v>22.17</v>
      </c>
    </row>
    <row r="730" customHeight="1" spans="1:2">
      <c r="A730" s="9">
        <v>45654</v>
      </c>
      <c r="B730" s="10">
        <v>22.4</v>
      </c>
    </row>
    <row r="731" customHeight="1" spans="1:2">
      <c r="A731" s="7">
        <v>45655</v>
      </c>
      <c r="B731" s="8">
        <v>22.13</v>
      </c>
    </row>
    <row r="732" customHeight="1" spans="1:2">
      <c r="A732" s="9">
        <v>45656</v>
      </c>
      <c r="B732" s="10">
        <v>22.35</v>
      </c>
    </row>
    <row r="733" customHeight="1" spans="1:2">
      <c r="A733" s="7">
        <v>45657</v>
      </c>
      <c r="B733" s="8">
        <v>22.36</v>
      </c>
    </row>
    <row r="734" customHeight="1" spans="1:2">
      <c r="A734" s="9">
        <v>45658</v>
      </c>
      <c r="B734" s="10">
        <v>21.99</v>
      </c>
    </row>
    <row r="735" customHeight="1" spans="1:2">
      <c r="A735" s="7">
        <v>45659</v>
      </c>
      <c r="B735" s="8">
        <v>22.49</v>
      </c>
    </row>
    <row r="736" customHeight="1" spans="1:2">
      <c r="A736" s="9">
        <v>45660</v>
      </c>
      <c r="B736" s="10">
        <v>22.35</v>
      </c>
    </row>
    <row r="737" customHeight="1" spans="1:2">
      <c r="A737" s="7">
        <v>45661</v>
      </c>
      <c r="B737" s="8">
        <v>22.25</v>
      </c>
    </row>
    <row r="738" customHeight="1" spans="1:2">
      <c r="A738" s="9">
        <v>45662</v>
      </c>
      <c r="B738" s="10">
        <v>22.4</v>
      </c>
    </row>
    <row r="739" customHeight="1" spans="1:2">
      <c r="A739" s="7">
        <v>45663</v>
      </c>
      <c r="B739" s="8">
        <v>22.81</v>
      </c>
    </row>
    <row r="740" customHeight="1" spans="1:2">
      <c r="A740" s="9">
        <v>45664</v>
      </c>
      <c r="B740" s="10">
        <v>22.82</v>
      </c>
    </row>
    <row r="741" customHeight="1" spans="1:2">
      <c r="A741" s="7">
        <v>45665</v>
      </c>
      <c r="B741" s="8">
        <v>22.77</v>
      </c>
    </row>
    <row r="742" customHeight="1" spans="1:2">
      <c r="A742" s="9">
        <v>45666</v>
      </c>
      <c r="B742" s="10">
        <v>22.64</v>
      </c>
    </row>
    <row r="743" customHeight="1" spans="1:2">
      <c r="A743" s="7">
        <v>45667</v>
      </c>
      <c r="B743" s="8">
        <v>22.66</v>
      </c>
    </row>
    <row r="744" customHeight="1" spans="1:2">
      <c r="A744" s="9">
        <v>45668</v>
      </c>
      <c r="B744" s="10">
        <v>22.58</v>
      </c>
    </row>
    <row r="745" customHeight="1" spans="1:2">
      <c r="A745" s="7">
        <v>45669</v>
      </c>
      <c r="B745" s="8">
        <v>22.18</v>
      </c>
    </row>
    <row r="746" customHeight="1" spans="1:2">
      <c r="A746" s="9">
        <v>45670</v>
      </c>
      <c r="B746" s="10">
        <v>22.79</v>
      </c>
    </row>
    <row r="747" customHeight="1" spans="1:2">
      <c r="A747" s="7">
        <v>45671</v>
      </c>
      <c r="B747" s="8">
        <v>22.74</v>
      </c>
    </row>
    <row r="748" customHeight="1" spans="1:2">
      <c r="A748" s="9">
        <v>45672</v>
      </c>
      <c r="B748" s="10">
        <v>22.53</v>
      </c>
    </row>
    <row r="749" customHeight="1" spans="1:2">
      <c r="A749" s="7">
        <v>45673</v>
      </c>
      <c r="B749" s="8">
        <v>22.66</v>
      </c>
    </row>
    <row r="750" customHeight="1" spans="1:2">
      <c r="A750" s="9">
        <v>45674</v>
      </c>
      <c r="B750" s="10">
        <v>22.85</v>
      </c>
    </row>
    <row r="751" customHeight="1" spans="1:2">
      <c r="A751" s="7">
        <v>45675</v>
      </c>
      <c r="B751" s="8">
        <v>22.65</v>
      </c>
    </row>
    <row r="752" customHeight="1" spans="1:2">
      <c r="A752" s="9">
        <v>45676</v>
      </c>
      <c r="B752" s="10">
        <v>22.31</v>
      </c>
    </row>
    <row r="753" customHeight="1" spans="1:2">
      <c r="A753" s="7">
        <v>45677</v>
      </c>
      <c r="B753" s="8">
        <v>22.64</v>
      </c>
    </row>
    <row r="754" customHeight="1" spans="1:2">
      <c r="A754" s="9">
        <v>45678</v>
      </c>
      <c r="B754" s="10">
        <v>22.72</v>
      </c>
    </row>
    <row r="755" customHeight="1" spans="1:2">
      <c r="A755" s="7">
        <v>45679</v>
      </c>
      <c r="B755" s="8">
        <v>22.83</v>
      </c>
    </row>
    <row r="756" customHeight="1" spans="1:2">
      <c r="A756" s="9">
        <v>45680</v>
      </c>
      <c r="B756" s="10">
        <v>22.86</v>
      </c>
    </row>
    <row r="757" customHeight="1" spans="1:2">
      <c r="A757" s="7">
        <v>45681</v>
      </c>
      <c r="B757" s="8">
        <v>22.95</v>
      </c>
    </row>
    <row r="758" customHeight="1" spans="1:2">
      <c r="A758" s="9">
        <v>45682</v>
      </c>
      <c r="B758" s="10">
        <v>23.17</v>
      </c>
    </row>
    <row r="759" customHeight="1" spans="1:2">
      <c r="A759" s="7">
        <v>45683</v>
      </c>
      <c r="B759" s="8">
        <v>23.35</v>
      </c>
    </row>
    <row r="760" customHeight="1" spans="1:2">
      <c r="A760" s="9">
        <v>45684</v>
      </c>
      <c r="B760" s="10">
        <v>23.35</v>
      </c>
    </row>
    <row r="761" customHeight="1" spans="1:2">
      <c r="A761" s="7">
        <v>45685</v>
      </c>
      <c r="B761" s="8">
        <v>23.2</v>
      </c>
    </row>
    <row r="762" customHeight="1" spans="1:2">
      <c r="A762" s="9">
        <v>45686</v>
      </c>
      <c r="B762" s="10">
        <v>23.16</v>
      </c>
    </row>
    <row r="763" customHeight="1" spans="1:2">
      <c r="A763" s="7">
        <v>45687</v>
      </c>
      <c r="B763" s="8">
        <v>23.42</v>
      </c>
    </row>
    <row r="764" customHeight="1" spans="1:2">
      <c r="A764" s="9">
        <v>45688</v>
      </c>
      <c r="B764" s="10">
        <v>23.3</v>
      </c>
    </row>
    <row r="765" customHeight="1" spans="1:2">
      <c r="A765" s="7">
        <v>45689</v>
      </c>
      <c r="B765" s="8">
        <v>23.32</v>
      </c>
    </row>
    <row r="766" customHeight="1" spans="1:2">
      <c r="A766" s="9">
        <v>45690</v>
      </c>
      <c r="B766" s="10">
        <v>23.03</v>
      </c>
    </row>
    <row r="767" customHeight="1" spans="1:2">
      <c r="A767" s="7">
        <v>45691</v>
      </c>
      <c r="B767" s="8">
        <v>23.18</v>
      </c>
    </row>
    <row r="768" customHeight="1" spans="1:2">
      <c r="A768" s="9">
        <v>45692</v>
      </c>
      <c r="B768" s="10">
        <v>23.2</v>
      </c>
    </row>
    <row r="769" customHeight="1" spans="1:2">
      <c r="A769" s="7">
        <v>45693</v>
      </c>
      <c r="B769" s="8">
        <v>23.04</v>
      </c>
    </row>
    <row r="770" customHeight="1" spans="1:2">
      <c r="A770" s="9">
        <v>45694</v>
      </c>
      <c r="B770" s="10">
        <v>23.1</v>
      </c>
    </row>
    <row r="771" customHeight="1" spans="1:2">
      <c r="A771" s="7">
        <v>45695</v>
      </c>
      <c r="B771" s="8">
        <v>22.93</v>
      </c>
    </row>
    <row r="772" customHeight="1" spans="1:2">
      <c r="A772" s="9">
        <v>45696</v>
      </c>
      <c r="B772" s="10">
        <v>22.81</v>
      </c>
    </row>
    <row r="773" customHeight="1" spans="1:2">
      <c r="A773" s="7">
        <v>45697</v>
      </c>
      <c r="B773" s="8">
        <v>22.1</v>
      </c>
    </row>
    <row r="774" customHeight="1" spans="1:2">
      <c r="A774" s="9">
        <v>45698</v>
      </c>
      <c r="B774" s="10">
        <v>22.43</v>
      </c>
    </row>
    <row r="775" customHeight="1" spans="1:2">
      <c r="A775" s="7">
        <v>45699</v>
      </c>
      <c r="B775" s="8">
        <v>22.3</v>
      </c>
    </row>
    <row r="776" customHeight="1" spans="1:2">
      <c r="A776" s="9">
        <v>45700</v>
      </c>
      <c r="B776" s="10">
        <v>22.16</v>
      </c>
    </row>
    <row r="777" customHeight="1" spans="1:2">
      <c r="A777" s="7">
        <v>45701</v>
      </c>
      <c r="B777" s="8">
        <v>21.99</v>
      </c>
    </row>
    <row r="778" customHeight="1" spans="1:2">
      <c r="A778" s="9">
        <v>45702</v>
      </c>
      <c r="B778" s="10">
        <v>21.78</v>
      </c>
    </row>
    <row r="779" customHeight="1" spans="1:2">
      <c r="A779" s="7">
        <v>45703</v>
      </c>
      <c r="B779" s="8">
        <v>21.84</v>
      </c>
    </row>
    <row r="780" customHeight="1" spans="1:2">
      <c r="A780" s="9">
        <v>45704</v>
      </c>
      <c r="B780" s="10">
        <v>21.22</v>
      </c>
    </row>
    <row r="781" customHeight="1" spans="1:2">
      <c r="A781" s="7">
        <v>45705</v>
      </c>
      <c r="B781" s="8">
        <v>21.76</v>
      </c>
    </row>
    <row r="782" customHeight="1" spans="1:2">
      <c r="A782" s="9">
        <v>45706</v>
      </c>
      <c r="B782" s="10">
        <v>21.64</v>
      </c>
    </row>
    <row r="783" customHeight="1" spans="1:2">
      <c r="A783" s="7">
        <v>45707</v>
      </c>
      <c r="B783" s="8">
        <v>21.45</v>
      </c>
    </row>
    <row r="784" customHeight="1" spans="1:2">
      <c r="A784" s="9">
        <v>45708</v>
      </c>
      <c r="B784" s="10">
        <v>21.54</v>
      </c>
    </row>
    <row r="785" customHeight="1" spans="1:2">
      <c r="A785" s="7">
        <v>45709</v>
      </c>
      <c r="B785" s="8">
        <v>21.45</v>
      </c>
    </row>
    <row r="786" customHeight="1" spans="1:2">
      <c r="A786" s="9">
        <v>45710</v>
      </c>
      <c r="B786" s="10">
        <v>21.33</v>
      </c>
    </row>
    <row r="787" customHeight="1" spans="1:2">
      <c r="A787" s="7">
        <v>45711</v>
      </c>
      <c r="B787" s="8">
        <v>20.93</v>
      </c>
    </row>
    <row r="788" customHeight="1" spans="1:2">
      <c r="A788" s="9">
        <v>45712</v>
      </c>
      <c r="B788" s="10">
        <v>21.33</v>
      </c>
    </row>
    <row r="789" customHeight="1" spans="1:2">
      <c r="A789" s="7">
        <v>45713</v>
      </c>
      <c r="B789" s="8">
        <v>21.25</v>
      </c>
    </row>
    <row r="790" customHeight="1" spans="1:2">
      <c r="A790" s="9">
        <v>45714</v>
      </c>
      <c r="B790" s="10">
        <v>21.4</v>
      </c>
    </row>
    <row r="791" customHeight="1" spans="1:2">
      <c r="A791" s="7">
        <v>45715</v>
      </c>
      <c r="B791" s="8">
        <v>21.03</v>
      </c>
    </row>
    <row r="792" customHeight="1" spans="1:2">
      <c r="A792" s="9">
        <v>45716</v>
      </c>
      <c r="B792" s="10">
        <v>20.91</v>
      </c>
    </row>
    <row r="793" customHeight="1" spans="1:2">
      <c r="A793" s="7">
        <v>45717</v>
      </c>
      <c r="B793" s="8">
        <v>20.99</v>
      </c>
    </row>
    <row r="794" customHeight="1" spans="1:2">
      <c r="A794" s="9">
        <v>45718</v>
      </c>
      <c r="B794" s="10">
        <v>20.54</v>
      </c>
    </row>
    <row r="795" customHeight="1" spans="1:2">
      <c r="A795" s="7">
        <v>45719</v>
      </c>
      <c r="B795" s="8">
        <v>20.82</v>
      </c>
    </row>
    <row r="796" customHeight="1" spans="1:2">
      <c r="A796" s="9">
        <v>45720</v>
      </c>
      <c r="B796" s="10">
        <v>20.71</v>
      </c>
    </row>
    <row r="797" customHeight="1" spans="1:2">
      <c r="A797" s="7">
        <v>45721</v>
      </c>
      <c r="B797" s="8">
        <v>20.83</v>
      </c>
    </row>
    <row r="798" customHeight="1" spans="1:2">
      <c r="A798" s="9">
        <v>45722</v>
      </c>
      <c r="B798" s="10">
        <v>20.99</v>
      </c>
    </row>
    <row r="799" customHeight="1" spans="1:2">
      <c r="A799" s="7">
        <v>45723</v>
      </c>
      <c r="B799" s="8">
        <v>20.81</v>
      </c>
    </row>
    <row r="800" customHeight="1" spans="1:2">
      <c r="A800" s="9">
        <v>45724</v>
      </c>
      <c r="B800" s="10">
        <v>20.54</v>
      </c>
    </row>
    <row r="801" customHeight="1" spans="1:2">
      <c r="A801" s="7">
        <v>45725</v>
      </c>
      <c r="B801" s="8">
        <v>20.56</v>
      </c>
    </row>
    <row r="802" customHeight="1" spans="1:2">
      <c r="A802" s="9">
        <v>45726</v>
      </c>
      <c r="B802" s="10">
        <v>20.82</v>
      </c>
    </row>
    <row r="803" customHeight="1" spans="1:2">
      <c r="A803" s="7">
        <v>45727</v>
      </c>
      <c r="B803" s="8">
        <v>20.73</v>
      </c>
    </row>
    <row r="804" customHeight="1" spans="1:2">
      <c r="A804" s="9">
        <v>45728</v>
      </c>
      <c r="B804" s="10">
        <v>20.73</v>
      </c>
    </row>
    <row r="805" customHeight="1" spans="1:2">
      <c r="A805" s="7">
        <v>45729</v>
      </c>
      <c r="B805" s="8">
        <v>20.86</v>
      </c>
    </row>
    <row r="806" customHeight="1" spans="1:2">
      <c r="A806" s="9">
        <v>45730</v>
      </c>
      <c r="B806" s="10">
        <v>20.79</v>
      </c>
    </row>
    <row r="807" customHeight="1" spans="1:2">
      <c r="A807" s="7">
        <v>45731</v>
      </c>
      <c r="B807" s="8">
        <v>20.3</v>
      </c>
    </row>
    <row r="808" customHeight="1" spans="1:2">
      <c r="A808" s="9">
        <v>45732</v>
      </c>
      <c r="B808" s="10">
        <v>20.54</v>
      </c>
    </row>
    <row r="809" customHeight="1" spans="1:2">
      <c r="A809" s="7">
        <v>45733</v>
      </c>
      <c r="B809" s="8">
        <v>20.76</v>
      </c>
    </row>
    <row r="810" customHeight="1" spans="1:2">
      <c r="A810" s="9">
        <v>45734</v>
      </c>
      <c r="B810" s="10">
        <v>21</v>
      </c>
    </row>
    <row r="811" customHeight="1" spans="1:2">
      <c r="A811" s="7">
        <v>45735</v>
      </c>
      <c r="B811" s="8">
        <v>20.58</v>
      </c>
    </row>
    <row r="812" customHeight="1" spans="1:2">
      <c r="A812" s="9">
        <v>45736</v>
      </c>
      <c r="B812" s="10">
        <v>20.73</v>
      </c>
    </row>
    <row r="813" customHeight="1" spans="1:2">
      <c r="A813" s="7">
        <v>45737</v>
      </c>
      <c r="B813" s="8">
        <v>20.89</v>
      </c>
    </row>
    <row r="814" customHeight="1" spans="1:2">
      <c r="A814" s="9">
        <v>45738</v>
      </c>
      <c r="B814" s="10">
        <v>20.44</v>
      </c>
    </row>
    <row r="815" customHeight="1" spans="1:2">
      <c r="A815" s="7">
        <v>45739</v>
      </c>
      <c r="B815" s="8">
        <v>20.28</v>
      </c>
    </row>
    <row r="816" customHeight="1" spans="1:2">
      <c r="A816" s="9">
        <v>45740</v>
      </c>
      <c r="B816" s="10">
        <v>21.05</v>
      </c>
    </row>
    <row r="817" customHeight="1" spans="1:2">
      <c r="A817" s="7">
        <v>45741</v>
      </c>
      <c r="B817" s="8">
        <v>20.68</v>
      </c>
    </row>
    <row r="818" customHeight="1" spans="1:2">
      <c r="A818" s="9">
        <v>45742</v>
      </c>
      <c r="B818" s="10">
        <v>20.94</v>
      </c>
    </row>
    <row r="819" customHeight="1" spans="1:2">
      <c r="A819" s="7">
        <v>45743</v>
      </c>
      <c r="B819" s="8">
        <v>20.74</v>
      </c>
    </row>
    <row r="820" customHeight="1" spans="1:2">
      <c r="A820" s="9">
        <v>45744</v>
      </c>
      <c r="B820" s="10">
        <v>20.94</v>
      </c>
    </row>
    <row r="821" customHeight="1" spans="1:2">
      <c r="A821" s="7">
        <v>45745</v>
      </c>
      <c r="B821" s="8">
        <v>20.38</v>
      </c>
    </row>
    <row r="822" customHeight="1" spans="1:2">
      <c r="A822" s="9">
        <v>45746</v>
      </c>
      <c r="B822" s="10">
        <v>20.51</v>
      </c>
    </row>
    <row r="823" customHeight="1" spans="1:2">
      <c r="A823" s="7">
        <v>45747</v>
      </c>
      <c r="B823" s="8">
        <v>20.8</v>
      </c>
    </row>
    <row r="824" customHeight="1" spans="1:2">
      <c r="A824" s="9">
        <v>45748</v>
      </c>
      <c r="B824" s="10">
        <v>20.76</v>
      </c>
    </row>
    <row r="825" customHeight="1" spans="1:2">
      <c r="A825" s="7">
        <v>45749</v>
      </c>
      <c r="B825" s="8">
        <v>20.72</v>
      </c>
    </row>
    <row r="826" customHeight="1" spans="1:2">
      <c r="A826" s="9">
        <v>45750</v>
      </c>
      <c r="B826" s="10">
        <v>20.91</v>
      </c>
    </row>
    <row r="827" customHeight="1" spans="1:2">
      <c r="A827" s="7">
        <v>45751</v>
      </c>
      <c r="B827" s="8">
        <v>20.41</v>
      </c>
    </row>
    <row r="828" customHeight="1" spans="1:2">
      <c r="A828" s="9">
        <v>45752</v>
      </c>
      <c r="B828" s="10">
        <v>20.59</v>
      </c>
    </row>
    <row r="829" customHeight="1" spans="1:2">
      <c r="A829" s="7">
        <v>45753</v>
      </c>
      <c r="B829" s="8">
        <v>20.57</v>
      </c>
    </row>
    <row r="830" customHeight="1" spans="1:2">
      <c r="A830" s="9">
        <v>45754</v>
      </c>
      <c r="B830" s="10">
        <v>20.98</v>
      </c>
    </row>
    <row r="831" customHeight="1" spans="1:2">
      <c r="A831" s="7">
        <v>45755</v>
      </c>
      <c r="B831" s="8">
        <v>20.61</v>
      </c>
    </row>
    <row r="832" customHeight="1" spans="1:2">
      <c r="A832" s="9">
        <v>45756</v>
      </c>
      <c r="B832" s="10">
        <v>20.51</v>
      </c>
    </row>
    <row r="833" customHeight="1" spans="1:2">
      <c r="A833" s="7">
        <v>45757</v>
      </c>
      <c r="B833" s="8">
        <v>20.76</v>
      </c>
    </row>
    <row r="834" customHeight="1" spans="1:2">
      <c r="A834" s="9">
        <v>45758</v>
      </c>
      <c r="B834" s="10">
        <v>20.84</v>
      </c>
    </row>
    <row r="835" customHeight="1" spans="1:2">
      <c r="A835" s="7">
        <v>45759</v>
      </c>
      <c r="B835" s="8">
        <v>20.6</v>
      </c>
    </row>
    <row r="836" customHeight="1" spans="1:2">
      <c r="A836" s="9">
        <v>45760</v>
      </c>
      <c r="B836" s="10">
        <v>20.28</v>
      </c>
    </row>
    <row r="837" customHeight="1" spans="1:2">
      <c r="A837" s="7">
        <v>45761</v>
      </c>
      <c r="B837" s="8">
        <v>20.79</v>
      </c>
    </row>
    <row r="838" customHeight="1" spans="1:2">
      <c r="A838" s="9">
        <v>45762</v>
      </c>
      <c r="B838" s="10">
        <v>20.62</v>
      </c>
    </row>
    <row r="839" customHeight="1" spans="1:2">
      <c r="A839" s="7">
        <v>45763</v>
      </c>
      <c r="B839" s="8">
        <v>20.94</v>
      </c>
    </row>
    <row r="840" customHeight="1" spans="1:2">
      <c r="A840" s="9">
        <v>45764</v>
      </c>
      <c r="B840" s="10">
        <v>20.65</v>
      </c>
    </row>
    <row r="841" customHeight="1" spans="1:2">
      <c r="A841" s="7">
        <v>45765</v>
      </c>
      <c r="B841" s="8">
        <v>20.77</v>
      </c>
    </row>
    <row r="842" customHeight="1" spans="1:2">
      <c r="A842" s="9">
        <v>45766</v>
      </c>
      <c r="B842" s="10">
        <v>20.72</v>
      </c>
    </row>
    <row r="843" customHeight="1" spans="1:2">
      <c r="A843" s="7">
        <v>45767</v>
      </c>
      <c r="B843" s="8">
        <v>20.43</v>
      </c>
    </row>
    <row r="844" customHeight="1" spans="1:2">
      <c r="A844" s="9">
        <v>45768</v>
      </c>
      <c r="B844" s="10">
        <v>20.96</v>
      </c>
    </row>
    <row r="845" customHeight="1" spans="1:2">
      <c r="A845" s="7">
        <v>45769</v>
      </c>
      <c r="B845" s="8">
        <v>20.91</v>
      </c>
    </row>
    <row r="846" customHeight="1" spans="1:2">
      <c r="A846" s="9">
        <v>45770</v>
      </c>
      <c r="B846" s="10">
        <v>20.99</v>
      </c>
    </row>
    <row r="847" customHeight="1" spans="1:2">
      <c r="A847" s="7">
        <v>45771</v>
      </c>
      <c r="B847" s="8">
        <v>20.88</v>
      </c>
    </row>
    <row r="848" customHeight="1" spans="1:2">
      <c r="A848" s="9">
        <v>45772</v>
      </c>
      <c r="B848" s="10">
        <v>20.89</v>
      </c>
    </row>
    <row r="849" customHeight="1" spans="1:2">
      <c r="A849" s="7">
        <v>45773</v>
      </c>
      <c r="B849" s="8">
        <v>20.5</v>
      </c>
    </row>
    <row r="850" customHeight="1" spans="1:2">
      <c r="A850" s="9">
        <v>45774</v>
      </c>
      <c r="B850" s="10">
        <v>20.8</v>
      </c>
    </row>
    <row r="851" customHeight="1" spans="1:2">
      <c r="A851" s="7">
        <v>45775</v>
      </c>
      <c r="B851" s="8">
        <v>20.88</v>
      </c>
    </row>
    <row r="852" customHeight="1" spans="1:2">
      <c r="A852" s="9">
        <v>45776</v>
      </c>
      <c r="B852" s="10">
        <v>20.78</v>
      </c>
    </row>
    <row r="853" customHeight="1" spans="1:2">
      <c r="A853" s="7">
        <v>45777</v>
      </c>
      <c r="B853" s="8">
        <v>20.59</v>
      </c>
    </row>
    <row r="854" customHeight="1" spans="1:2">
      <c r="A854" s="9">
        <v>45778</v>
      </c>
      <c r="B854" s="10">
        <v>20.55</v>
      </c>
    </row>
    <row r="855" customHeight="1" spans="1:2">
      <c r="A855" s="7">
        <v>45779</v>
      </c>
      <c r="B855" s="8">
        <v>20.32</v>
      </c>
    </row>
    <row r="856" customHeight="1" spans="1:2">
      <c r="A856" s="9">
        <v>45780</v>
      </c>
      <c r="B856" s="10">
        <v>20.58</v>
      </c>
    </row>
    <row r="857" customHeight="1" spans="1:2">
      <c r="A857" s="7">
        <v>45781</v>
      </c>
      <c r="B857" s="8">
        <v>20.51</v>
      </c>
    </row>
    <row r="858" customHeight="1" spans="1:2">
      <c r="A858" s="9">
        <v>45782</v>
      </c>
      <c r="B858" s="10">
        <v>20.43</v>
      </c>
    </row>
    <row r="859" customHeight="1" spans="1:2">
      <c r="A859" s="7">
        <v>45783</v>
      </c>
      <c r="B859" s="8">
        <v>20.96</v>
      </c>
    </row>
    <row r="860" customHeight="1" spans="1:2">
      <c r="A860" s="9">
        <v>45784</v>
      </c>
      <c r="B860" s="10">
        <v>21.02</v>
      </c>
    </row>
    <row r="861" customHeight="1" spans="1:2">
      <c r="A861" s="7">
        <v>45785</v>
      </c>
      <c r="B861" s="8">
        <v>20.92</v>
      </c>
    </row>
    <row r="862" customHeight="1" spans="1:2">
      <c r="A862" s="9">
        <v>45786</v>
      </c>
      <c r="B862" s="10">
        <v>20.66</v>
      </c>
    </row>
    <row r="863" customHeight="1" spans="1:2">
      <c r="A863" s="7">
        <v>45787</v>
      </c>
      <c r="B863" s="8">
        <v>20.76</v>
      </c>
    </row>
    <row r="864" customHeight="1" spans="1:2">
      <c r="A864" s="9">
        <v>45788</v>
      </c>
      <c r="B864" s="10">
        <v>20.59</v>
      </c>
    </row>
    <row r="865" customHeight="1" spans="1:2">
      <c r="A865" s="7">
        <v>45789</v>
      </c>
      <c r="B865" s="8">
        <v>20.85</v>
      </c>
    </row>
    <row r="866" customHeight="1" spans="1:2">
      <c r="A866" s="9">
        <v>45790</v>
      </c>
      <c r="B866" s="10">
        <v>20.81</v>
      </c>
    </row>
    <row r="867" customHeight="1" spans="1:2">
      <c r="A867" s="7">
        <v>45791</v>
      </c>
      <c r="B867" s="8">
        <v>20.9</v>
      </c>
    </row>
    <row r="868" customHeight="1" spans="1:2">
      <c r="A868" s="9">
        <v>45792</v>
      </c>
      <c r="B868" s="10">
        <v>20.9</v>
      </c>
    </row>
    <row r="869" customHeight="1" spans="1:2">
      <c r="A869" s="7">
        <v>45793</v>
      </c>
      <c r="B869" s="8">
        <v>20.98</v>
      </c>
    </row>
    <row r="870" customHeight="1" spans="1:2">
      <c r="A870" s="9">
        <v>45794</v>
      </c>
      <c r="B870" s="10">
        <v>20.63</v>
      </c>
    </row>
    <row r="871" customHeight="1" spans="1:2">
      <c r="A871" s="7">
        <v>45795</v>
      </c>
      <c r="B871" s="8">
        <v>20.45</v>
      </c>
    </row>
    <row r="872" customHeight="1" spans="1:2">
      <c r="A872" s="9">
        <v>45796</v>
      </c>
      <c r="B872" s="10">
        <v>20.91</v>
      </c>
    </row>
    <row r="873" customHeight="1" spans="1:2">
      <c r="A873" s="7">
        <v>45797</v>
      </c>
      <c r="B873" s="8">
        <v>20.76</v>
      </c>
    </row>
    <row r="874" customHeight="1" spans="1:2">
      <c r="A874" s="9">
        <v>45798</v>
      </c>
      <c r="B874" s="10">
        <v>20.72</v>
      </c>
    </row>
    <row r="875" customHeight="1" spans="1:2">
      <c r="A875" s="7">
        <v>45799</v>
      </c>
      <c r="B875" s="8">
        <v>20.67</v>
      </c>
    </row>
    <row r="876" customHeight="1" spans="1:2">
      <c r="A876" s="9">
        <v>45800</v>
      </c>
      <c r="B876" s="10">
        <v>20.91</v>
      </c>
    </row>
    <row r="877" customHeight="1" spans="1:2">
      <c r="A877" s="7">
        <v>45801</v>
      </c>
      <c r="B877" s="8">
        <v>20.52</v>
      </c>
    </row>
    <row r="878" customHeight="1" spans="1:2">
      <c r="A878" s="9">
        <v>45802</v>
      </c>
      <c r="B878" s="10">
        <v>20.19</v>
      </c>
    </row>
    <row r="879" customHeight="1" spans="1:2">
      <c r="A879" s="7">
        <v>45803</v>
      </c>
      <c r="B879" s="8">
        <v>20.6</v>
      </c>
    </row>
    <row r="880" customHeight="1" spans="1:2">
      <c r="A880" s="9">
        <v>45804</v>
      </c>
      <c r="B880" s="10">
        <v>20.91</v>
      </c>
    </row>
    <row r="881" customHeight="1" spans="1:2">
      <c r="A881" s="7">
        <v>45805</v>
      </c>
      <c r="B881" s="8">
        <v>20.84</v>
      </c>
    </row>
    <row r="882" customHeight="1" spans="1:2">
      <c r="A882" s="9">
        <v>45806</v>
      </c>
      <c r="B882" s="10">
        <v>20.69</v>
      </c>
    </row>
    <row r="883" customHeight="1" spans="1:2">
      <c r="A883" s="7">
        <v>45807</v>
      </c>
      <c r="B883" s="8">
        <v>20.64</v>
      </c>
    </row>
    <row r="884" customHeight="1" spans="1:2">
      <c r="A884" s="9">
        <v>45808</v>
      </c>
      <c r="B884" s="10">
        <v>20.55</v>
      </c>
    </row>
    <row r="885" customHeight="1" spans="1:2">
      <c r="A885" s="7">
        <v>45809</v>
      </c>
      <c r="B885" s="8">
        <v>20.51</v>
      </c>
    </row>
    <row r="886" customHeight="1" spans="1:2">
      <c r="A886" s="9">
        <v>45810</v>
      </c>
      <c r="B886" s="10">
        <v>20.42</v>
      </c>
    </row>
    <row r="887" customHeight="1" spans="1:2">
      <c r="A887" s="7">
        <v>45811</v>
      </c>
      <c r="B887" s="8">
        <v>20.59</v>
      </c>
    </row>
    <row r="888" customHeight="1" spans="1:2">
      <c r="A888" s="9">
        <v>45812</v>
      </c>
      <c r="B888" s="10">
        <v>20.75</v>
      </c>
    </row>
    <row r="889" customHeight="1" spans="1:2">
      <c r="A889" s="7">
        <v>45813</v>
      </c>
      <c r="B889" s="8">
        <v>20.55</v>
      </c>
    </row>
    <row r="890" customHeight="1" spans="1:2">
      <c r="A890" s="9">
        <v>45814</v>
      </c>
      <c r="B890" s="10">
        <v>20.59</v>
      </c>
    </row>
    <row r="891" customHeight="1" spans="1:2">
      <c r="A891" s="7">
        <v>45815</v>
      </c>
      <c r="B891" s="8">
        <v>20.33</v>
      </c>
    </row>
    <row r="892" customHeight="1" spans="1:2">
      <c r="A892" s="9">
        <v>45816</v>
      </c>
      <c r="B892" s="10">
        <v>20.27</v>
      </c>
    </row>
    <row r="893" customHeight="1" spans="1:2">
      <c r="A893" s="7">
        <v>45817</v>
      </c>
      <c r="B893" s="8">
        <v>20.46</v>
      </c>
    </row>
    <row r="894" customHeight="1" spans="1:2">
      <c r="A894" s="9">
        <v>45818</v>
      </c>
      <c r="B894" s="10">
        <v>20.3</v>
      </c>
    </row>
    <row r="895" customHeight="1" spans="1:2">
      <c r="A895" s="7">
        <v>45819</v>
      </c>
      <c r="B895" s="8">
        <v>20.28</v>
      </c>
    </row>
    <row r="896" customHeight="1" spans="1:2">
      <c r="A896" s="9">
        <v>45820</v>
      </c>
      <c r="B896" s="10">
        <v>20.33</v>
      </c>
    </row>
    <row r="897" customHeight="1" spans="1:2">
      <c r="A897" s="7">
        <v>45821</v>
      </c>
      <c r="B897" s="8">
        <v>20.26</v>
      </c>
    </row>
    <row r="898" customHeight="1" spans="1:2">
      <c r="A898" s="9">
        <v>45822</v>
      </c>
      <c r="B898" s="10">
        <v>20.01</v>
      </c>
    </row>
    <row r="899" customHeight="1" spans="1:2">
      <c r="A899" s="7">
        <v>45823</v>
      </c>
      <c r="B899" s="8">
        <v>19.95</v>
      </c>
    </row>
    <row r="900" customHeight="1" spans="1:2">
      <c r="A900" s="9">
        <v>45824</v>
      </c>
      <c r="B900" s="10">
        <v>20.37</v>
      </c>
    </row>
    <row r="901" customHeight="1" spans="1:2">
      <c r="A901" s="7">
        <v>45825</v>
      </c>
      <c r="B901" s="8">
        <v>20.23</v>
      </c>
    </row>
    <row r="902" customHeight="1" spans="1:2">
      <c r="A902" s="9">
        <v>45826</v>
      </c>
      <c r="B902" s="10">
        <v>20.24</v>
      </c>
    </row>
    <row r="903" customHeight="1" spans="1:2">
      <c r="A903" s="7">
        <v>45827</v>
      </c>
      <c r="B903" s="8">
        <v>20.29</v>
      </c>
    </row>
    <row r="904" customHeight="1" spans="1:2">
      <c r="A904" s="9">
        <v>45828</v>
      </c>
      <c r="B904" s="10">
        <v>20.29</v>
      </c>
    </row>
    <row r="905" customHeight="1" spans="1:2">
      <c r="A905" s="7">
        <v>45829</v>
      </c>
      <c r="B905" s="8">
        <v>20.18</v>
      </c>
    </row>
    <row r="906" customHeight="1" spans="1:2">
      <c r="A906" s="9">
        <v>45830</v>
      </c>
      <c r="B906" s="10">
        <v>19.89</v>
      </c>
    </row>
    <row r="907" customHeight="1" spans="1:2">
      <c r="A907" s="7">
        <v>45831</v>
      </c>
      <c r="B907" s="8">
        <v>20.08</v>
      </c>
    </row>
    <row r="908" customHeight="1" spans="1:2">
      <c r="A908" s="9">
        <v>45832</v>
      </c>
      <c r="B908" s="10">
        <v>20.29</v>
      </c>
    </row>
    <row r="909" customHeight="1" spans="1:2">
      <c r="A909" s="7">
        <v>45833</v>
      </c>
      <c r="B909" s="8">
        <v>20.22</v>
      </c>
    </row>
    <row r="910" customHeight="1" spans="1:2">
      <c r="A910" s="9">
        <v>45834</v>
      </c>
      <c r="B910" s="10">
        <v>20.13</v>
      </c>
    </row>
    <row r="911" customHeight="1" spans="1:2">
      <c r="A911" s="7">
        <v>45835</v>
      </c>
      <c r="B911" s="8">
        <v>20.34</v>
      </c>
    </row>
    <row r="912" customHeight="1" spans="1:2">
      <c r="A912" s="9">
        <v>45836</v>
      </c>
      <c r="B912" s="10">
        <v>20.28</v>
      </c>
    </row>
    <row r="913" customHeight="1" spans="1:2">
      <c r="A913" s="7">
        <v>45837</v>
      </c>
      <c r="B913" s="8">
        <v>20.12</v>
      </c>
    </row>
    <row r="914" customHeight="1" spans="1:2">
      <c r="A914" s="9">
        <v>45838</v>
      </c>
      <c r="B914" s="10">
        <v>20.29</v>
      </c>
    </row>
    <row r="915" customHeight="1" spans="1:2">
      <c r="A915" s="7">
        <v>45839</v>
      </c>
      <c r="B915" s="8">
        <v>20.23</v>
      </c>
    </row>
    <row r="916" customHeight="1" spans="1:2">
      <c r="A916" s="9">
        <v>45840</v>
      </c>
      <c r="B916" s="10">
        <v>20.54</v>
      </c>
    </row>
    <row r="917" customHeight="1" spans="1:2">
      <c r="A917" s="7">
        <v>45841</v>
      </c>
      <c r="B917" s="8">
        <v>20.29</v>
      </c>
    </row>
    <row r="918" customHeight="1" spans="1:2">
      <c r="A918" s="9">
        <v>45842</v>
      </c>
      <c r="B918" s="10">
        <v>20.68</v>
      </c>
    </row>
    <row r="919" customHeight="1" spans="1:2">
      <c r="A919" s="7">
        <v>45843</v>
      </c>
      <c r="B919" s="8">
        <v>20.51</v>
      </c>
    </row>
    <row r="920" customHeight="1" spans="1:2">
      <c r="A920" s="9">
        <v>45844</v>
      </c>
      <c r="B920" s="10">
        <v>20.4</v>
      </c>
    </row>
    <row r="921" customHeight="1" spans="1:2">
      <c r="A921" s="7">
        <v>45845</v>
      </c>
      <c r="B921" s="8">
        <v>20.66</v>
      </c>
    </row>
    <row r="922" customHeight="1" spans="1:2">
      <c r="A922" s="9">
        <v>45846</v>
      </c>
      <c r="B922" s="10">
        <v>20.51</v>
      </c>
    </row>
    <row r="923" customHeight="1" spans="1:2">
      <c r="A923" s="7">
        <v>45847</v>
      </c>
      <c r="B923" s="8">
        <v>20.48</v>
      </c>
    </row>
    <row r="924" customHeight="1" spans="1:2">
      <c r="A924" s="9">
        <v>45848</v>
      </c>
      <c r="B924" s="10">
        <v>20.73</v>
      </c>
    </row>
    <row r="925" customHeight="1" spans="1:2">
      <c r="A925" s="7">
        <v>45849</v>
      </c>
      <c r="B925" s="8">
        <v>20.77</v>
      </c>
    </row>
    <row r="926" customHeight="1" spans="1:2">
      <c r="A926" s="9">
        <v>45850</v>
      </c>
      <c r="B926" s="10">
        <v>20.49</v>
      </c>
    </row>
    <row r="927" customHeight="1" spans="1:2">
      <c r="A927" s="7">
        <v>45851</v>
      </c>
      <c r="B927" s="8">
        <v>20.43</v>
      </c>
    </row>
    <row r="928" customHeight="1" spans="1:2">
      <c r="A928" s="9">
        <v>45852</v>
      </c>
      <c r="B928" s="10">
        <v>20.6</v>
      </c>
    </row>
    <row r="929" customHeight="1" spans="1:2">
      <c r="A929" s="7">
        <v>45853</v>
      </c>
      <c r="B929" s="8">
        <v>20.74</v>
      </c>
    </row>
    <row r="930" customHeight="1" spans="1:2">
      <c r="A930" s="9">
        <v>45854</v>
      </c>
      <c r="B930" s="10">
        <v>20.61</v>
      </c>
    </row>
    <row r="931" customHeight="1" spans="1:2">
      <c r="A931" s="7">
        <v>45855</v>
      </c>
      <c r="B931" s="8">
        <v>20.63</v>
      </c>
    </row>
    <row r="932" customHeight="1" spans="1:2">
      <c r="A932" s="9">
        <v>45856</v>
      </c>
      <c r="B932" s="10">
        <v>20.69</v>
      </c>
    </row>
    <row r="933" customHeight="1" spans="1:2">
      <c r="A933" s="7">
        <v>45857</v>
      </c>
      <c r="B933" s="8">
        <v>20.54</v>
      </c>
    </row>
    <row r="934" customHeight="1" spans="1:2">
      <c r="A934" s="9">
        <v>45858</v>
      </c>
      <c r="B934" s="10">
        <v>20.59</v>
      </c>
    </row>
    <row r="935" customHeight="1" spans="1:2">
      <c r="A935" s="7">
        <v>45859</v>
      </c>
      <c r="B935" s="8">
        <v>20.8</v>
      </c>
    </row>
    <row r="936" customHeight="1" spans="1:2">
      <c r="A936" s="9">
        <v>45860</v>
      </c>
      <c r="B936" s="10">
        <v>20.74</v>
      </c>
    </row>
    <row r="937" customHeight="1" spans="1:2">
      <c r="A937" s="7">
        <v>45861</v>
      </c>
      <c r="B937" s="8">
        <v>20.57</v>
      </c>
    </row>
    <row r="938" customHeight="1" spans="1:2">
      <c r="A938" s="9">
        <v>45862</v>
      </c>
      <c r="B938" s="10">
        <v>20.6</v>
      </c>
    </row>
    <row r="939" customHeight="1" spans="1:2">
      <c r="A939" s="7">
        <v>45863</v>
      </c>
      <c r="B939" s="8">
        <v>20.77</v>
      </c>
    </row>
    <row r="940" customHeight="1" spans="1:2">
      <c r="A940" s="9">
        <v>45864</v>
      </c>
      <c r="B940" s="10">
        <v>20.66</v>
      </c>
    </row>
    <row r="941" customHeight="1" spans="1:2">
      <c r="A941" s="7">
        <v>45865</v>
      </c>
      <c r="B941" s="8">
        <v>20.53</v>
      </c>
    </row>
    <row r="942" customHeight="1" spans="1:2">
      <c r="A942" s="9">
        <v>45866</v>
      </c>
      <c r="B942" s="10">
        <v>20.51</v>
      </c>
    </row>
    <row r="943" customHeight="1" spans="1:2">
      <c r="A943" s="7">
        <v>45867</v>
      </c>
      <c r="B943" s="8">
        <v>20.5</v>
      </c>
    </row>
    <row r="944" customHeight="1" spans="1:2">
      <c r="A944" s="9">
        <v>45868</v>
      </c>
      <c r="B944" s="10">
        <v>20.67</v>
      </c>
    </row>
    <row r="945" customHeight="1" spans="1:2">
      <c r="A945" s="7">
        <v>45869</v>
      </c>
      <c r="B945" s="8">
        <v>20.39</v>
      </c>
    </row>
    <row r="946" customHeight="1" spans="1:2">
      <c r="A946" s="9">
        <v>45870</v>
      </c>
      <c r="B946" s="10">
        <v>20.57</v>
      </c>
    </row>
    <row r="947" customHeight="1" spans="1:2">
      <c r="A947" s="7">
        <v>45871</v>
      </c>
      <c r="B947" s="8">
        <v>20.45</v>
      </c>
    </row>
    <row r="948" customHeight="1" spans="1:2">
      <c r="A948" s="9">
        <v>45872</v>
      </c>
      <c r="B948" s="10">
        <v>20.49</v>
      </c>
    </row>
    <row r="949" customHeight="1" spans="1:2">
      <c r="A949" s="7">
        <v>45873</v>
      </c>
      <c r="B949" s="8">
        <v>20.33</v>
      </c>
    </row>
    <row r="950" customHeight="1" spans="1:2">
      <c r="A950" s="9">
        <v>45874</v>
      </c>
      <c r="B950" s="10">
        <v>20.33</v>
      </c>
    </row>
    <row r="951" customHeight="1" spans="1:2">
      <c r="A951" s="7">
        <v>45875</v>
      </c>
      <c r="B951" s="8">
        <v>20.67</v>
      </c>
    </row>
    <row r="952" customHeight="1" spans="1:2">
      <c r="A952" s="9">
        <v>45876</v>
      </c>
      <c r="B952" s="10">
        <v>20.45</v>
      </c>
    </row>
    <row r="953" customHeight="1" spans="1:2">
      <c r="A953" s="7">
        <v>45877</v>
      </c>
      <c r="B953" s="8">
        <v>20.39</v>
      </c>
    </row>
    <row r="954" customHeight="1" spans="1:2">
      <c r="A954" s="9">
        <v>45878</v>
      </c>
      <c r="B954" s="10">
        <v>20.26</v>
      </c>
    </row>
    <row r="955" customHeight="1" spans="1:2">
      <c r="A955" s="7">
        <v>45879</v>
      </c>
      <c r="B955" s="8">
        <v>20.22</v>
      </c>
    </row>
    <row r="956" customHeight="1" spans="1:2">
      <c r="A956" s="9">
        <v>45880</v>
      </c>
      <c r="B956" s="10">
        <v>20.2</v>
      </c>
    </row>
    <row r="957" customHeight="1" spans="1:2">
      <c r="A957" s="7">
        <v>45881</v>
      </c>
      <c r="B957" s="8">
        <v>20.26</v>
      </c>
    </row>
    <row r="958" customHeight="1" spans="1:2">
      <c r="A958" s="9">
        <v>45882</v>
      </c>
      <c r="B958" s="10">
        <v>20.25</v>
      </c>
    </row>
    <row r="959" customHeight="1" spans="1:2">
      <c r="A959" s="7">
        <v>45883</v>
      </c>
      <c r="B959" s="8">
        <v>20.23</v>
      </c>
    </row>
    <row r="960" customHeight="1" spans="1:2">
      <c r="A960" s="9">
        <v>45884</v>
      </c>
      <c r="B960" s="10">
        <v>20.13</v>
      </c>
    </row>
    <row r="961" customHeight="1" spans="1:2">
      <c r="A961" s="7">
        <v>45885</v>
      </c>
      <c r="B961" s="8">
        <v>19.84</v>
      </c>
    </row>
    <row r="962" customHeight="1" spans="1:2">
      <c r="A962" s="9">
        <v>45886</v>
      </c>
      <c r="B962" s="10">
        <v>19.66</v>
      </c>
    </row>
    <row r="963" customHeight="1" spans="1:2">
      <c r="A963" s="7">
        <v>45887</v>
      </c>
      <c r="B963" s="8">
        <v>20.2</v>
      </c>
    </row>
    <row r="964" customHeight="1" spans="1:2">
      <c r="A964" s="9">
        <v>45888</v>
      </c>
      <c r="B964" s="10">
        <v>20.21</v>
      </c>
    </row>
    <row r="965" customHeight="1" spans="1:2">
      <c r="A965" s="7">
        <v>45889</v>
      </c>
      <c r="B965" s="8">
        <v>20.04</v>
      </c>
    </row>
    <row r="966" customHeight="1" spans="1:2">
      <c r="A966" s="9">
        <v>45890</v>
      </c>
      <c r="B966" s="10">
        <v>20.03</v>
      </c>
    </row>
    <row r="967" customHeight="1" spans="1:2">
      <c r="A967" s="7">
        <v>45891</v>
      </c>
      <c r="B967" s="8">
        <v>20.06</v>
      </c>
    </row>
    <row r="968" customHeight="1" spans="1:2">
      <c r="A968" s="9">
        <v>45892</v>
      </c>
      <c r="B968" s="10">
        <v>19.92</v>
      </c>
    </row>
    <row r="969" customHeight="1" spans="1:2">
      <c r="A969" s="7">
        <v>45893</v>
      </c>
      <c r="B969" s="8">
        <v>19.76</v>
      </c>
    </row>
    <row r="970" customHeight="1" spans="1:2">
      <c r="A970" s="9">
        <v>45894</v>
      </c>
      <c r="B970" s="10">
        <v>20.11</v>
      </c>
    </row>
    <row r="971" customHeight="1" spans="1:2">
      <c r="A971" s="7">
        <v>45895</v>
      </c>
      <c r="B971" s="8">
        <v>20.01</v>
      </c>
    </row>
    <row r="972" customHeight="1" spans="1:2">
      <c r="A972" s="9">
        <v>45896</v>
      </c>
      <c r="B972" s="10">
        <v>19.92</v>
      </c>
    </row>
    <row r="973" customHeight="1" spans="1:2">
      <c r="A973" s="7">
        <v>45897</v>
      </c>
      <c r="B973" s="8">
        <v>19.82</v>
      </c>
    </row>
    <row r="974" customHeight="1" spans="1:2">
      <c r="A974" s="9">
        <v>45898</v>
      </c>
      <c r="B974" s="10">
        <v>19.91</v>
      </c>
    </row>
    <row r="975" customHeight="1" spans="1:2">
      <c r="A975" s="7">
        <v>45899</v>
      </c>
      <c r="B975" s="8">
        <v>19.78</v>
      </c>
    </row>
    <row r="976" customHeight="1" spans="1:2">
      <c r="A976" s="9">
        <v>45900</v>
      </c>
      <c r="B976" s="10">
        <v>19.62</v>
      </c>
    </row>
    <row r="977" customHeight="1" spans="1:2">
      <c r="A977" s="7">
        <v>45901</v>
      </c>
      <c r="B977" s="8">
        <v>20.01</v>
      </c>
    </row>
    <row r="978" customHeight="1" spans="1:2">
      <c r="A978" s="9">
        <v>45902</v>
      </c>
      <c r="B978" s="10">
        <v>19.8</v>
      </c>
    </row>
    <row r="979" customHeight="1" spans="1:2">
      <c r="A979" s="7">
        <v>45903</v>
      </c>
      <c r="B979" s="8">
        <v>20.04</v>
      </c>
    </row>
    <row r="980" customHeight="1" spans="1:2">
      <c r="A980" s="9">
        <v>45904</v>
      </c>
      <c r="B980" s="10">
        <v>19.61</v>
      </c>
    </row>
    <row r="981" customHeight="1" spans="1:2">
      <c r="A981" s="7">
        <v>45905</v>
      </c>
      <c r="B981" s="8">
        <v>19.91</v>
      </c>
    </row>
    <row r="982" customHeight="1" spans="1:2">
      <c r="A982" s="9">
        <v>45906</v>
      </c>
      <c r="B982" s="10">
        <v>19.77</v>
      </c>
    </row>
    <row r="983" customHeight="1" spans="1:2">
      <c r="A983" s="7">
        <v>45907</v>
      </c>
      <c r="B983" s="8">
        <v>19.63</v>
      </c>
    </row>
    <row r="984" customHeight="1" spans="1:2">
      <c r="A984" s="9">
        <v>45908</v>
      </c>
      <c r="B984" s="10">
        <v>20.1</v>
      </c>
    </row>
    <row r="985" customHeight="1" spans="1:2">
      <c r="A985" s="7">
        <v>45909</v>
      </c>
      <c r="B985" s="8">
        <v>19.86</v>
      </c>
    </row>
    <row r="986" customHeight="1" spans="1:2">
      <c r="A986" s="9">
        <v>45910</v>
      </c>
      <c r="B986" s="10">
        <v>19.91</v>
      </c>
    </row>
    <row r="987" customHeight="1" spans="1:2">
      <c r="A987" s="7">
        <v>45911</v>
      </c>
      <c r="B987" s="8">
        <v>19.94</v>
      </c>
    </row>
    <row r="988" customHeight="1" spans="1:2">
      <c r="A988" s="9">
        <v>45912</v>
      </c>
      <c r="B988" s="10">
        <v>19.84</v>
      </c>
    </row>
    <row r="989" customHeight="1" spans="1:2">
      <c r="A989" s="7">
        <v>45913</v>
      </c>
      <c r="B989" s="8">
        <v>19.6</v>
      </c>
    </row>
    <row r="990" customHeight="1" spans="1:2">
      <c r="A990" s="9">
        <v>45914</v>
      </c>
      <c r="B990" s="10">
        <v>19.57</v>
      </c>
    </row>
    <row r="991" customHeight="1" spans="1:2">
      <c r="A991" s="7">
        <v>45915</v>
      </c>
      <c r="B991" s="8">
        <v>19.88</v>
      </c>
    </row>
    <row r="992" customHeight="1" spans="1:2">
      <c r="A992" s="9">
        <v>45916</v>
      </c>
      <c r="B992" s="10">
        <v>19.88</v>
      </c>
    </row>
    <row r="993" customHeight="1" spans="1:2">
      <c r="A993" s="7">
        <v>45917</v>
      </c>
      <c r="B993" s="8">
        <v>19.73</v>
      </c>
    </row>
    <row r="994" customHeight="1" spans="1:2">
      <c r="A994" s="9">
        <v>45918</v>
      </c>
      <c r="B994" s="10">
        <v>19.55</v>
      </c>
    </row>
    <row r="995" customHeight="1" spans="1:2">
      <c r="A995" s="7">
        <v>45919</v>
      </c>
      <c r="B995" s="8">
        <v>19.64</v>
      </c>
    </row>
    <row r="996" customHeight="1" spans="1:2">
      <c r="A996" s="9">
        <v>45920</v>
      </c>
      <c r="B996" s="10">
        <v>19.56</v>
      </c>
    </row>
    <row r="997" customHeight="1" spans="1:2">
      <c r="A997" s="7">
        <v>45921</v>
      </c>
      <c r="B997" s="8">
        <v>19.33</v>
      </c>
    </row>
    <row r="998" customHeight="1" spans="1:2">
      <c r="A998" s="9">
        <v>45922</v>
      </c>
      <c r="B998" s="10">
        <v>19.56</v>
      </c>
    </row>
    <row r="999" customHeight="1" spans="1:2">
      <c r="A999" s="7">
        <v>45923</v>
      </c>
      <c r="B999" s="8">
        <v>19.57</v>
      </c>
    </row>
    <row r="1000" customHeight="1" spans="1:2">
      <c r="A1000" s="9">
        <v>45924</v>
      </c>
      <c r="B1000" s="10">
        <v>19.6</v>
      </c>
    </row>
    <row r="1001" customHeight="1" spans="1:2">
      <c r="A1001" s="7">
        <v>45925</v>
      </c>
      <c r="B1001" s="8">
        <v>19.44</v>
      </c>
    </row>
    <row r="1002" customHeight="1" spans="1:2">
      <c r="A1002" s="9">
        <v>45926</v>
      </c>
      <c r="B1002" s="10">
        <v>19.4</v>
      </c>
    </row>
    <row r="1003" customHeight="1" spans="1:2">
      <c r="A1003" s="7">
        <v>45927</v>
      </c>
      <c r="B1003" s="8">
        <v>19.34</v>
      </c>
    </row>
    <row r="1004" customHeight="1" spans="1:2">
      <c r="A1004" s="9">
        <v>45928</v>
      </c>
      <c r="B1004" s="10">
        <v>19.27</v>
      </c>
    </row>
    <row r="1005" customHeight="1" spans="1:2">
      <c r="A1005" s="7">
        <v>45929</v>
      </c>
      <c r="B1005" s="8">
        <v>19.44</v>
      </c>
    </row>
    <row r="1006" customHeight="1" spans="1:2">
      <c r="A1006" s="9">
        <v>45930</v>
      </c>
      <c r="B1006" s="10">
        <v>19.4</v>
      </c>
    </row>
    <row r="1007" customHeight="1" spans="1:2">
      <c r="A1007" s="7">
        <v>45931</v>
      </c>
      <c r="B1007" s="8">
        <v>19.35</v>
      </c>
    </row>
    <row r="1008" customHeight="1" spans="1:2">
      <c r="A1008" s="9">
        <v>45932</v>
      </c>
      <c r="B1008" s="10">
        <v>19.33</v>
      </c>
    </row>
    <row r="1009" customHeight="1" spans="1:2">
      <c r="A1009" s="7">
        <v>45933</v>
      </c>
      <c r="B1009" s="8">
        <v>19.38</v>
      </c>
    </row>
    <row r="1010" customHeight="1" spans="1:2">
      <c r="A1010" s="9">
        <v>45934</v>
      </c>
      <c r="B1010" s="10">
        <v>19.25</v>
      </c>
    </row>
    <row r="1011" customHeight="1" spans="1:2">
      <c r="A1011" s="7">
        <v>45935</v>
      </c>
      <c r="B1011" s="8">
        <v>19.07</v>
      </c>
    </row>
    <row r="1012" customHeight="1" spans="1:2">
      <c r="A1012" s="9">
        <v>45936</v>
      </c>
      <c r="B1012" s="10">
        <v>19.04</v>
      </c>
    </row>
    <row r="1013" customHeight="1" spans="1:2">
      <c r="A1013" s="7">
        <v>45937</v>
      </c>
      <c r="B1013" s="8">
        <v>18.74</v>
      </c>
    </row>
    <row r="1014" customHeight="1" spans="1:2">
      <c r="A1014" s="9">
        <v>45938</v>
      </c>
      <c r="B1014" s="10">
        <v>19.13</v>
      </c>
    </row>
    <row r="1015" customHeight="1" spans="1:2">
      <c r="A1015" s="7">
        <v>45939</v>
      </c>
      <c r="B1015" s="8">
        <v>18.64</v>
      </c>
    </row>
    <row r="1016" customHeight="1" spans="1:2">
      <c r="A1016" s="9">
        <v>45940</v>
      </c>
      <c r="B1016" s="10">
        <v>18.85</v>
      </c>
    </row>
    <row r="1017" customHeight="1" spans="1:2">
      <c r="A1017" s="7">
        <v>45941</v>
      </c>
      <c r="B1017" s="8">
        <v>18.8</v>
      </c>
    </row>
    <row r="1018" customHeight="1" spans="1:2">
      <c r="A1018" s="9">
        <v>45942</v>
      </c>
      <c r="B1018" s="10">
        <v>18.41</v>
      </c>
    </row>
    <row r="1019" customHeight="1" spans="1:2">
      <c r="A1019" s="7">
        <v>45943</v>
      </c>
      <c r="B1019" s="8">
        <v>18.32</v>
      </c>
    </row>
    <row r="1020" customHeight="1" spans="1:2">
      <c r="A1020" s="9">
        <v>45944</v>
      </c>
      <c r="B1020" s="10">
        <v>18.48</v>
      </c>
    </row>
    <row r="1021" customHeight="1" spans="1:2">
      <c r="A1021" s="7">
        <v>45945</v>
      </c>
      <c r="B1021" s="8">
        <v>18.21</v>
      </c>
    </row>
    <row r="1022" customHeight="1" spans="1:2">
      <c r="A1022" s="9">
        <v>45946</v>
      </c>
      <c r="B1022" s="10">
        <v>18.02</v>
      </c>
    </row>
    <row r="1023" customHeight="1" spans="1:2">
      <c r="A1023" s="7">
        <v>45947</v>
      </c>
      <c r="B1023" s="8">
        <v>18.1</v>
      </c>
    </row>
    <row r="1024" customHeight="1" spans="1:2">
      <c r="A1024" s="9">
        <v>45948</v>
      </c>
      <c r="B1024" s="10">
        <v>17.85</v>
      </c>
    </row>
    <row r="1025" customHeight="1" spans="1:2">
      <c r="A1025" s="7">
        <v>45949</v>
      </c>
      <c r="B1025" s="8">
        <v>17.62</v>
      </c>
    </row>
    <row r="1026" customHeight="1" spans="1:2">
      <c r="A1026" s="9">
        <v>45950</v>
      </c>
      <c r="B1026" s="10">
        <v>17.72</v>
      </c>
    </row>
    <row r="1027" customHeight="1" spans="1:2">
      <c r="A1027" s="7">
        <v>45951</v>
      </c>
      <c r="B1027" s="8">
        <v>17.7</v>
      </c>
    </row>
    <row r="1028" customHeight="1" spans="1:2">
      <c r="A1028" s="9">
        <v>45952</v>
      </c>
      <c r="B1028" s="10">
        <v>17.72</v>
      </c>
    </row>
    <row r="1029" customHeight="1" spans="1:2">
      <c r="A1029" s="7">
        <v>45953</v>
      </c>
      <c r="B1029" s="8">
        <v>17.62</v>
      </c>
    </row>
    <row r="1030" customHeight="1" spans="1:2">
      <c r="A1030" s="9">
        <v>45954</v>
      </c>
      <c r="B1030" s="10">
        <v>17.96</v>
      </c>
    </row>
    <row r="1031" customHeight="1" spans="1:2">
      <c r="A1031" s="7">
        <v>45955</v>
      </c>
      <c r="B1031" s="8">
        <v>17.83</v>
      </c>
    </row>
    <row r="1032" customHeight="1" spans="1:2">
      <c r="A1032" s="9">
        <v>45956</v>
      </c>
      <c r="B1032" s="10">
        <v>17.72</v>
      </c>
    </row>
    <row r="1033" customHeight="1" spans="1:2">
      <c r="A1033" s="7">
        <v>45957</v>
      </c>
      <c r="B1033" s="8">
        <v>17.96</v>
      </c>
    </row>
    <row r="1034" customHeight="1" spans="1:2">
      <c r="A1034" s="9">
        <v>45958</v>
      </c>
      <c r="B1034" s="10">
        <v>18.03</v>
      </c>
    </row>
    <row r="1035" customHeight="1" spans="1:2">
      <c r="A1035" s="7">
        <v>45959</v>
      </c>
      <c r="B1035" s="8">
        <v>18.03</v>
      </c>
    </row>
    <row r="1036" customHeight="1" spans="1:2">
      <c r="A1036" s="9">
        <v>45960</v>
      </c>
      <c r="B1036" s="10">
        <v>17.96</v>
      </c>
    </row>
    <row r="1037" customHeight="1" spans="1:2">
      <c r="A1037" s="7">
        <v>45961</v>
      </c>
      <c r="B1037" s="8">
        <v>17.93</v>
      </c>
    </row>
    <row r="1038" customHeight="1" spans="1:2">
      <c r="A1038" s="9">
        <v>45962</v>
      </c>
      <c r="B1038" s="10">
        <v>17.89</v>
      </c>
    </row>
    <row r="1039" customHeight="1" spans="1:2">
      <c r="A1039" s="7">
        <v>45963</v>
      </c>
      <c r="B1039" s="8">
        <v>17.94</v>
      </c>
    </row>
    <row r="1040" customHeight="1" spans="1:2">
      <c r="A1040" s="9">
        <v>45964</v>
      </c>
      <c r="B1040" s="10">
        <v>18.03</v>
      </c>
    </row>
    <row r="1041" customHeight="1" spans="1:2">
      <c r="A1041" s="7">
        <v>45965</v>
      </c>
      <c r="B1041" s="8">
        <v>18.02</v>
      </c>
    </row>
    <row r="1042" customHeight="1" spans="1:2">
      <c r="A1042" s="9">
        <v>45966</v>
      </c>
      <c r="B1042" s="10">
        <v>18.19</v>
      </c>
    </row>
    <row r="1043" customHeight="1" spans="1:2">
      <c r="A1043" s="7">
        <v>45967</v>
      </c>
      <c r="B1043" s="8">
        <v>18.06</v>
      </c>
    </row>
    <row r="1044" customHeight="1" spans="1:2">
      <c r="A1044" s="9">
        <v>45968</v>
      </c>
      <c r="B1044" s="10">
        <v>18.17</v>
      </c>
    </row>
    <row r="1045" customHeight="1" spans="1:2">
      <c r="A1045" s="7">
        <v>45969</v>
      </c>
      <c r="B1045" s="8">
        <v>17.97</v>
      </c>
    </row>
    <row r="1046" customHeight="1" spans="1:2">
      <c r="A1046" s="9">
        <v>45970</v>
      </c>
      <c r="B1046" s="10">
        <v>17.68</v>
      </c>
    </row>
    <row r="1047" customHeight="1" spans="1:2">
      <c r="A1047" s="7">
        <v>45971</v>
      </c>
      <c r="B1047" s="8">
        <v>18.13</v>
      </c>
    </row>
    <row r="1048" customHeight="1" spans="1:2">
      <c r="A1048" s="9">
        <v>45972</v>
      </c>
      <c r="B1048" s="10">
        <v>18.11</v>
      </c>
    </row>
    <row r="1049" customHeight="1" spans="1:2">
      <c r="A1049" s="7">
        <v>45973</v>
      </c>
      <c r="B1049" s="8">
        <v>17.89</v>
      </c>
    </row>
    <row r="1050" customHeight="1" spans="1:2">
      <c r="A1050" s="9">
        <v>45974</v>
      </c>
      <c r="B1050" s="10">
        <v>18.12</v>
      </c>
    </row>
    <row r="1051" customHeight="1" spans="1:2">
      <c r="A1051" s="7">
        <v>45975</v>
      </c>
      <c r="B1051" s="8">
        <v>18.01</v>
      </c>
    </row>
    <row r="1052" customHeight="1" spans="1:2">
      <c r="A1052" s="9">
        <v>45976</v>
      </c>
      <c r="B1052" s="10">
        <v>17.78</v>
      </c>
    </row>
    <row r="1053" customHeight="1" spans="1:2">
      <c r="A1053" s="7">
        <v>45977</v>
      </c>
      <c r="B1053" s="8">
        <v>17.75</v>
      </c>
    </row>
    <row r="1054" customHeight="1" spans="1:2">
      <c r="A1054" s="9">
        <v>45978</v>
      </c>
      <c r="B1054" s="10">
        <v>17.98</v>
      </c>
    </row>
    <row r="1055" customHeight="1" spans="1:2">
      <c r="A1055" s="7">
        <v>45979</v>
      </c>
      <c r="B1055" s="8">
        <v>17.89</v>
      </c>
    </row>
    <row r="1056" customHeight="1" spans="1:2">
      <c r="A1056" s="9">
        <v>45980</v>
      </c>
      <c r="B1056" s="10">
        <v>17.92</v>
      </c>
    </row>
    <row r="1057" customHeight="1" spans="1:2">
      <c r="A1057" s="7">
        <v>45981</v>
      </c>
      <c r="B1057" s="8">
        <v>17.94</v>
      </c>
    </row>
    <row r="1058" customHeight="1" spans="1:2">
      <c r="A1058" s="9">
        <v>45982</v>
      </c>
      <c r="B1058" s="10">
        <v>17.94</v>
      </c>
    </row>
    <row r="1059" customHeight="1" spans="1:2">
      <c r="A1059" s="7">
        <v>45983</v>
      </c>
      <c r="B1059" s="8">
        <v>17.76</v>
      </c>
    </row>
    <row r="1060" customHeight="1" spans="1:2">
      <c r="A1060" s="9">
        <v>45984</v>
      </c>
      <c r="B1060" s="10">
        <v>17.67</v>
      </c>
    </row>
    <row r="1061" customHeight="1" spans="1:2">
      <c r="A1061" s="7">
        <v>45985</v>
      </c>
      <c r="B1061" s="8">
        <v>17.92</v>
      </c>
    </row>
    <row r="1062" customHeight="1" spans="1:2">
      <c r="A1062" s="9">
        <v>45986</v>
      </c>
      <c r="B1062" s="10">
        <v>17.72</v>
      </c>
    </row>
    <row r="1063" customHeight="1" spans="1:2">
      <c r="A1063" s="7">
        <v>45987</v>
      </c>
      <c r="B1063" s="8">
        <v>17.87</v>
      </c>
    </row>
    <row r="1064" customHeight="1" spans="1:2">
      <c r="A1064" s="9">
        <v>45988</v>
      </c>
      <c r="B1064" s="10">
        <v>18.07</v>
      </c>
    </row>
    <row r="1065" customHeight="1" spans="1:2">
      <c r="A1065" s="7">
        <v>45989</v>
      </c>
      <c r="B1065" s="8">
        <v>17.82</v>
      </c>
    </row>
    <row r="1066" customHeight="1" spans="1:2">
      <c r="A1066" s="9">
        <v>45990</v>
      </c>
      <c r="B1066" s="10">
        <v>17.57</v>
      </c>
    </row>
    <row r="1067" customHeight="1" spans="1:2">
      <c r="A1067" s="7">
        <v>45991</v>
      </c>
      <c r="B1067" s="8">
        <v>17.64</v>
      </c>
    </row>
    <row r="1068" customHeight="1" spans="1:2">
      <c r="A1068" s="9">
        <v>45992</v>
      </c>
      <c r="B1068" s="10">
        <v>17.8</v>
      </c>
    </row>
    <row r="1069" customHeight="1" spans="1:2">
      <c r="A1069" s="7">
        <v>45993</v>
      </c>
      <c r="B1069" s="8">
        <v>17.59</v>
      </c>
    </row>
    <row r="1070" customHeight="1" spans="1:2">
      <c r="A1070" s="9">
        <v>45994</v>
      </c>
      <c r="B1070" s="10">
        <v>17.74</v>
      </c>
    </row>
    <row r="1071" customHeight="1" spans="1:2">
      <c r="A1071" s="7">
        <v>45995</v>
      </c>
      <c r="B1071" s="8">
        <v>17.65</v>
      </c>
    </row>
    <row r="1072" customHeight="1" spans="1:2">
      <c r="A1072" s="9">
        <v>45996</v>
      </c>
      <c r="B1072" s="10">
        <v>17.68</v>
      </c>
    </row>
    <row r="1073" customHeight="1" spans="1:2">
      <c r="A1073" s="7">
        <v>45999</v>
      </c>
      <c r="B1073" s="8">
        <v>17.66</v>
      </c>
    </row>
    <row r="1074" customHeight="1" spans="1:2">
      <c r="A1074" s="9">
        <v>46000</v>
      </c>
      <c r="B1074" s="10">
        <v>17.57</v>
      </c>
    </row>
    <row r="1075" customHeight="1" spans="1:2">
      <c r="A1075" s="7">
        <v>46001</v>
      </c>
      <c r="B1075" s="8">
        <v>17.88</v>
      </c>
    </row>
    <row r="1076" customHeight="1" spans="1:2">
      <c r="A1076" s="9">
        <v>46002</v>
      </c>
      <c r="B1076" s="10">
        <v>17.62</v>
      </c>
    </row>
    <row r="1077" customHeight="1" spans="1:2">
      <c r="A1077" s="7">
        <v>46003</v>
      </c>
      <c r="B1077" s="8">
        <v>17.5</v>
      </c>
    </row>
    <row r="1078" customHeight="1" spans="1:2">
      <c r="A1078" s="9">
        <v>46006</v>
      </c>
      <c r="B1078" s="10">
        <v>17.4</v>
      </c>
    </row>
    <row r="1079" customHeight="1" spans="1:2">
      <c r="A1079" s="7">
        <v>46007</v>
      </c>
      <c r="B1079" s="8">
        <v>17.4</v>
      </c>
    </row>
    <row r="1080" customHeight="1" spans="1:2">
      <c r="A1080" s="9">
        <v>46008</v>
      </c>
      <c r="B1080" s="10">
        <v>17.43</v>
      </c>
    </row>
    <row r="1081" customHeight="1" spans="1:2">
      <c r="A1081" s="7">
        <v>46009</v>
      </c>
      <c r="B1081" s="8">
        <v>17.51</v>
      </c>
    </row>
    <row r="1082" customHeight="1" spans="1:2">
      <c r="A1082" s="9">
        <v>46010</v>
      </c>
      <c r="B1082" s="10">
        <v>17.53</v>
      </c>
    </row>
    <row r="1083" customHeight="1" spans="1:2">
      <c r="A1083" s="7">
        <v>46013</v>
      </c>
      <c r="B1083" s="8">
        <v>17.56</v>
      </c>
    </row>
    <row r="1084" customHeight="1" spans="1:2">
      <c r="A1084" s="9">
        <v>46014</v>
      </c>
      <c r="B1084" s="10">
        <v>17.53</v>
      </c>
    </row>
    <row r="1085" customHeight="1" spans="1:2">
      <c r="A1085" s="7">
        <v>46015</v>
      </c>
      <c r="B1085" s="8">
        <v>17.35</v>
      </c>
    </row>
    <row r="1086" customHeight="1" spans="1:2">
      <c r="A1086" s="9">
        <v>46016</v>
      </c>
      <c r="B1086" s="10">
        <v>17.44</v>
      </c>
    </row>
    <row r="1087" customHeight="1" spans="1:2">
      <c r="A1087" s="7">
        <v>46017</v>
      </c>
      <c r="B1087" s="8">
        <v>17.43</v>
      </c>
    </row>
    <row r="1088" customHeight="1" spans="1:2">
      <c r="A1088" s="9">
        <v>46020</v>
      </c>
      <c r="B1088" s="10">
        <v>17.67</v>
      </c>
    </row>
    <row r="1089" customHeight="1" spans="1:2">
      <c r="A1089" s="7">
        <v>46021</v>
      </c>
      <c r="B1089" s="8">
        <v>17.73</v>
      </c>
    </row>
    <row r="1090" customHeight="1" spans="1:2">
      <c r="A1090" s="9">
        <v>46022</v>
      </c>
      <c r="B1090" s="10">
        <v>17.59</v>
      </c>
    </row>
    <row r="1091" customHeight="1" spans="1:2">
      <c r="A1091" s="7">
        <v>46026</v>
      </c>
      <c r="B1091" s="8">
        <v>17.76</v>
      </c>
    </row>
    <row r="1092" customHeight="1" spans="1:2">
      <c r="A1092" s="9">
        <v>46027</v>
      </c>
      <c r="B1092" s="10">
        <v>17.96</v>
      </c>
    </row>
    <row r="1093" customHeight="1" spans="1:2">
      <c r="A1093" s="7">
        <v>46028</v>
      </c>
      <c r="B1093" s="8">
        <v>17.99</v>
      </c>
    </row>
    <row r="1094" customHeight="1" spans="1:2">
      <c r="A1094" s="9">
        <v>46029</v>
      </c>
      <c r="B1094" s="10">
        <v>17.95</v>
      </c>
    </row>
    <row r="1095" customHeight="1" spans="1:2">
      <c r="A1095" s="7">
        <v>46030</v>
      </c>
      <c r="B1095" s="8">
        <v>17.89</v>
      </c>
    </row>
    <row r="1096" customHeight="1" spans="1:2">
      <c r="A1096" s="9">
        <v>46031</v>
      </c>
      <c r="B1096" s="10">
        <v>17.97</v>
      </c>
    </row>
    <row r="1097" customHeight="1" spans="1:2">
      <c r="A1097" s="7">
        <v>46034</v>
      </c>
      <c r="B1097" s="8">
        <v>17.83</v>
      </c>
    </row>
    <row r="1098" customHeight="1" spans="1:2">
      <c r="A1098" s="9">
        <v>46035</v>
      </c>
      <c r="B1098" s="10">
        <v>18.04</v>
      </c>
    </row>
    <row r="1099" customHeight="1" spans="1:2">
      <c r="A1099" s="7">
        <v>46036</v>
      </c>
      <c r="B1099" s="8">
        <v>18.06</v>
      </c>
    </row>
    <row r="1100" customHeight="1" spans="1:2">
      <c r="A1100" s="9">
        <v>46037</v>
      </c>
      <c r="B1100" s="10">
        <v>18</v>
      </c>
    </row>
    <row r="1101" customHeight="1" spans="1:2">
      <c r="A1101" s="7">
        <v>46038</v>
      </c>
      <c r="B1101" s="8">
        <v>18.07</v>
      </c>
    </row>
    <row r="1102" customHeight="1" spans="1:2">
      <c r="A1102" s="9">
        <v>46041</v>
      </c>
      <c r="B1102" s="10">
        <v>18.46</v>
      </c>
    </row>
    <row r="1103" customHeight="1" spans="1:2">
      <c r="A1103" s="7">
        <v>46042</v>
      </c>
      <c r="B1103" s="8">
        <v>18.47</v>
      </c>
    </row>
    <row r="1104" customHeight="1" spans="1:2">
      <c r="A1104" s="9">
        <v>46043</v>
      </c>
      <c r="B1104" s="10">
        <v>18.5</v>
      </c>
    </row>
    <row r="1105" customHeight="1" spans="1:2">
      <c r="A1105" s="7">
        <v>46044</v>
      </c>
      <c r="B1105" s="8">
        <v>18.5</v>
      </c>
    </row>
    <row r="1106" customHeight="1" spans="1:2">
      <c r="A1106" s="9">
        <v>46045</v>
      </c>
      <c r="B1106" s="10">
        <v>18.49</v>
      </c>
    </row>
    <row r="1107" customHeight="1" spans="1:2">
      <c r="A1107" s="7">
        <v>46048</v>
      </c>
      <c r="B1107" s="8">
        <v>18.65</v>
      </c>
    </row>
    <row r="1108" customHeight="1" spans="1:2">
      <c r="A1108" s="9">
        <v>46049</v>
      </c>
      <c r="B1108" s="10">
        <v>18.66</v>
      </c>
    </row>
    <row r="1109" customHeight="1" spans="1:2">
      <c r="A1109" s="7">
        <v>46050</v>
      </c>
      <c r="B1109" s="8">
        <v>18.72</v>
      </c>
    </row>
    <row r="1110" customHeight="1" spans="1:2">
      <c r="A1110" s="9">
        <v>46051</v>
      </c>
      <c r="B1110" s="10">
        <v>18.6</v>
      </c>
    </row>
    <row r="1111" customHeight="1" spans="1:2">
      <c r="A1111" s="7">
        <v>46052</v>
      </c>
      <c r="B1111" s="8">
        <v>18.61</v>
      </c>
    </row>
    <row r="1112" customHeight="1" spans="1:2">
      <c r="A1112" s="9">
        <v>46055</v>
      </c>
      <c r="B1112" s="10">
        <v>18.44</v>
      </c>
    </row>
    <row r="1113" customHeight="1" spans="1:2">
      <c r="A1113" s="7">
        <v>46056</v>
      </c>
      <c r="B1113" s="8">
        <v>18.56</v>
      </c>
    </row>
    <row r="1114" customHeight="1" spans="1:2">
      <c r="A1114" s="9">
        <v>46057</v>
      </c>
      <c r="B1114" s="10">
        <v>18.38</v>
      </c>
    </row>
    <row r="1115" customHeight="1" spans="1:2">
      <c r="A1115" s="7">
        <v>46058</v>
      </c>
      <c r="B1115" s="8">
        <v>18.48</v>
      </c>
    </row>
    <row r="1116" customHeight="1" spans="1:2">
      <c r="A1116" s="9">
        <v>46059</v>
      </c>
      <c r="B1116" s="10">
        <v>18.34</v>
      </c>
    </row>
    <row r="1117" customHeight="1" spans="1:2">
      <c r="A1117" s="7">
        <v>46062</v>
      </c>
      <c r="B1117" s="8">
        <v>18.34</v>
      </c>
    </row>
    <row r="1118" customHeight="1" spans="1:2">
      <c r="A1118" s="9">
        <v>46063</v>
      </c>
      <c r="B1118" s="10">
        <v>18.26</v>
      </c>
    </row>
    <row r="1119" customHeight="1" spans="1:2">
      <c r="A1119" s="7">
        <v>46064</v>
      </c>
      <c r="B1119" s="8">
        <v>18.16</v>
      </c>
    </row>
    <row r="1120" customHeight="1" spans="1:2">
      <c r="A1120" s="9">
        <v>46065</v>
      </c>
      <c r="B1120" s="10">
        <v>18.07</v>
      </c>
    </row>
    <row r="1121" customHeight="1" spans="1:2">
      <c r="A1121" s="7">
        <v>46066</v>
      </c>
      <c r="B1121" s="8">
        <v>18.21</v>
      </c>
    </row>
    <row r="1122" customHeight="1" spans="1:2">
      <c r="A1122" s="9">
        <v>46067</v>
      </c>
      <c r="B1122" s="10">
        <v>18.18</v>
      </c>
    </row>
    <row r="1123" customHeight="1" spans="1:2">
      <c r="A1123" s="7">
        <v>46077</v>
      </c>
      <c r="B1123" s="8">
        <v>18.15</v>
      </c>
    </row>
    <row r="1124" customHeight="1" spans="1:2">
      <c r="A1124" s="9">
        <v>46078</v>
      </c>
      <c r="B1124" s="10">
        <v>18.02</v>
      </c>
    </row>
    <row r="1125" customHeight="1" spans="1:2">
      <c r="A1125" s="7">
        <v>46079</v>
      </c>
      <c r="B1125" s="8">
        <v>17.93</v>
      </c>
    </row>
    <row r="1126" customHeight="1" spans="1:2">
      <c r="A1126" s="9">
        <v>46080</v>
      </c>
      <c r="B1126" s="10">
        <v>17.7</v>
      </c>
    </row>
    <row r="1127" customHeight="1" spans="1:2">
      <c r="A1127" s="7">
        <v>46081</v>
      </c>
      <c r="B1127" s="8">
        <v>17.54</v>
      </c>
    </row>
    <row r="1128" customHeight="1" spans="1:2">
      <c r="A1128" s="9">
        <v>46083</v>
      </c>
      <c r="B1128" s="10">
        <v>17.2</v>
      </c>
    </row>
    <row r="1129" customHeight="1" spans="1:2">
      <c r="A1129" s="7">
        <v>46084</v>
      </c>
      <c r="B1129" s="8">
        <v>17.22</v>
      </c>
    </row>
    <row r="1130" customHeight="1" spans="1:2">
      <c r="A1130" s="9">
        <v>46085</v>
      </c>
      <c r="B1130" s="10">
        <v>17.2</v>
      </c>
    </row>
    <row r="1131" customHeight="1" spans="1:2">
      <c r="A1131" s="7">
        <v>46086</v>
      </c>
      <c r="B1131" s="8">
        <v>17.2</v>
      </c>
    </row>
    <row r="1132" customHeight="1" spans="1:2">
      <c r="A1132" s="9">
        <v>46087</v>
      </c>
      <c r="B1132" s="10">
        <v>17.02</v>
      </c>
    </row>
    <row r="1133" customHeight="1" spans="1:2">
      <c r="A1133" s="7">
        <v>46090</v>
      </c>
      <c r="B1133" s="8">
        <v>17.06</v>
      </c>
    </row>
    <row r="1134" customHeight="1" spans="1:2">
      <c r="A1134" s="9">
        <v>46091</v>
      </c>
      <c r="B1134" s="10">
        <v>16.9</v>
      </c>
    </row>
    <row r="1135" customHeight="1" spans="1:2">
      <c r="A1135" s="7">
        <v>46092</v>
      </c>
      <c r="B1135" s="8">
        <v>16.86</v>
      </c>
    </row>
    <row r="1136" customHeight="1" spans="1:2">
      <c r="A1136" s="9">
        <v>46093</v>
      </c>
      <c r="B1136" s="10">
        <v>16.5</v>
      </c>
    </row>
    <row r="1137" customHeight="1" spans="1:2">
      <c r="A1137" s="7">
        <v>46094</v>
      </c>
      <c r="B1137" s="8">
        <v>16.17</v>
      </c>
    </row>
    <row r="1138" customHeight="1" spans="1:2">
      <c r="A1138" s="9">
        <v>46097</v>
      </c>
      <c r="B1138" s="10">
        <v>16.18</v>
      </c>
    </row>
    <row r="1139" customHeight="1" spans="1:2">
      <c r="A1139" s="7">
        <v>46098</v>
      </c>
      <c r="B1139" s="8">
        <v>16.2</v>
      </c>
    </row>
    <row r="1140" customHeight="1" spans="1:2">
      <c r="A1140" s="9">
        <v>46099</v>
      </c>
      <c r="B1140" s="10">
        <v>16.18</v>
      </c>
    </row>
    <row r="1141" customHeight="1" spans="1:2">
      <c r="A1141" s="7">
        <v>46100</v>
      </c>
      <c r="B1141" s="8">
        <v>16.11</v>
      </c>
    </row>
    <row r="1142" customHeight="1" spans="1:2">
      <c r="A1142" s="9">
        <v>46101</v>
      </c>
      <c r="B1142" s="10">
        <v>15.98</v>
      </c>
    </row>
    <row r="1143" customHeight="1" spans="1:2">
      <c r="A1143" s="7">
        <v>46104</v>
      </c>
      <c r="B1143" s="8">
        <v>16.01</v>
      </c>
    </row>
    <row r="1144" customHeight="1" spans="1:2">
      <c r="A1144" s="9">
        <v>46105</v>
      </c>
      <c r="B1144" s="10">
        <v>16.03</v>
      </c>
    </row>
    <row r="1145" customHeight="1" spans="1:2">
      <c r="A1145" s="7">
        <v>46106</v>
      </c>
      <c r="B1145" s="8">
        <v>15.8</v>
      </c>
    </row>
    <row r="1146" customHeight="1" spans="1:2">
      <c r="A1146" s="9">
        <v>46107</v>
      </c>
      <c r="B1146" s="10">
        <v>15.65</v>
      </c>
    </row>
    <row r="1147" customHeight="1" spans="1:2">
      <c r="A1147" s="7">
        <v>46108</v>
      </c>
      <c r="B1147" s="8">
        <v>15.73</v>
      </c>
    </row>
    <row r="1148" customHeight="1" spans="1:2">
      <c r="A1148" s="9">
        <v>46111</v>
      </c>
      <c r="B1148" s="10">
        <v>15.46</v>
      </c>
    </row>
    <row r="1149" customHeight="1" spans="1:2">
      <c r="A1149" s="7">
        <v>46112</v>
      </c>
      <c r="B1149" s="8">
        <v>15.31</v>
      </c>
    </row>
    <row r="1150" customHeight="1" spans="1:2">
      <c r="A1150" s="9">
        <v>46113</v>
      </c>
      <c r="B1150" s="10">
        <v>15.33</v>
      </c>
    </row>
    <row r="1151" customHeight="1" spans="1:2">
      <c r="A1151" s="7">
        <v>46114</v>
      </c>
      <c r="B1151" s="8">
        <v>15.44</v>
      </c>
    </row>
    <row r="1152" customHeight="1" spans="1:2">
      <c r="A1152" s="9">
        <v>46115</v>
      </c>
      <c r="B1152" s="10">
        <v>15.15</v>
      </c>
    </row>
    <row r="1153" customHeight="1" spans="1:2">
      <c r="A1153" s="7">
        <v>46119</v>
      </c>
      <c r="B1153" s="8">
        <v>15.23</v>
      </c>
    </row>
    <row r="1154" customHeight="1" spans="1:2">
      <c r="A1154" s="9">
        <v>46120</v>
      </c>
      <c r="B1154" s="10">
        <v>15.02</v>
      </c>
    </row>
    <row r="1155" customHeight="1" spans="1:2">
      <c r="A1155" s="7">
        <v>46121</v>
      </c>
      <c r="B1155" s="8">
        <v>14.81</v>
      </c>
    </row>
    <row r="1156" customHeight="1" spans="1:2">
      <c r="A1156" s="9">
        <v>46122</v>
      </c>
      <c r="B1156" s="10">
        <v>14.62</v>
      </c>
    </row>
    <row r="1157" customHeight="1" spans="1:2">
      <c r="A1157" s="7">
        <v>46125</v>
      </c>
      <c r="B1157" s="8">
        <v>14.61</v>
      </c>
    </row>
    <row r="1158" customHeight="1" spans="1:2">
      <c r="A1158" s="9">
        <v>46126</v>
      </c>
      <c r="B1158" s="10">
        <v>14.6</v>
      </c>
    </row>
    <row r="1159" customHeight="1" spans="1:2">
      <c r="A1159" s="7">
        <v>46127</v>
      </c>
      <c r="B1159" s="8">
        <v>14.41</v>
      </c>
    </row>
    <row r="1160" customHeight="1" spans="1:2">
      <c r="A1160" s="9">
        <v>46128</v>
      </c>
      <c r="B1160" s="10">
        <v>14.42</v>
      </c>
    </row>
    <row r="1161" customHeight="1" spans="1:2">
      <c r="A1161" s="7">
        <v>46129</v>
      </c>
      <c r="B1161" s="8">
        <v>14.4</v>
      </c>
    </row>
    <row r="1162" customHeight="1" spans="1:2">
      <c r="A1162" s="9">
        <v>46132</v>
      </c>
      <c r="B1162" s="10">
        <v>14.7</v>
      </c>
    </row>
    <row r="1163" customHeight="1" spans="1:2">
      <c r="A1163" s="7">
        <v>46133</v>
      </c>
      <c r="B1163" s="8">
        <v>14.79</v>
      </c>
    </row>
    <row r="1164" customHeight="1" spans="1:2">
      <c r="A1164" s="9">
        <v>46134</v>
      </c>
      <c r="B1164" s="10">
        <v>14.68</v>
      </c>
    </row>
    <row r="1165" customHeight="1" spans="1:2">
      <c r="A1165" s="7">
        <v>46135</v>
      </c>
      <c r="B1165" s="8">
        <v>14.83</v>
      </c>
    </row>
    <row r="1166" customHeight="1" spans="1:2">
      <c r="A1166" s="9">
        <v>46136</v>
      </c>
      <c r="B1166" s="10">
        <v>14.95</v>
      </c>
    </row>
    <row r="1167" customHeight="1" spans="1:2">
      <c r="A1167" s="7">
        <v>46139</v>
      </c>
      <c r="B1167" s="8">
        <v>15.05</v>
      </c>
    </row>
    <row r="1168" customHeight="1" spans="1:2">
      <c r="A1168" s="9">
        <v>46140</v>
      </c>
      <c r="B1168" s="10">
        <v>15.24</v>
      </c>
    </row>
    <row r="1169" customHeight="1" spans="1:2">
      <c r="A1169" s="7">
        <v>46141</v>
      </c>
      <c r="B1169" s="8">
        <v>15.1</v>
      </c>
    </row>
    <row r="1170" customHeight="1" spans="1:2">
      <c r="A1170" s="9">
        <v>46142</v>
      </c>
      <c r="B1170" s="10">
        <v>15.19</v>
      </c>
    </row>
    <row r="1171" customHeight="1" spans="1:2">
      <c r="A1171" s="7">
        <v>46148</v>
      </c>
      <c r="B1171" s="8">
        <v>15.19</v>
      </c>
    </row>
    <row r="1172" customHeight="1" spans="1:2">
      <c r="A1172" s="9">
        <v>46149</v>
      </c>
      <c r="B1172" s="10">
        <v>15.12</v>
      </c>
    </row>
    <row r="1173" customHeight="1" spans="1:2">
      <c r="A1173" s="7">
        <v>46150</v>
      </c>
      <c r="B1173" s="8">
        <v>15.24</v>
      </c>
    </row>
    <row r="1174" customHeight="1" spans="1:2">
      <c r="A1174" s="9">
        <v>46151</v>
      </c>
      <c r="B1174" s="10">
        <v>14.82</v>
      </c>
    </row>
    <row r="1175" customHeight="1" spans="1:2">
      <c r="A1175" s="7">
        <v>46153</v>
      </c>
      <c r="B1175" s="8">
        <v>14.99</v>
      </c>
    </row>
    <row r="1176" customHeight="1" spans="1:2">
      <c r="A1176" s="9">
        <v>46154</v>
      </c>
      <c r="B1176" s="10">
        <v>14.88</v>
      </c>
    </row>
    <row r="1177" customHeight="1" spans="1:2">
      <c r="A1177" s="7">
        <v>46155</v>
      </c>
      <c r="B1177" s="8">
        <v>14.93</v>
      </c>
    </row>
    <row r="1178" customHeight="1" spans="1:2">
      <c r="A1178" s="9">
        <v>46156</v>
      </c>
      <c r="B1178" s="10">
        <v>14.93</v>
      </c>
    </row>
    <row r="1179" customHeight="1" spans="1:2">
      <c r="A1179" s="7">
        <v>46157</v>
      </c>
      <c r="B1179" s="8">
        <v>14.8</v>
      </c>
    </row>
    <row r="1180" customHeight="1" spans="1:2">
      <c r="A1180" s="9">
        <v>46160</v>
      </c>
      <c r="B1180" s="10">
        <v>14.77</v>
      </c>
    </row>
    <row r="1181" customHeight="1" spans="1:2">
      <c r="A1181" s="7">
        <v>46161</v>
      </c>
      <c r="B1181" s="8">
        <v>14.7</v>
      </c>
    </row>
    <row r="1182" customHeight="1" spans="1:2">
      <c r="A1182" s="9">
        <v>46162</v>
      </c>
      <c r="B1182" s="10">
        <v>14.79</v>
      </c>
    </row>
    <row r="1183" customHeight="1" spans="1:2">
      <c r="A1183" s="7">
        <v>46163</v>
      </c>
      <c r="B1183" s="8">
        <v>14.68</v>
      </c>
    </row>
    <row r="1184" customHeight="1" spans="1:2">
      <c r="A1184" s="9">
        <v>46164</v>
      </c>
      <c r="B1184" s="10">
        <v>14.8</v>
      </c>
    </row>
    <row r="1185" customHeight="1" spans="1:2">
      <c r="A1185" s="7">
        <v>46167</v>
      </c>
      <c r="B1185" s="8">
        <v>14.78</v>
      </c>
    </row>
    <row r="1186" customHeight="1" spans="1:2">
      <c r="A1186" s="9">
        <v>46168</v>
      </c>
      <c r="B1186" s="10">
        <v>14.86</v>
      </c>
    </row>
    <row r="1187" customHeight="1" spans="1:2">
      <c r="A1187" s="7">
        <v>46169</v>
      </c>
      <c r="B1187" s="8">
        <v>14.75</v>
      </c>
    </row>
    <row r="1188" customHeight="1" spans="1:2">
      <c r="A1188" s="9">
        <v>46170</v>
      </c>
      <c r="B1188" s="10">
        <v>14.88</v>
      </c>
    </row>
    <row r="1189" customHeight="1" spans="1:2">
      <c r="A1189" s="7">
        <v>46171</v>
      </c>
      <c r="B1189" s="8">
        <v>14.86</v>
      </c>
    </row>
    <row r="1190" customHeight="1" spans="1:2">
      <c r="A1190" s="9">
        <v>46174</v>
      </c>
      <c r="B1190" s="10">
        <v>14.77</v>
      </c>
    </row>
    <row r="1191" customHeight="1" spans="1:2">
      <c r="A1191" s="7">
        <v>46175</v>
      </c>
      <c r="B1191" s="8">
        <v>14.78</v>
      </c>
    </row>
    <row r="1192" customHeight="1" spans="1:2">
      <c r="A1192" s="9">
        <v>46176</v>
      </c>
      <c r="B1192" s="10">
        <v>14.74</v>
      </c>
    </row>
    <row r="1193" customHeight="1" spans="1:2">
      <c r="A1193" s="7">
        <v>46177</v>
      </c>
      <c r="B1193" s="8">
        <v>14.73</v>
      </c>
    </row>
    <row r="1194" customHeight="1" spans="1:2">
      <c r="A1194" s="9">
        <v>46178</v>
      </c>
      <c r="B1194" s="10">
        <v>14.73</v>
      </c>
    </row>
    <row r="1195" customHeight="1" spans="1:2">
      <c r="A1195" s="7">
        <v>46181</v>
      </c>
      <c r="B1195" s="8">
        <v>14.64</v>
      </c>
    </row>
    <row r="1196" customHeight="1" spans="1:2">
      <c r="A1196" s="9">
        <v>46182</v>
      </c>
      <c r="B1196" s="10">
        <v>14.7</v>
      </c>
    </row>
    <row r="1197" customHeight="1" spans="1:2">
      <c r="A1197" s="7">
        <v>46183</v>
      </c>
      <c r="B1197" s="8">
        <v>14.66</v>
      </c>
    </row>
    <row r="1198" customHeight="1" spans="1:2">
      <c r="A1198" s="9">
        <v>46184</v>
      </c>
      <c r="B1198" s="10">
        <v>14.5</v>
      </c>
    </row>
    <row r="1199" customHeight="1" spans="1:2">
      <c r="A1199" s="7">
        <v>46185</v>
      </c>
      <c r="B1199" s="8">
        <v>14.56</v>
      </c>
    </row>
    <row r="1200" customHeight="1" spans="1:2">
      <c r="A1200" s="9">
        <v>46188</v>
      </c>
      <c r="B1200" s="10">
        <v>14.59</v>
      </c>
    </row>
    <row r="1201" customHeight="1" spans="1:2">
      <c r="A1201" s="7">
        <v>46189</v>
      </c>
      <c r="B1201" s="8">
        <v>14.57</v>
      </c>
    </row>
    <row r="1202" customHeight="1" spans="1:2">
      <c r="A1202" s="9">
        <v>46190</v>
      </c>
      <c r="B1202" s="10">
        <v>14.75</v>
      </c>
    </row>
    <row r="1203" customHeight="1" spans="1:2">
      <c r="A1203" s="7">
        <v>46191</v>
      </c>
      <c r="B1203" s="8">
        <v>14.64</v>
      </c>
    </row>
    <row r="1204" customHeight="1" spans="1:2">
      <c r="A1204" s="9">
        <v>46195</v>
      </c>
      <c r="B1204" s="10">
        <v>14.53</v>
      </c>
    </row>
    <row r="1205" customHeight="1" spans="1:2">
      <c r="A1205" s="7">
        <v>46196</v>
      </c>
      <c r="B1205" s="8">
        <v>14.37</v>
      </c>
    </row>
    <row r="1206" customHeight="1" spans="1:2">
      <c r="A1206" s="9">
        <v>46197</v>
      </c>
      <c r="B1206" s="10">
        <v>14.5</v>
      </c>
    </row>
    <row r="1207" customHeight="1" spans="1:2">
      <c r="A1207" s="7">
        <v>46198</v>
      </c>
      <c r="B1207" s="8">
        <v>14.43</v>
      </c>
    </row>
    <row r="1208" customHeight="1" spans="1:2">
      <c r="A1208" s="9">
        <v>46199</v>
      </c>
      <c r="B1208" s="10">
        <v>14.48</v>
      </c>
    </row>
    <row r="1209" customHeight="1" spans="1:2">
      <c r="A1209" s="7">
        <v>46202</v>
      </c>
      <c r="B1209" s="8">
        <v>14.28</v>
      </c>
    </row>
    <row r="1210" customHeight="1" spans="1:2">
      <c r="A1210" s="9">
        <v>46203</v>
      </c>
      <c r="B1210" s="10">
        <v>14.31</v>
      </c>
    </row>
    <row r="1211" customHeight="1" spans="1:2">
      <c r="A1211" s="7">
        <v>46204</v>
      </c>
      <c r="B1211" s="8">
        <v>14.51</v>
      </c>
    </row>
    <row r="1212" customHeight="1" spans="1:2">
      <c r="A1212" s="9">
        <v>46205</v>
      </c>
      <c r="B1212" s="10">
        <v>14.57</v>
      </c>
    </row>
    <row r="1213" customHeight="1" spans="1:2">
      <c r="A1213" s="7">
        <v>46206</v>
      </c>
      <c r="B1213" s="8">
        <v>14.68</v>
      </c>
    </row>
    <row r="1214" customHeight="1" spans="1:2">
      <c r="A1214" s="9">
        <v>46209</v>
      </c>
      <c r="B1214" s="10">
        <v>15.24</v>
      </c>
    </row>
    <row r="1215" customHeight="1" spans="1:2">
      <c r="A1215" s="7">
        <v>46210</v>
      </c>
      <c r="B1215" s="8">
        <v>15.45</v>
      </c>
    </row>
    <row r="1216" customHeight="1" spans="1:2">
      <c r="A1216" s="9">
        <v>46211</v>
      </c>
      <c r="B1216" s="10">
        <v>15.43</v>
      </c>
    </row>
    <row r="1217" customHeight="1" spans="1:2">
      <c r="A1217" s="7">
        <v>46212</v>
      </c>
      <c r="B1217" s="8">
        <v>15.51</v>
      </c>
    </row>
    <row r="1218" customHeight="1" spans="1:2">
      <c r="A1218" s="9">
        <v>46213</v>
      </c>
      <c r="B1218" s="10">
        <v>15.67</v>
      </c>
    </row>
    <row r="1219" customHeight="1" spans="1:2">
      <c r="A1219" s="7">
        <v>46216</v>
      </c>
      <c r="B1219" s="8">
        <v>15.95</v>
      </c>
    </row>
    <row r="1220" customHeight="1" spans="1:2">
      <c r="A1220" s="9">
        <v>46217</v>
      </c>
      <c r="B1220" s="10">
        <v>16.05</v>
      </c>
    </row>
    <row r="1221" customHeight="1" spans="1:2">
      <c r="A1221" s="7">
        <v>46218</v>
      </c>
      <c r="B1221" s="8">
        <v>15.83</v>
      </c>
    </row>
    <row r="1222" customHeight="1" spans="1:2">
      <c r="A1222" s="9">
        <v>46219</v>
      </c>
      <c r="B1222" s="10">
        <v>15.86</v>
      </c>
    </row>
    <row r="1223" customHeight="1" spans="1:2">
      <c r="A1223" s="7">
        <v>46220</v>
      </c>
      <c r="B1223" s="8">
        <v>15.81</v>
      </c>
    </row>
    <row r="1224" customHeight="1" spans="1:2">
      <c r="A1224" s="9">
        <v>46223</v>
      </c>
      <c r="B1224" s="10">
        <v>16.04</v>
      </c>
    </row>
    <row r="1225" customHeight="1" spans="1:2">
      <c r="A1225" s="7">
        <v>46224</v>
      </c>
      <c r="B1225" s="8">
        <v>15.97</v>
      </c>
    </row>
    <row r="1226" customHeight="1" spans="1:2">
      <c r="A1226" s="9">
        <v>46225</v>
      </c>
      <c r="B1226" s="10">
        <v>15.94</v>
      </c>
    </row>
    <row r="1227" customHeight="1" spans="1:2">
      <c r="A1227" s="7">
        <v>46226</v>
      </c>
      <c r="B1227" s="8">
        <v>15.92</v>
      </c>
    </row>
    <row r="1228" customHeight="1" spans="1:2">
      <c r="A1228" s="9">
        <v>46227</v>
      </c>
      <c r="B1228" s="10">
        <v>15.9</v>
      </c>
    </row>
    <row r="1229" customHeight="1" spans="1:2">
      <c r="A1229" s="7">
        <v>46230</v>
      </c>
      <c r="B1229" s="8">
        <v>16</v>
      </c>
    </row>
    <row r="1230" customHeight="1" spans="1:2">
      <c r="A1230" s="9">
        <v>46231</v>
      </c>
      <c r="B1230" s="10">
        <v>15.95</v>
      </c>
    </row>
    <row r="1231" customHeight="1" spans="1:2">
      <c r="A1231" s="7">
        <v>46232</v>
      </c>
      <c r="B1231" s="8">
        <v>15.92</v>
      </c>
    </row>
    <row r="1232" customHeight="1" spans="1:2">
      <c r="A1232" s="9">
        <v>46233</v>
      </c>
      <c r="B1232" s="10">
        <v>15.96</v>
      </c>
    </row>
    <row r="1233" customHeight="1" spans="1:2">
      <c r="A1233" s="7">
        <v>46234</v>
      </c>
      <c r="B1233" s="8">
        <v>15.83</v>
      </c>
    </row>
    <row r="1234" customHeight="1" spans="1:2">
      <c r="A1234" s="9">
        <v>46237</v>
      </c>
      <c r="B1234" s="10">
        <v>15.7</v>
      </c>
    </row>
    <row r="1235" customHeight="1" spans="1:2">
      <c r="A1235" s="7">
        <v>46238</v>
      </c>
      <c r="B1235" s="8">
        <v>15.77</v>
      </c>
    </row>
    <row r="1236" customHeight="1" spans="1:2">
      <c r="A1236" s="9">
        <v>46239</v>
      </c>
      <c r="B1236" s="10">
        <v>15.74</v>
      </c>
    </row>
    <row r="1237" customHeight="1" spans="1:2">
      <c r="A1237" s="7">
        <v>46240</v>
      </c>
      <c r="B1237" s="8">
        <v>15.8</v>
      </c>
    </row>
    <row r="1238" customHeight="1" spans="1:2">
      <c r="A1238" s="9">
        <v>46241</v>
      </c>
      <c r="B1238" s="10">
        <v>15.8</v>
      </c>
    </row>
    <row r="1239" customHeight="1" spans="1:2">
      <c r="A1239" s="7">
        <v>46244</v>
      </c>
      <c r="B1239" s="8">
        <v>15.7</v>
      </c>
    </row>
    <row r="1240" customHeight="1" spans="1:2">
      <c r="A1240" s="9">
        <v>46245</v>
      </c>
      <c r="B1240" s="10">
        <v>15.73</v>
      </c>
    </row>
    <row r="1241" customHeight="1" spans="1:2">
      <c r="A1241" s="7">
        <v>46246</v>
      </c>
      <c r="B1241" s="8">
        <v>15.85</v>
      </c>
    </row>
    <row r="1242" customHeight="1" spans="1:2">
      <c r="A1242" s="9">
        <v>46247</v>
      </c>
      <c r="B1242" s="10">
        <v>15.8</v>
      </c>
    </row>
    <row r="1243" customHeight="1" spans="1:2">
      <c r="A1243" s="7">
        <v>46248</v>
      </c>
      <c r="B1243" s="8">
        <v>15.77</v>
      </c>
    </row>
    <row r="1244" customHeight="1" spans="1:2">
      <c r="A1244" s="9">
        <v>46251</v>
      </c>
      <c r="B1244" s="10">
        <v>16.03</v>
      </c>
    </row>
    <row r="1245" customHeight="1" spans="1:2">
      <c r="A1245" s="7">
        <v>46252</v>
      </c>
      <c r="B1245" s="8">
        <v>15.99</v>
      </c>
    </row>
    <row r="1246" customHeight="1" spans="1:2">
      <c r="A1246" s="9">
        <v>46253</v>
      </c>
      <c r="B1246" s="10">
        <v>16.09</v>
      </c>
    </row>
    <row r="1247" customHeight="1" spans="1:2">
      <c r="A1247" s="7">
        <v>46254</v>
      </c>
      <c r="B1247" s="8">
        <v>16.13</v>
      </c>
    </row>
    <row r="1248" customHeight="1" spans="1:2">
      <c r="A1248" s="9">
        <v>46255</v>
      </c>
      <c r="B1248" s="10">
        <v>16.18</v>
      </c>
    </row>
    <row r="1249" customHeight="1" spans="1:2">
      <c r="A1249" s="7">
        <v>46258</v>
      </c>
      <c r="B1249" s="8">
        <v>16.24</v>
      </c>
    </row>
    <row r="1250" customHeight="1" spans="1:2">
      <c r="A1250" s="9">
        <v>46259</v>
      </c>
      <c r="B1250" s="10">
        <v>16.3</v>
      </c>
    </row>
    <row r="1251" customHeight="1" spans="1:2">
      <c r="A1251" s="7">
        <v>46260</v>
      </c>
      <c r="B1251" s="8">
        <v>16.24</v>
      </c>
    </row>
    <row r="1252" customHeight="1" spans="1:2">
      <c r="A1252" s="9">
        <v>46261</v>
      </c>
      <c r="B1252" s="10">
        <v>16.24</v>
      </c>
    </row>
    <row r="1253" customHeight="1" spans="1:2">
      <c r="A1253" s="7">
        <v>46262</v>
      </c>
      <c r="B1253" s="8">
        <v>16.25</v>
      </c>
    </row>
    <row r="1254" customHeight="1" spans="1:2">
      <c r="A1254" s="9">
        <v>46265</v>
      </c>
      <c r="B1254" s="10">
        <v>16.33</v>
      </c>
    </row>
    <row r="1255" customHeight="1" spans="1:2">
      <c r="A1255" s="7">
        <v>46266</v>
      </c>
      <c r="B1255" s="8">
        <v>16.21</v>
      </c>
    </row>
    <row r="1256" customHeight="1" spans="1:2">
      <c r="A1256" s="9">
        <v>46267</v>
      </c>
      <c r="B1256" s="10">
        <v>16.4</v>
      </c>
    </row>
    <row r="1257" customHeight="1" spans="1:2">
      <c r="A1257" s="7">
        <v>46268</v>
      </c>
      <c r="B1257" s="8">
        <v>16.44</v>
      </c>
    </row>
    <row r="1258" customHeight="1" spans="1:2">
      <c r="A1258" s="9">
        <v>46269</v>
      </c>
      <c r="B1258" s="10">
        <v>16.35</v>
      </c>
    </row>
    <row r="1259" customHeight="1" spans="1:2">
      <c r="A1259" s="7">
        <v>46272</v>
      </c>
      <c r="B1259" s="8">
        <v>16.48</v>
      </c>
    </row>
    <row r="1260" customHeight="1" spans="1:2">
      <c r="A1260" s="9">
        <v>46273</v>
      </c>
      <c r="B1260" s="10">
        <v>16.33</v>
      </c>
    </row>
    <row r="1261" customHeight="1" spans="1:2">
      <c r="A1261" s="7">
        <v>46274</v>
      </c>
      <c r="B1261" s="8">
        <v>16.27</v>
      </c>
    </row>
    <row r="1262" customHeight="1" spans="1:2">
      <c r="A1262" s="9">
        <v>46275</v>
      </c>
      <c r="B1262" s="10">
        <v>16.31</v>
      </c>
    </row>
    <row r="1263" customHeight="1" spans="1:2">
      <c r="A1263" s="7">
        <v>46276</v>
      </c>
      <c r="B1263" s="8">
        <v>16.2</v>
      </c>
    </row>
    <row r="1264" customHeight="1" spans="1:2">
      <c r="A1264" s="9">
        <v>46279</v>
      </c>
      <c r="B1264" s="10">
        <v>16.42</v>
      </c>
    </row>
    <row r="1265" customHeight="1" spans="1:2">
      <c r="A1265" s="7">
        <v>46280</v>
      </c>
      <c r="B1265" s="8">
        <v>16.4</v>
      </c>
    </row>
    <row r="1266" customHeight="1" spans="1:2">
      <c r="A1266" s="9">
        <v>46281</v>
      </c>
      <c r="B1266" s="10">
        <v>16.37</v>
      </c>
    </row>
    <row r="1267" customHeight="1" spans="1:2">
      <c r="A1267" s="7">
        <v>46282</v>
      </c>
      <c r="B1267" s="8">
        <v>16.46</v>
      </c>
    </row>
    <row r="1268" customHeight="1" spans="1:2">
      <c r="A1268" s="9">
        <v>46283</v>
      </c>
      <c r="B1268" s="10">
        <v>16.62</v>
      </c>
    </row>
    <row r="1269" customHeight="1" spans="1:2">
      <c r="A1269" s="7">
        <v>46285</v>
      </c>
      <c r="B1269" s="8">
        <v>16.33</v>
      </c>
    </row>
    <row r="1270" customHeight="1" spans="1:2">
      <c r="A1270" s="9">
        <v>46286</v>
      </c>
      <c r="B1270" s="10">
        <v>16.27</v>
      </c>
    </row>
    <row r="1271" customHeight="1" spans="1:2">
      <c r="A1271" s="7">
        <v>46287</v>
      </c>
      <c r="B1271" s="8">
        <v>16.44</v>
      </c>
    </row>
    <row r="1272" customHeight="1" spans="1:2">
      <c r="A1272" s="9">
        <v>46288</v>
      </c>
      <c r="B1272" s="10">
        <v>16.42</v>
      </c>
    </row>
  </sheetData>
  <mergeCells count="1">
    <mergeCell ref="A1:B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官方数据库·目录</vt:lpstr>
      <vt:lpstr>官方-猪粮比</vt:lpstr>
      <vt:lpstr>官方-农业部能繁母猪同环比</vt:lpstr>
      <vt:lpstr>官方-统计局2020数据</vt:lpstr>
      <vt:lpstr>能繁母猪存栏量 统计局</vt:lpstr>
      <vt:lpstr>官方-生猪出栏量</vt:lpstr>
      <vt:lpstr>官方-生猪存栏量</vt:lpstr>
      <vt:lpstr>官方-商务部月度屠宰量</vt:lpstr>
      <vt:lpstr>官方-屠宰企业个数</vt:lpstr>
      <vt:lpstr>官方-季度猪肉产量</vt:lpstr>
      <vt:lpstr>官方-2018年各省份猪肉产量</vt:lpstr>
      <vt:lpstr>官方-肉类生产结构历史数据</vt:lpstr>
      <vt:lpstr>官方-猪肉消费与价格</vt:lpstr>
      <vt:lpstr>36城零售价</vt:lpstr>
      <vt:lpstr>收放储</vt:lpstr>
      <vt:lpstr>官方-猪肉（白条猪）价格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凌月</cp:lastModifiedBy>
  <dcterms:created xsi:type="dcterms:W3CDTF">2021-06-04T03:24:00Z</dcterms:created>
  <dcterms:modified xsi:type="dcterms:W3CDTF">2026-09-24T06:08:34Z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2EDA559453AE4593823308BB9639F7AF</vt:lpwstr>
  </property>
  <property fmtid="{D5CDD505-2E9C-101B-9397-08002B2CF9AE}" pid="3" name="KSOProductBuildVer">
    <vt:lpwstr>2052-12.1.0.21915</vt:lpwstr>
  </property>
  <property fmtid="{D5CDD505-2E9C-101B-9397-08002B2CF9AE}" pid="4" name="commondata">
    <vt:lpwstr>eyJoZGlkIjoiMWIyOWJhODU2MTkzYmFmZTExMDc0YWIxNzAzNzYwOWYifQ==</vt:lpwstr>
  </property>
  <property fmtid="{D5CDD505-2E9C-101B-9397-08002B2CF9AE}" pid="5" name="KSOReadingLayout">
    <vt:bool>false</vt:bool>
  </property>
  <property fmtid="{D5CDD505-2E9C-101B-9397-08002B2CF9AE}" pid="6" name="CalculationRule">
    <vt:i4>0</vt:i4>
  </property>
</Properties>
</file>