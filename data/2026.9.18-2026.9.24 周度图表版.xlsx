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29.xml" ContentType="application/vnd.ms-office.chartcolorstyle+xml"/>
  <Override PartName="/xl/charts/colors3.xml" ContentType="application/vnd.ms-office.chartcolorstyle+xml"/>
  <Override PartName="/xl/charts/colors30.xml" ContentType="application/vnd.ms-office.chartcolorstyle+xml"/>
  <Override PartName="/xl/charts/colors31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29.xml" ContentType="application/vnd.ms-office.chartstyle+xml"/>
  <Override PartName="/xl/charts/style3.xml" ContentType="application/vnd.ms-office.chartstyle+xml"/>
  <Override PartName="/xl/charts/style30.xml" ContentType="application/vnd.ms-office.chartstyle+xml"/>
  <Override PartName="/xl/charts/style31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drawings/drawing13.xml" ContentType="application/vnd.openxmlformats-officedocument.drawingml.chartshapes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ml.chartshapes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drawings/drawing23.xml" ContentType="application/vnd.openxmlformats-officedocument.drawingml.chartshapes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drawings/drawing3.xml" ContentType="application/vnd.openxmlformats-officedocument.drawingml.chartshapes+xml"/>
  <Override PartName="/xl/drawings/drawing30.xml" ContentType="application/vnd.openxmlformats-officedocument.drawingml.chartshapes+xml"/>
  <Override PartName="/xl/drawings/drawing31.xml" ContentType="application/vnd.openxmlformats-officedocument.drawing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drawings/drawing36.xml" ContentType="application/vnd.openxmlformats-officedocument.drawingml.chartshapes+xml"/>
  <Override PartName="/xl/drawings/drawing37.xml" ContentType="application/vnd.openxmlformats-officedocument.drawing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drawings/drawing4.xml" ContentType="application/vnd.openxmlformats-officedocument.drawingml.chartshapes+xml"/>
  <Override PartName="/xl/drawings/drawing40.xml" ContentType="application/vnd.openxmlformats-officedocument.drawingml.chartshapes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ml.chartshapes+xml"/>
  <Override PartName="/xl/drawings/drawing45.xml" ContentType="application/vnd.openxmlformats-officedocument.drawingml.chartshapes+xml"/>
  <Override PartName="/xl/drawings/drawing46.xml" ContentType="application/vnd.openxmlformats-officedocument.drawing+xml"/>
  <Override PartName="/xl/drawings/drawing47.xml" ContentType="application/vnd.openxmlformats-officedocument.drawingml.chartshapes+xml"/>
  <Override PartName="/xl/drawings/drawing48.xml" ContentType="application/vnd.openxmlformats-officedocument.drawing+xml"/>
  <Override PartName="/xl/drawings/drawing49.xml" ContentType="application/vnd.openxmlformats-officedocument.drawingml.chartshapes+xml"/>
  <Override PartName="/xl/drawings/drawing5.xml" ContentType="application/vnd.openxmlformats-officedocument.drawingml.chartshapes+xml"/>
  <Override PartName="/xl/drawings/drawing50.xml" ContentType="application/vnd.openxmlformats-officedocument.drawing+xml"/>
  <Override PartName="/xl/drawings/drawing51.xml" ContentType="application/vnd.openxmlformats-officedocument.drawingml.chartshapes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drawings/drawing9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1210" windowHeight="13500" tabRatio="759"/>
  </bookViews>
  <sheets>
    <sheet name="生猪数据库·目录" sheetId="25" r:id="rId1"/>
    <sheet name="出栏价" sheetId="7" r:id="rId2"/>
    <sheet name="体重" sheetId="24" r:id="rId3"/>
    <sheet name="90kg与150kg大猪出栏占比" sheetId="52" r:id="rId4"/>
    <sheet name="养殖利润" sheetId="8" r:id="rId5"/>
    <sheet name="养殖成本预期、当期" sheetId="1" r:id="rId6"/>
    <sheet name="标肥价差" sheetId="4" r:id="rId7"/>
    <sheet name="150公斤标肥价差" sheetId="43" r:id="rId8"/>
    <sheet name="二元母猪" sheetId="10" r:id="rId9"/>
    <sheet name="15公斤仔猪" sheetId="11" r:id="rId10"/>
    <sheet name="断奶仔猪" sheetId="45" r:id="rId11"/>
    <sheet name="毛白价差" sheetId="9" r:id="rId12"/>
    <sheet name="猪肉价" sheetId="13" r:id="rId13"/>
    <sheet name="猪肉价季节性" sheetId="31" r:id="rId14"/>
    <sheet name="猪肉月均价" sheetId="32" r:id="rId15"/>
    <sheet name="冻品库存多样本" sheetId="12" r:id="rId16"/>
    <sheet name="冻品库存率季节性" sheetId="29" r:id="rId17"/>
    <sheet name="周度口径屠宰量（2022.10.28）" sheetId="27" r:id="rId18"/>
    <sheet name="日度屠宰量" sheetId="14" r:id="rId19"/>
    <sheet name="二号鲜冻价" sheetId="26" r:id="rId20"/>
    <sheet name="淘汰母猪宰杀量" sheetId="28" r:id="rId21"/>
    <sheet name="开工率" sheetId="16" r:id="rId22"/>
    <sheet name="生产指标" sheetId="17" r:id="rId23"/>
    <sheet name="能繁母猪" sheetId="19" r:id="rId24"/>
    <sheet name="小猪" sheetId="20" r:id="rId25"/>
    <sheet name="大猪" sheetId="22" r:id="rId26"/>
    <sheet name="商品猪" sheetId="23" r:id="rId27"/>
    <sheet name="月度供应测算" sheetId="63" r:id="rId28"/>
  </sheets>
  <definedNames>
    <definedName name="_xlnm._FilterDatabase" localSheetId="6" hidden="1">标肥价差!$A$3:$B$81</definedName>
    <definedName name="出栏价" localSheetId="1">OFFSET(出栏价!$A$2,1,1,COUNT(出栏价!$B:$B),1)</definedName>
    <definedName name="出栏价日期" localSheetId="1">OFFSET(出栏价!$A$2,1,0,COUNT(出栏价!$A:$A),1)</definedName>
    <definedName name="冻品库存多样本" localSheetId="15">OFFSET(冻品库存多样本!$A$2,1,1,COUNT(冻品库存多样本!$B:$B),1)</definedName>
    <definedName name="冻品库存多样本日期" localSheetId="15">OFFSET(冻品库存多样本!$A$2,1,0,COUNT(冻品库存多样本!$A:$A),1)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xb21cn</author>
  </authors>
  <commentList>
    <comment ref="A205" authorId="0">
      <text>
        <r>
          <rPr>
            <b/>
            <sz val="9"/>
            <rFont val="宋体"/>
            <charset val="134"/>
          </rPr>
          <t>xb21cn:</t>
        </r>
        <r>
          <rPr>
            <sz val="9"/>
            <rFont val="宋体"/>
            <charset val="134"/>
          </rPr>
          <t xml:space="preserve">
元旦，参考2019.12.31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A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3月淘汰屠宰环比有增加，但考虑2月春节影响开工，全国合计宰量不能完全定义为真正意义上的增加，但是河南山东主要宰杀区域宰杀提量还是比较明显，此两地为全国淘汰猪源。</t>
        </r>
      </text>
    </comment>
  </commentList>
</comments>
</file>

<file path=xl/sharedStrings.xml><?xml version="1.0" encoding="utf-8"?>
<sst xmlns="http://schemas.openxmlformats.org/spreadsheetml/2006/main" count="202" uniqueCount="114">
  <si>
    <t>涌益咨询·生猪市场调研数据库 目录</t>
  </si>
  <si>
    <t>周度-商品猪出栏价</t>
  </si>
  <si>
    <t>猪肉价季节性</t>
  </si>
  <si>
    <t>周度-体重</t>
  </si>
  <si>
    <t>日度屠宰量</t>
  </si>
  <si>
    <t>周度-养殖利润最新</t>
  </si>
  <si>
    <t>淘汰母猪宰杀量</t>
  </si>
  <si>
    <t>周度-当期、预期成本</t>
  </si>
  <si>
    <t>开工率</t>
  </si>
  <si>
    <t>周度-毛白价差</t>
  </si>
  <si>
    <t>生产指标</t>
  </si>
  <si>
    <t>周度-50公斤二元母猪价格</t>
  </si>
  <si>
    <t>能繁母猪</t>
  </si>
  <si>
    <t>周度-规模场15公斤仔猪出栏价</t>
  </si>
  <si>
    <t>小猪</t>
  </si>
  <si>
    <t>标肥价差</t>
  </si>
  <si>
    <t>大猪</t>
  </si>
  <si>
    <t>150公斤标肥价差</t>
  </si>
  <si>
    <t>商品猪</t>
  </si>
  <si>
    <t>冻品库存多样本</t>
  </si>
  <si>
    <t>冻品库存率季节性</t>
  </si>
  <si>
    <t>猪肉价</t>
  </si>
  <si>
    <t>涌益样本测算（月度更新）</t>
  </si>
  <si>
    <t>二号鲜冻价</t>
  </si>
  <si>
    <t>猪肉月均价</t>
  </si>
  <si>
    <t>周度口径屠宰量（2022.10.28）</t>
  </si>
  <si>
    <t>90kg与150kg大猪出栏占比</t>
  </si>
  <si>
    <t xml:space="preserve">日期 </t>
  </si>
  <si>
    <t>价格</t>
  </si>
  <si>
    <t>日期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</si>
  <si>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</si>
  <si>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</si>
  <si>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</si>
  <si>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</si>
  <si>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</si>
  <si>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</si>
  <si>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</si>
  <si>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</si>
  <si>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2018年</t>
  </si>
  <si>
    <t>结束日期</t>
  </si>
  <si>
    <t>90kg以下</t>
  </si>
  <si>
    <t>150kg以上</t>
  </si>
  <si>
    <t>不同规模自繁自养</t>
  </si>
  <si>
    <t>外购仔猪育肥</t>
  </si>
  <si>
    <t>母猪50头以下</t>
  </si>
  <si>
    <t>5000-10000</t>
  </si>
  <si>
    <t>预期成本</t>
  </si>
  <si>
    <t>当期成本</t>
  </si>
  <si>
    <t>5000-10000头母猪存栏</t>
  </si>
  <si>
    <t>本周出栏肥猪成本（元/KG）</t>
  </si>
  <si>
    <t>各体重段价差
(单位：元/斤)</t>
  </si>
  <si>
    <t>175公斤与标猪价差</t>
  </si>
  <si>
    <t>全国平均</t>
  </si>
  <si>
    <t>四川市场</t>
  </si>
  <si>
    <t>（元/斤）</t>
  </si>
  <si>
    <t>150公斤与标猪价差</t>
  </si>
  <si>
    <t>四川</t>
  </si>
  <si>
    <t>全国1</t>
  </si>
  <si>
    <t>全国</t>
  </si>
  <si>
    <t>毛白价差</t>
  </si>
  <si>
    <t>前三级别白条价</t>
  </si>
  <si>
    <t>生猪出栏价</t>
  </si>
  <si>
    <t>价差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</si>
  <si>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</si>
  <si>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</si>
  <si>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</si>
  <si>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</si>
  <si>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</si>
  <si>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</si>
  <si>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</si>
  <si>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</si>
  <si>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</si>
  <si>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</si>
  <si>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</si>
  <si>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</si>
  <si>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时间</t>
  </si>
  <si>
    <t>数值</t>
  </si>
  <si>
    <t>2020-2026年冻品库存率（多样本）</t>
  </si>
  <si>
    <t>2013-2018年冻品库存率（多样本）</t>
  </si>
  <si>
    <t>2019年冻品库存率（多样本）</t>
  </si>
  <si>
    <t>2013年</t>
  </si>
  <si>
    <t>2014年</t>
  </si>
  <si>
    <t>2015年</t>
  </si>
  <si>
    <t>2016年</t>
  </si>
  <si>
    <t>2017年</t>
  </si>
  <si>
    <t>集团屠宰+各省规模屠宰厂</t>
  </si>
  <si>
    <t>数据</t>
  </si>
  <si>
    <t>鲜品</t>
  </si>
  <si>
    <t>冻品</t>
  </si>
  <si>
    <t>合计</t>
  </si>
  <si>
    <t>屠宰企业开工率全国平均</t>
  </si>
  <si>
    <t>生产数据</t>
  </si>
  <si>
    <t>环比涨跌</t>
  </si>
  <si>
    <t>窝均健仔数</t>
  </si>
  <si>
    <t>配种分娩率</t>
  </si>
  <si>
    <t>环比</t>
  </si>
  <si>
    <t>同比</t>
  </si>
  <si>
    <t>--</t>
  </si>
  <si>
    <t>——</t>
  </si>
  <si>
    <t>50kg以下小猪存栏量跟踪（2020年2月新扩样本点）(头)50kg以下</t>
  </si>
  <si>
    <t>备注</t>
  </si>
  <si>
    <t>东北（内蒙古，辽宁，吉林，黑龙江）；华北：（河北，河南，山东，天津）；华中（湖南，湖北，安徽，江西）；华东（浙江，江苏）；华南（广东，广西，福建）；西南（云南，贵州，四川）；西北（甘肃，陕西）</t>
  </si>
  <si>
    <t>80KG大猪存栏（2020年5月新增）</t>
  </si>
  <si>
    <t>商品猪月度出栏量（头）</t>
  </si>
  <si>
    <t>分娩母猪窝数</t>
  </si>
  <si>
    <t>新生仔猪环比</t>
  </si>
  <si>
    <t>新生仔猪月度环比</t>
  </si>
  <si>
    <t>次月断奶成活率</t>
  </si>
  <si>
    <t>断奶仔猪环比</t>
  </si>
  <si>
    <t>出栏时间</t>
  </si>
  <si>
    <t>6个月后育肥出栏成活率</t>
  </si>
  <si>
    <t>理论出栏量（未考虑压栏+提前出栏）</t>
  </si>
  <si>
    <t>此列红色为7月一样数值</t>
  </si>
  <si>
    <t>此列红色为全年同期数值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</si>
</sst>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0_);[Red]\(0\)"/>
    <numFmt numFmtId="178" formatCode="0.00_);[Red]\(0.00\)"/>
    <numFmt numFmtId="179" formatCode="0.0_ "/>
    <numFmt numFmtId="180" formatCode="0.00_ "/>
    <numFmt numFmtId="181" formatCode="yyyy/m/d;@"/>
    <numFmt numFmtId="182" formatCode="m&quot;月&quot;d&quot;日&quot;;@"/>
    <numFmt numFmtId="183" formatCode="#,##0.00_ "/>
    <numFmt numFmtId="184" formatCode="0_ "/>
    <numFmt numFmtId="185" formatCode="0.00_);\(0.00\)"/>
  </numFmts>
  <fonts count="5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b/>
      <sz val="11"/>
      <color theme="0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</font>
    <font>
      <b/>
      <sz val="11"/>
      <color rgb="FFFF0000"/>
      <name val="宋体"/>
      <charset val="134"/>
    </font>
    <font>
      <b/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3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SimSun"/>
      <charset val="134"/>
    </font>
    <font>
      <b/>
      <sz val="12"/>
      <color rgb="FFFFFFFF"/>
      <name val="宋体"/>
      <charset val="134"/>
      <scheme val="minor"/>
    </font>
    <font>
      <b/>
      <sz val="12"/>
      <color theme="0"/>
      <name val="宋体"/>
      <charset val="134"/>
      <scheme val="minor"/>
    </font>
    <font>
      <b/>
      <sz val="11"/>
      <color theme="0"/>
      <name val="SimSun"/>
      <charset val="134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30"/>
      <color rgb="FFFFFFFF"/>
      <name val="宋体"/>
      <charset val="134"/>
      <scheme val="minor"/>
    </font>
    <font>
      <sz val="12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4D4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44E4D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E14D4E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C00000"/>
      </top>
      <bottom style="thin">
        <color auto="1"/>
      </bottom>
      <diagonal/>
    </border>
    <border>
      <left/>
      <right style="thin">
        <color auto="1"/>
      </right>
      <top style="thin">
        <color rgb="FFC00000"/>
      </top>
      <bottom style="thin">
        <color auto="1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C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rgb="FFE14D4E"/>
      </left>
      <right style="thin">
        <color rgb="FFE14D4E"/>
      </right>
      <top style="thin">
        <color rgb="FFE14D4E"/>
      </top>
      <bottom style="thin">
        <color rgb="FFE14D4E"/>
      </bottom>
      <diagonal/>
    </border>
    <border>
      <left style="thin">
        <color rgb="FFC00000"/>
      </left>
      <right/>
      <top/>
      <bottom/>
      <diagonal/>
    </border>
    <border>
      <left/>
      <right style="thin">
        <color rgb="FFC0504D"/>
      </right>
      <top style="thin">
        <color rgb="FFC0504D"/>
      </top>
      <bottom style="thin">
        <color rgb="FFC0504D"/>
      </bottom>
      <diagonal/>
    </border>
    <border>
      <left style="thin">
        <color rgb="FFE10000"/>
      </left>
      <right style="thin">
        <color rgb="FFE10000"/>
      </right>
      <top style="thin">
        <color rgb="FFE10000"/>
      </top>
      <bottom style="thin">
        <color rgb="FFE10000"/>
      </bottom>
      <diagonal/>
    </border>
    <border>
      <left style="thin">
        <color rgb="FFDE3C36"/>
      </left>
      <right style="thin">
        <color rgb="FFDE3C36"/>
      </right>
      <top style="thin">
        <color rgb="FFDE3C36"/>
      </top>
      <bottom style="thin">
        <color rgb="FFDE3C3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25" applyNumberFormat="0" applyFill="0" applyAlignment="0" applyProtection="0">
      <alignment vertical="center"/>
    </xf>
    <xf numFmtId="0" fontId="36" fillId="0" borderId="25" applyNumberFormat="0" applyFill="0" applyAlignment="0" applyProtection="0">
      <alignment vertical="center"/>
    </xf>
    <xf numFmtId="0" fontId="37" fillId="0" borderId="26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1" borderId="27" applyNumberFormat="0" applyAlignment="0" applyProtection="0">
      <alignment vertical="center"/>
    </xf>
    <xf numFmtId="0" fontId="39" fillId="12" borderId="28" applyNumberFormat="0" applyAlignment="0" applyProtection="0">
      <alignment vertical="center"/>
    </xf>
    <xf numFmtId="0" fontId="40" fillId="12" borderId="27" applyNumberFormat="0" applyAlignment="0" applyProtection="0">
      <alignment vertical="center"/>
    </xf>
    <xf numFmtId="0" fontId="41" fillId="13" borderId="29" applyNumberFormat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2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</cellStyleXfs>
  <cellXfs count="285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176" fontId="1" fillId="0" borderId="0" xfId="0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/>
    </xf>
    <xf numFmtId="0" fontId="8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76" fontId="9" fillId="0" borderId="4" xfId="0" applyNumberFormat="1" applyFont="1" applyFill="1" applyBorder="1" applyAlignment="1">
      <alignment horizontal="center" vertical="center"/>
    </xf>
    <xf numFmtId="177" fontId="9" fillId="0" borderId="4" xfId="0" applyNumberFormat="1" applyFont="1" applyFill="1" applyBorder="1" applyAlignment="1">
      <alignment horizontal="center" vertical="center"/>
    </xf>
    <xf numFmtId="178" fontId="9" fillId="0" borderId="4" xfId="0" applyNumberFormat="1" applyFont="1" applyFill="1" applyBorder="1" applyAlignment="1">
      <alignment horizontal="center" vertical="center"/>
    </xf>
    <xf numFmtId="10" fontId="9" fillId="0" borderId="4" xfId="0" applyNumberFormat="1" applyFont="1" applyFill="1" applyBorder="1" applyAlignment="1">
      <alignment horizontal="center" vertical="center"/>
    </xf>
    <xf numFmtId="176" fontId="9" fillId="0" borderId="5" xfId="0" applyNumberFormat="1" applyFont="1" applyFill="1" applyBorder="1" applyAlignment="1">
      <alignment horizontal="center" vertical="center"/>
    </xf>
    <xf numFmtId="179" fontId="9" fillId="0" borderId="5" xfId="0" applyNumberFormat="1" applyFont="1" applyFill="1" applyBorder="1" applyAlignment="1">
      <alignment horizontal="center" vertical="center"/>
    </xf>
    <xf numFmtId="176" fontId="9" fillId="0" borderId="6" xfId="0" applyNumberFormat="1" applyFont="1" applyFill="1" applyBorder="1" applyAlignment="1">
      <alignment horizontal="center" vertical="center"/>
    </xf>
    <xf numFmtId="10" fontId="10" fillId="0" borderId="1" xfId="0" applyNumberFormat="1" applyFont="1" applyFill="1" applyBorder="1" applyAlignment="1">
      <alignment horizontal="center" vertical="center"/>
    </xf>
    <xf numFmtId="176" fontId="9" fillId="0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77" fontId="3" fillId="0" borderId="3" xfId="0" applyNumberFormat="1" applyFont="1" applyFill="1" applyBorder="1" applyAlignment="1">
      <alignment horizontal="center" vertical="center"/>
    </xf>
    <xf numFmtId="178" fontId="9" fillId="0" borderId="3" xfId="0" applyNumberFormat="1" applyFont="1" applyFill="1" applyBorder="1" applyAlignment="1">
      <alignment horizontal="center" vertical="center"/>
    </xf>
    <xf numFmtId="10" fontId="9" fillId="0" borderId="3" xfId="0" applyNumberFormat="1" applyFont="1" applyFill="1" applyBorder="1" applyAlignment="1">
      <alignment horizontal="center" vertical="center"/>
    </xf>
    <xf numFmtId="10" fontId="1" fillId="0" borderId="3" xfId="0" applyNumberFormat="1" applyFont="1" applyFill="1" applyBorder="1" applyAlignment="1">
      <alignment horizontal="center" vertical="center"/>
    </xf>
    <xf numFmtId="176" fontId="9" fillId="0" borderId="7" xfId="0" applyNumberFormat="1" applyFont="1" applyFill="1" applyBorder="1" applyAlignment="1">
      <alignment horizontal="center" vertical="center"/>
    </xf>
    <xf numFmtId="179" fontId="9" fillId="0" borderId="7" xfId="0" applyNumberFormat="1" applyFont="1" applyFill="1" applyBorder="1" applyAlignment="1">
      <alignment horizontal="center" vertical="center"/>
    </xf>
    <xf numFmtId="177" fontId="9" fillId="0" borderId="3" xfId="0" applyNumberFormat="1" applyFont="1" applyFill="1" applyBorder="1" applyAlignment="1">
      <alignment horizontal="center" vertical="center"/>
    </xf>
    <xf numFmtId="178" fontId="3" fillId="0" borderId="3" xfId="0" applyNumberFormat="1" applyFont="1" applyFill="1" applyBorder="1" applyAlignment="1">
      <alignment horizontal="center" vertical="center"/>
    </xf>
    <xf numFmtId="10" fontId="3" fillId="0" borderId="3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/>
    </xf>
    <xf numFmtId="176" fontId="3" fillId="0" borderId="7" xfId="0" applyNumberFormat="1" applyFont="1" applyFill="1" applyBorder="1" applyAlignment="1">
      <alignment horizontal="center" vertical="center"/>
    </xf>
    <xf numFmtId="176" fontId="3" fillId="0" borderId="8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77" fontId="1" fillId="0" borderId="3" xfId="0" applyNumberFormat="1" applyFont="1" applyFill="1" applyBorder="1" applyAlignment="1">
      <alignment horizontal="center" vertical="center"/>
    </xf>
    <xf numFmtId="176" fontId="3" fillId="0" borderId="9" xfId="0" applyNumberFormat="1" applyFont="1" applyFill="1" applyBorder="1" applyAlignment="1">
      <alignment horizontal="center" vertical="center"/>
    </xf>
    <xf numFmtId="179" fontId="3" fillId="0" borderId="3" xfId="0" applyNumberFormat="1" applyFont="1" applyFill="1" applyBorder="1" applyAlignment="1">
      <alignment horizontal="center" vertical="center"/>
    </xf>
    <xf numFmtId="10" fontId="11" fillId="0" borderId="1" xfId="0" applyNumberFormat="1" applyFont="1" applyFill="1" applyBorder="1" applyAlignment="1">
      <alignment horizontal="center" vertical="center"/>
    </xf>
    <xf numFmtId="176" fontId="3" fillId="0" borderId="10" xfId="0" applyNumberFormat="1" applyFont="1" applyFill="1" applyBorder="1" applyAlignment="1">
      <alignment horizontal="center" vertical="center"/>
    </xf>
    <xf numFmtId="180" fontId="3" fillId="0" borderId="3" xfId="0" applyNumberFormat="1" applyFont="1" applyFill="1" applyBorder="1" applyAlignment="1">
      <alignment horizontal="center" vertical="center"/>
    </xf>
    <xf numFmtId="176" fontId="3" fillId="0" borderId="11" xfId="0" applyNumberFormat="1" applyFont="1" applyFill="1" applyBorder="1" applyAlignment="1">
      <alignment horizontal="center" vertical="center"/>
    </xf>
    <xf numFmtId="10" fontId="11" fillId="0" borderId="12" xfId="0" applyNumberFormat="1" applyFont="1" applyFill="1" applyBorder="1" applyAlignment="1">
      <alignment horizontal="center" vertical="center"/>
    </xf>
    <xf numFmtId="176" fontId="3" fillId="0" borderId="13" xfId="0" applyNumberFormat="1" applyFont="1" applyFill="1" applyBorder="1" applyAlignment="1">
      <alignment horizontal="center" vertical="center"/>
    </xf>
    <xf numFmtId="180" fontId="3" fillId="0" borderId="8" xfId="0" applyNumberFormat="1" applyFont="1" applyFill="1" applyBorder="1" applyAlignment="1">
      <alignment horizontal="center" vertical="center"/>
    </xf>
    <xf numFmtId="10" fontId="11" fillId="0" borderId="3" xfId="0" applyNumberFormat="1" applyFont="1" applyFill="1" applyBorder="1" applyAlignment="1">
      <alignment horizontal="center" vertical="center"/>
    </xf>
    <xf numFmtId="57" fontId="3" fillId="0" borderId="3" xfId="0" applyNumberFormat="1" applyFont="1" applyFill="1" applyBorder="1" applyAlignment="1">
      <alignment horizontal="center" vertical="center"/>
    </xf>
    <xf numFmtId="57" fontId="3" fillId="0" borderId="7" xfId="0" applyNumberFormat="1" applyFont="1" applyFill="1" applyBorder="1" applyAlignment="1">
      <alignment horizontal="center" vertical="center"/>
    </xf>
    <xf numFmtId="180" fontId="3" fillId="3" borderId="3" xfId="0" applyNumberFormat="1" applyFont="1" applyFill="1" applyBorder="1" applyAlignment="1">
      <alignment horizontal="center" vertical="center"/>
    </xf>
    <xf numFmtId="10" fontId="10" fillId="0" borderId="4" xfId="0" applyNumberFormat="1" applyFont="1" applyFill="1" applyBorder="1" applyAlignment="1">
      <alignment horizontal="center" vertical="center"/>
    </xf>
    <xf numFmtId="57" fontId="4" fillId="0" borderId="3" xfId="0" applyNumberFormat="1" applyFont="1" applyFill="1" applyBorder="1" applyAlignment="1">
      <alignment horizontal="center" vertical="center"/>
    </xf>
    <xf numFmtId="10" fontId="4" fillId="0" borderId="3" xfId="0" applyNumberFormat="1" applyFont="1" applyFill="1" applyBorder="1" applyAlignment="1">
      <alignment horizontal="center" vertical="center"/>
    </xf>
    <xf numFmtId="10" fontId="10" fillId="0" borderId="3" xfId="0" applyNumberFormat="1" applyFont="1" applyFill="1" applyBorder="1" applyAlignment="1">
      <alignment horizontal="center" vertical="center"/>
    </xf>
    <xf numFmtId="10" fontId="0" fillId="0" borderId="3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57" fontId="5" fillId="0" borderId="3" xfId="0" applyNumberFormat="1" applyFont="1" applyFill="1" applyBorder="1" applyAlignment="1">
      <alignment horizontal="center" vertical="center"/>
    </xf>
    <xf numFmtId="57" fontId="1" fillId="0" borderId="3" xfId="0" applyNumberFormat="1" applyFont="1" applyFill="1" applyBorder="1" applyAlignment="1">
      <alignment horizontal="center" vertical="center"/>
    </xf>
    <xf numFmtId="176" fontId="11" fillId="0" borderId="3" xfId="0" applyNumberFormat="1" applyFont="1" applyFill="1" applyBorder="1" applyAlignment="1">
      <alignment horizontal="center" vertical="center"/>
    </xf>
    <xf numFmtId="176" fontId="6" fillId="0" borderId="3" xfId="0" applyNumberFormat="1" applyFont="1" applyFill="1" applyBorder="1" applyAlignment="1">
      <alignment horizontal="center" vertical="center"/>
    </xf>
    <xf numFmtId="176" fontId="0" fillId="0" borderId="3" xfId="0" applyNumberFormat="1" applyFont="1" applyFill="1" applyBorder="1" applyAlignment="1">
      <alignment horizontal="center" vertical="center"/>
    </xf>
    <xf numFmtId="10" fontId="10" fillId="0" borderId="3" xfId="3" applyNumberFormat="1" applyFont="1" applyFill="1" applyBorder="1" applyAlignment="1" applyProtection="1">
      <alignment horizontal="center" vertical="center"/>
    </xf>
    <xf numFmtId="177" fontId="11" fillId="0" borderId="3" xfId="0" applyNumberFormat="1" applyFont="1" applyFill="1" applyBorder="1" applyAlignment="1">
      <alignment horizontal="center" vertical="center"/>
    </xf>
    <xf numFmtId="178" fontId="10" fillId="0" borderId="3" xfId="0" applyNumberFormat="1" applyFont="1" applyFill="1" applyBorder="1" applyAlignment="1">
      <alignment horizontal="center" vertical="center"/>
    </xf>
    <xf numFmtId="10" fontId="12" fillId="0" borderId="3" xfId="3" applyNumberFormat="1" applyFont="1" applyFill="1" applyBorder="1" applyAlignment="1" applyProtection="1">
      <alignment horizontal="center" vertical="center"/>
    </xf>
    <xf numFmtId="10" fontId="13" fillId="0" borderId="1" xfId="0" applyNumberFormat="1" applyFont="1" applyFill="1" applyBorder="1" applyAlignment="1">
      <alignment horizontal="center" vertical="center"/>
    </xf>
    <xf numFmtId="180" fontId="14" fillId="0" borderId="3" xfId="0" applyNumberFormat="1" applyFont="1" applyFill="1" applyBorder="1" applyAlignment="1">
      <alignment horizontal="center" vertical="center"/>
    </xf>
    <xf numFmtId="180" fontId="1" fillId="0" borderId="0" xfId="0" applyNumberFormat="1" applyFont="1" applyFill="1" applyBorder="1" applyAlignment="1">
      <alignment horizontal="center" vertical="center"/>
    </xf>
    <xf numFmtId="10" fontId="1" fillId="0" borderId="0" xfId="0" applyNumberFormat="1" applyFont="1" applyFill="1" applyBorder="1" applyAlignment="1">
      <alignment horizontal="center" vertical="center"/>
    </xf>
    <xf numFmtId="176" fontId="1" fillId="0" borderId="8" xfId="0" applyNumberFormat="1" applyFont="1" applyFill="1" applyBorder="1" applyAlignment="1">
      <alignment horizontal="center" vertical="center"/>
    </xf>
    <xf numFmtId="177" fontId="11" fillId="0" borderId="8" xfId="0" applyNumberFormat="1" applyFont="1" applyFill="1" applyBorder="1" applyAlignment="1">
      <alignment horizontal="center" vertical="center"/>
    </xf>
    <xf numFmtId="178" fontId="10" fillId="0" borderId="8" xfId="0" applyNumberFormat="1" applyFont="1" applyFill="1" applyBorder="1" applyAlignment="1">
      <alignment horizontal="center" vertical="center"/>
    </xf>
    <xf numFmtId="10" fontId="13" fillId="0" borderId="4" xfId="0" applyNumberFormat="1" applyFont="1" applyFill="1" applyBorder="1" applyAlignment="1">
      <alignment horizontal="center" vertical="center"/>
    </xf>
    <xf numFmtId="10" fontId="13" fillId="0" borderId="3" xfId="0" applyNumberFormat="1" applyFont="1" applyFill="1" applyBorder="1" applyAlignment="1">
      <alignment horizontal="center" vertical="center"/>
    </xf>
    <xf numFmtId="176" fontId="5" fillId="0" borderId="3" xfId="0" applyNumberFormat="1" applyFont="1" applyFill="1" applyBorder="1" applyAlignment="1">
      <alignment horizontal="center" vertical="center"/>
    </xf>
    <xf numFmtId="177" fontId="6" fillId="0" borderId="3" xfId="0" applyNumberFormat="1" applyFont="1" applyFill="1" applyBorder="1" applyAlignment="1">
      <alignment horizontal="center" vertical="center"/>
    </xf>
    <xf numFmtId="178" fontId="12" fillId="0" borderId="3" xfId="0" applyNumberFormat="1" applyFont="1" applyFill="1" applyBorder="1" applyAlignment="1">
      <alignment horizontal="center" vertical="center"/>
    </xf>
    <xf numFmtId="178" fontId="2" fillId="0" borderId="3" xfId="0" applyNumberFormat="1" applyFont="1" applyFill="1" applyBorder="1" applyAlignment="1">
      <alignment horizontal="center" vertical="center"/>
    </xf>
    <xf numFmtId="180" fontId="4" fillId="0" borderId="3" xfId="0" applyNumberFormat="1" applyFont="1" applyFill="1" applyBorder="1" applyAlignment="1">
      <alignment horizontal="center" vertical="center"/>
    </xf>
    <xf numFmtId="10" fontId="5" fillId="0" borderId="3" xfId="0" applyNumberFormat="1" applyFont="1" applyFill="1" applyBorder="1" applyAlignment="1">
      <alignment horizontal="center" vertical="center"/>
    </xf>
    <xf numFmtId="10" fontId="15" fillId="0" borderId="3" xfId="0" applyNumberFormat="1" applyFont="1" applyFill="1" applyBorder="1" applyAlignment="1">
      <alignment horizontal="center" vertical="center"/>
    </xf>
    <xf numFmtId="10" fontId="16" fillId="0" borderId="3" xfId="0" applyNumberFormat="1" applyFont="1" applyFill="1" applyBorder="1" applyAlignment="1">
      <alignment horizontal="center" vertical="center"/>
    </xf>
    <xf numFmtId="180" fontId="15" fillId="0" borderId="3" xfId="0" applyNumberFormat="1" applyFont="1" applyFill="1" applyBorder="1" applyAlignment="1">
      <alignment horizontal="center" vertical="center"/>
    </xf>
    <xf numFmtId="180" fontId="5" fillId="0" borderId="0" xfId="0" applyNumberFormat="1" applyFont="1" applyFill="1" applyBorder="1" applyAlignment="1">
      <alignment horizontal="center" vertical="center"/>
    </xf>
    <xf numFmtId="10" fontId="5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176" fontId="0" fillId="0" borderId="0" xfId="0" applyNumberFormat="1">
      <alignment vertical="center"/>
    </xf>
    <xf numFmtId="176" fontId="17" fillId="4" borderId="1" xfId="52" applyNumberFormat="1" applyFont="1" applyFill="1" applyBorder="1" applyAlignment="1">
      <alignment horizontal="left" vertical="center"/>
    </xf>
    <xf numFmtId="0" fontId="17" fillId="4" borderId="1" xfId="52" applyFont="1" applyFill="1" applyBorder="1" applyAlignment="1">
      <alignment horizontal="left" vertical="center"/>
    </xf>
    <xf numFmtId="176" fontId="17" fillId="4" borderId="1" xfId="52" applyNumberFormat="1" applyFont="1" applyFill="1" applyBorder="1" applyAlignment="1">
      <alignment horizontal="center" vertical="center"/>
    </xf>
    <xf numFmtId="0" fontId="17" fillId="4" borderId="1" xfId="52" applyFont="1" applyFill="1" applyBorder="1" applyAlignment="1">
      <alignment horizontal="center" vertical="center"/>
    </xf>
    <xf numFmtId="176" fontId="10" fillId="0" borderId="1" xfId="52" applyNumberFormat="1" applyFont="1" applyFill="1" applyBorder="1" applyAlignment="1">
      <alignment horizontal="center" vertical="center"/>
    </xf>
    <xf numFmtId="0" fontId="10" fillId="0" borderId="1" xfId="52" applyFont="1" applyFill="1" applyBorder="1" applyAlignment="1">
      <alignment horizontal="center" vertical="center"/>
    </xf>
    <xf numFmtId="10" fontId="10" fillId="0" borderId="1" xfId="52" applyNumberFormat="1" applyFont="1" applyFill="1" applyBorder="1" applyAlignment="1">
      <alignment horizontal="center" vertical="center"/>
    </xf>
    <xf numFmtId="10" fontId="10" fillId="0" borderId="1" xfId="3" applyNumberFormat="1" applyFont="1" applyFill="1" applyBorder="1" applyAlignment="1">
      <alignment horizontal="center" vertical="center"/>
    </xf>
    <xf numFmtId="0" fontId="10" fillId="0" borderId="1" xfId="52" applyNumberFormat="1" applyFont="1" applyFill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0" fontId="0" fillId="0" borderId="1" xfId="0" applyNumberFormat="1" applyFont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176" fontId="17" fillId="4" borderId="1" xfId="0" applyNumberFormat="1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left" vertical="center"/>
    </xf>
    <xf numFmtId="176" fontId="17" fillId="4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10" fontId="17" fillId="4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0" fontId="0" fillId="0" borderId="1" xfId="0" applyNumberFormat="1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0" fillId="0" borderId="0" xfId="0" applyFont="1" applyFill="1" applyAlignment="1">
      <alignment horizontal="center" vertical="center"/>
    </xf>
    <xf numFmtId="0" fontId="17" fillId="4" borderId="1" xfId="52" applyFont="1" applyFill="1" applyBorder="1" applyAlignment="1">
      <alignment vertical="center"/>
    </xf>
    <xf numFmtId="10" fontId="17" fillId="4" borderId="1" xfId="52" applyNumberFormat="1" applyFont="1" applyFill="1" applyBorder="1" applyAlignment="1">
      <alignment horizontal="center" vertical="center"/>
    </xf>
    <xf numFmtId="0" fontId="13" fillId="0" borderId="1" xfId="52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0" borderId="0" xfId="0" applyFont="1" applyFill="1">
      <alignment vertical="center"/>
    </xf>
    <xf numFmtId="0" fontId="6" fillId="0" borderId="0" xfId="0" applyFont="1" applyFill="1" applyAlignment="1">
      <alignment horizontal="center" vertical="center"/>
    </xf>
    <xf numFmtId="176" fontId="0" fillId="5" borderId="0" xfId="0" applyNumberFormat="1" applyFont="1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10" fontId="0" fillId="5" borderId="1" xfId="0" applyNumberFormat="1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/>
    </xf>
    <xf numFmtId="0" fontId="17" fillId="4" borderId="1" xfId="0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" xfId="0" applyNumberFormat="1" applyFont="1" applyFill="1" applyBorder="1" applyAlignment="1">
      <alignment horizontal="center" vertical="center"/>
    </xf>
    <xf numFmtId="180" fontId="10" fillId="0" borderId="1" xfId="0" applyNumberFormat="1" applyFon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180" fontId="11" fillId="0" borderId="1" xfId="0" applyNumberFormat="1" applyFont="1" applyFill="1" applyBorder="1" applyAlignment="1">
      <alignment horizontal="center" vertical="center"/>
    </xf>
    <xf numFmtId="180" fontId="20" fillId="0" borderId="1" xfId="0" applyNumberFormat="1" applyFont="1" applyFill="1" applyBorder="1" applyAlignment="1">
      <alignment horizontal="center" vertical="center"/>
    </xf>
    <xf numFmtId="10" fontId="6" fillId="0" borderId="1" xfId="0" applyNumberFormat="1" applyFont="1" applyFill="1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180" fontId="10" fillId="0" borderId="15" xfId="0" applyNumberFormat="1" applyFont="1" applyFill="1" applyBorder="1" applyAlignment="1">
      <alignment horizontal="center" vertical="center"/>
    </xf>
    <xf numFmtId="10" fontId="10" fillId="0" borderId="15" xfId="0" applyNumberFormat="1" applyFont="1" applyFill="1" applyBorder="1" applyAlignment="1">
      <alignment horizontal="center" vertical="center"/>
    </xf>
    <xf numFmtId="178" fontId="10" fillId="0" borderId="1" xfId="0" applyNumberFormat="1" applyFont="1" applyFill="1" applyBorder="1" applyAlignment="1">
      <alignment horizontal="center" vertical="center"/>
    </xf>
    <xf numFmtId="10" fontId="10" fillId="0" borderId="1" xfId="3" applyNumberFormat="1" applyFont="1" applyFill="1" applyBorder="1" applyAlignment="1" applyProtection="1">
      <alignment horizontal="center" vertical="center"/>
    </xf>
    <xf numFmtId="10" fontId="10" fillId="0" borderId="1" xfId="0" applyNumberFormat="1" applyFont="1" applyFill="1" applyBorder="1" applyAlignment="1">
      <alignment horizontal="center" vertical="center" wrapText="1"/>
    </xf>
    <xf numFmtId="10" fontId="10" fillId="0" borderId="12" xfId="0" applyNumberFormat="1" applyFont="1" applyFill="1" applyBorder="1" applyAlignment="1">
      <alignment horizontal="center" vertical="center"/>
    </xf>
    <xf numFmtId="10" fontId="0" fillId="0" borderId="0" xfId="0" applyNumberFormat="1" applyFont="1">
      <alignment vertical="center"/>
    </xf>
    <xf numFmtId="176" fontId="10" fillId="0" borderId="12" xfId="0" applyNumberFormat="1" applyFont="1" applyFill="1" applyBorder="1" applyAlignment="1">
      <alignment horizontal="center" vertical="center"/>
    </xf>
    <xf numFmtId="176" fontId="0" fillId="0" borderId="16" xfId="0" applyNumberFormat="1" applyFont="1" applyFill="1" applyBorder="1" applyAlignment="1">
      <alignment horizontal="center" vertical="center"/>
    </xf>
    <xf numFmtId="18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81" fontId="19" fillId="7" borderId="17" xfId="0" applyNumberFormat="1" applyFont="1" applyFill="1" applyBorder="1">
      <alignment vertical="center"/>
    </xf>
    <xf numFmtId="0" fontId="19" fillId="7" borderId="18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8" fontId="0" fillId="0" borderId="0" xfId="0" applyNumberFormat="1">
      <alignment vertical="center"/>
    </xf>
    <xf numFmtId="181" fontId="17" fillId="4" borderId="1" xfId="0" applyNumberFormat="1" applyFont="1" applyFill="1" applyBorder="1" applyAlignment="1">
      <alignment horizontal="center" vertical="center"/>
    </xf>
    <xf numFmtId="178" fontId="17" fillId="4" borderId="1" xfId="0" applyNumberFormat="1" applyFont="1" applyFill="1" applyBorder="1" applyAlignment="1">
      <alignment horizontal="center" vertical="center"/>
    </xf>
    <xf numFmtId="181" fontId="10" fillId="0" borderId="1" xfId="0" applyNumberFormat="1" applyFont="1" applyFill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181" fontId="9" fillId="0" borderId="1" xfId="0" applyNumberFormat="1" applyFont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/>
    </xf>
    <xf numFmtId="180" fontId="21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7" fontId="0" fillId="0" borderId="0" xfId="0" applyNumberFormat="1">
      <alignment vertical="center"/>
    </xf>
    <xf numFmtId="181" fontId="19" fillId="8" borderId="0" xfId="0" applyNumberFormat="1" applyFont="1" applyFill="1" applyAlignment="1">
      <alignment horizontal="center" vertical="center"/>
    </xf>
    <xf numFmtId="177" fontId="19" fillId="8" borderId="0" xfId="0" applyNumberFormat="1" applyFont="1" applyFill="1" applyAlignment="1">
      <alignment horizontal="center" vertical="center"/>
    </xf>
    <xf numFmtId="177" fontId="10" fillId="0" borderId="1" xfId="0" applyNumberFormat="1" applyFont="1" applyFill="1" applyBorder="1" applyAlignment="1">
      <alignment horizontal="center" vertical="center"/>
    </xf>
    <xf numFmtId="181" fontId="10" fillId="0" borderId="1" xfId="0" applyNumberFormat="1" applyFont="1" applyFill="1" applyBorder="1" applyAlignment="1">
      <alignment horizontal="center" vertical="center" wrapText="1"/>
    </xf>
    <xf numFmtId="177" fontId="13" fillId="0" borderId="1" xfId="0" applyNumberFormat="1" applyFont="1" applyFill="1" applyBorder="1" applyAlignment="1">
      <alignment horizontal="center" vertical="center"/>
    </xf>
    <xf numFmtId="177" fontId="10" fillId="0" borderId="1" xfId="52" applyNumberFormat="1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181" fontId="0" fillId="5" borderId="1" xfId="0" applyNumberFormat="1" applyFont="1" applyFill="1" applyBorder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181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181" fontId="19" fillId="8" borderId="0" xfId="0" applyNumberFormat="1" applyFont="1" applyFill="1" applyAlignment="1">
      <alignment horizontal="left" vertical="center"/>
    </xf>
    <xf numFmtId="182" fontId="0" fillId="0" borderId="16" xfId="53" applyNumberForma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0" fillId="0" borderId="19" xfId="0" applyBorder="1">
      <alignment vertical="center"/>
    </xf>
    <xf numFmtId="0" fontId="6" fillId="0" borderId="19" xfId="0" applyFont="1" applyBorder="1" applyAlignment="1">
      <alignment horizontal="center" vertical="center"/>
    </xf>
    <xf numFmtId="182" fontId="0" fillId="0" borderId="19" xfId="53" applyNumberForma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10" fontId="10" fillId="0" borderId="16" xfId="0" applyNumberFormat="1" applyFont="1" applyFill="1" applyBorder="1" applyAlignment="1">
      <alignment horizontal="center" vertical="center"/>
    </xf>
    <xf numFmtId="10" fontId="0" fillId="0" borderId="0" xfId="0" applyNumberFormat="1">
      <alignment vertical="center"/>
    </xf>
    <xf numFmtId="10" fontId="10" fillId="0" borderId="19" xfId="0" applyNumberFormat="1" applyFont="1" applyFill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182" fontId="0" fillId="0" borderId="19" xfId="53" applyNumberFormat="1" applyFont="1" applyFill="1" applyBorder="1" applyAlignment="1">
      <alignment horizontal="center" vertical="center"/>
    </xf>
    <xf numFmtId="10" fontId="0" fillId="0" borderId="16" xfId="0" applyNumberFormat="1" applyBorder="1" applyAlignment="1">
      <alignment horizontal="center" vertical="center"/>
    </xf>
    <xf numFmtId="10" fontId="0" fillId="0" borderId="16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0" fillId="0" borderId="0" xfId="3" applyNumberFormat="1">
      <alignment vertical="center"/>
    </xf>
    <xf numFmtId="181" fontId="19" fillId="8" borderId="1" xfId="0" applyNumberFormat="1" applyFont="1" applyFill="1" applyBorder="1" applyAlignment="1">
      <alignment horizontal="center" vertical="center"/>
    </xf>
    <xf numFmtId="10" fontId="19" fillId="8" borderId="1" xfId="3" applyNumberFormat="1" applyFont="1" applyFill="1" applyBorder="1" applyAlignment="1">
      <alignment horizontal="center" vertical="center"/>
    </xf>
    <xf numFmtId="182" fontId="19" fillId="8" borderId="1" xfId="53" applyNumberFormat="1" applyFont="1" applyFill="1" applyBorder="1" applyAlignment="1">
      <alignment horizontal="center" vertical="center"/>
    </xf>
    <xf numFmtId="0" fontId="19" fillId="8" borderId="1" xfId="53" applyFont="1" applyFill="1" applyBorder="1" applyAlignment="1">
      <alignment horizontal="center" vertical="center"/>
    </xf>
    <xf numFmtId="178" fontId="10" fillId="0" borderId="1" xfId="51" applyNumberFormat="1" applyFont="1" applyFill="1" applyBorder="1" applyAlignment="1">
      <alignment horizontal="center" vertical="center"/>
    </xf>
    <xf numFmtId="182" fontId="19" fillId="8" borderId="19" xfId="53" applyNumberFormat="1" applyFont="1" applyFill="1" applyBorder="1" applyAlignment="1">
      <alignment horizontal="center" vertical="center"/>
    </xf>
    <xf numFmtId="0" fontId="19" fillId="8" borderId="19" xfId="53" applyFont="1" applyFill="1" applyBorder="1" applyAlignment="1">
      <alignment horizontal="center" vertical="center"/>
    </xf>
    <xf numFmtId="178" fontId="0" fillId="0" borderId="19" xfId="53" applyNumberFormat="1" applyFont="1" applyFill="1" applyBorder="1" applyAlignment="1">
      <alignment horizontal="center" vertical="center"/>
    </xf>
    <xf numFmtId="178" fontId="3" fillId="0" borderId="19" xfId="53" applyNumberFormat="1" applyFont="1" applyFill="1" applyBorder="1" applyAlignment="1">
      <alignment horizontal="center" vertical="center"/>
    </xf>
    <xf numFmtId="178" fontId="10" fillId="0" borderId="1" xfId="51" applyNumberFormat="1" applyFont="1" applyFill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/>
    </xf>
    <xf numFmtId="181" fontId="17" fillId="5" borderId="1" xfId="51" applyNumberFormat="1" applyFont="1" applyFill="1" applyBorder="1" applyAlignment="1">
      <alignment horizontal="center" vertical="center" wrapText="1"/>
    </xf>
    <xf numFmtId="178" fontId="17" fillId="5" borderId="1" xfId="51" applyNumberFormat="1" applyFont="1" applyFill="1" applyBorder="1" applyAlignment="1">
      <alignment horizontal="center" vertical="center" wrapText="1"/>
    </xf>
    <xf numFmtId="178" fontId="17" fillId="4" borderId="1" xfId="51" applyNumberFormat="1" applyFont="1" applyFill="1" applyBorder="1" applyAlignment="1">
      <alignment horizontal="center" vertical="center"/>
    </xf>
    <xf numFmtId="183" fontId="9" fillId="0" borderId="1" xfId="0" applyNumberFormat="1" applyFont="1" applyBorder="1" applyAlignment="1">
      <alignment horizontal="center" vertical="center"/>
    </xf>
    <xf numFmtId="181" fontId="22" fillId="4" borderId="1" xfId="0" applyNumberFormat="1" applyFont="1" applyFill="1" applyBorder="1" applyAlignment="1">
      <alignment horizontal="center" vertical="center" wrapText="1"/>
    </xf>
    <xf numFmtId="178" fontId="23" fillId="4" borderId="20" xfId="0" applyNumberFormat="1" applyFont="1" applyFill="1" applyBorder="1" applyAlignment="1">
      <alignment horizontal="center" vertical="center"/>
    </xf>
    <xf numFmtId="178" fontId="23" fillId="4" borderId="0" xfId="0" applyNumberFormat="1" applyFont="1" applyFill="1" applyAlignment="1">
      <alignment horizontal="center" vertical="center"/>
    </xf>
    <xf numFmtId="181" fontId="10" fillId="0" borderId="12" xfId="0" applyNumberFormat="1" applyFont="1" applyFill="1" applyBorder="1" applyAlignment="1">
      <alignment horizontal="center" vertical="center"/>
    </xf>
    <xf numFmtId="178" fontId="10" fillId="0" borderId="12" xfId="51" applyNumberFormat="1" applyFont="1" applyFill="1" applyBorder="1" applyAlignment="1">
      <alignment horizontal="center" vertical="center"/>
    </xf>
    <xf numFmtId="178" fontId="11" fillId="0" borderId="1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9" fillId="4" borderId="1" xfId="0" applyNumberFormat="1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181" fontId="0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81" fontId="0" fillId="0" borderId="1" xfId="0" applyNumberForma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4" fontId="0" fillId="0" borderId="22" xfId="0" applyNumberFormat="1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184" fontId="10" fillId="0" borderId="1" xfId="0" applyNumberFormat="1" applyFont="1" applyFill="1" applyBorder="1" applyAlignment="1">
      <alignment horizontal="center" vertical="center"/>
    </xf>
    <xf numFmtId="181" fontId="17" fillId="4" borderId="1" xfId="0" applyNumberFormat="1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17" fillId="4" borderId="1" xfId="0" applyNumberFormat="1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/>
    </xf>
    <xf numFmtId="179" fontId="10" fillId="0" borderId="1" xfId="0" applyNumberFormat="1" applyFont="1" applyFill="1" applyBorder="1" applyAlignment="1">
      <alignment horizontal="center" vertical="center"/>
    </xf>
    <xf numFmtId="185" fontId="10" fillId="0" borderId="1" xfId="0" applyNumberFormat="1" applyFont="1" applyFill="1" applyBorder="1" applyAlignment="1">
      <alignment horizontal="center" vertical="center"/>
    </xf>
    <xf numFmtId="181" fontId="25" fillId="0" borderId="1" xfId="0" applyNumberFormat="1" applyFont="1" applyFill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179" fontId="21" fillId="0" borderId="1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81" fontId="17" fillId="4" borderId="2" xfId="0" applyNumberFormat="1" applyFont="1" applyFill="1" applyBorder="1" applyAlignment="1">
      <alignment horizontal="center" vertical="center"/>
    </xf>
    <xf numFmtId="181" fontId="17" fillId="4" borderId="14" xfId="0" applyNumberFormat="1" applyFont="1" applyFill="1" applyBorder="1" applyAlignment="1">
      <alignment horizontal="center" vertical="center"/>
    </xf>
    <xf numFmtId="181" fontId="17" fillId="4" borderId="6" xfId="0" applyNumberFormat="1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178" fontId="19" fillId="8" borderId="1" xfId="0" applyNumberFormat="1" applyFont="1" applyFill="1" applyBorder="1" applyAlignment="1">
      <alignment horizontal="center" vertical="center"/>
    </xf>
    <xf numFmtId="181" fontId="17" fillId="4" borderId="1" xfId="0" applyNumberFormat="1" applyFont="1" applyFill="1" applyBorder="1" applyAlignment="1">
      <alignment vertical="center"/>
    </xf>
    <xf numFmtId="178" fontId="10" fillId="0" borderId="2" xfId="0" applyNumberFormat="1" applyFont="1" applyFill="1" applyBorder="1" applyAlignment="1">
      <alignment horizontal="center" vertical="center"/>
    </xf>
    <xf numFmtId="183" fontId="10" fillId="0" borderId="1" xfId="0" applyNumberFormat="1" applyFont="1" applyBorder="1" applyAlignment="1">
      <alignment horizontal="center" vertical="center"/>
    </xf>
    <xf numFmtId="183" fontId="1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183" fontId="11" fillId="0" borderId="1" xfId="0" applyNumberFormat="1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180" fontId="10" fillId="0" borderId="1" xfId="0" applyNumberFormat="1" applyFont="1" applyBorder="1" applyAlignment="1">
      <alignment horizontal="center" vertical="center"/>
    </xf>
    <xf numFmtId="180" fontId="11" fillId="0" borderId="1" xfId="0" applyNumberFormat="1" applyFont="1" applyBorder="1" applyAlignment="1">
      <alignment horizontal="center" vertical="center"/>
    </xf>
    <xf numFmtId="180" fontId="0" fillId="0" borderId="1" xfId="0" applyNumberFormat="1" applyFont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Fill="1" applyAlignment="1"/>
    <xf numFmtId="181" fontId="0" fillId="0" borderId="0" xfId="0" applyNumberFormat="1" applyFont="1" applyFill="1" applyAlignment="1">
      <alignment horizontal="center"/>
    </xf>
    <xf numFmtId="181" fontId="11" fillId="0" borderId="1" xfId="0" applyNumberFormat="1" applyFont="1" applyFill="1" applyBorder="1" applyAlignment="1">
      <alignment horizontal="center" vertical="center"/>
    </xf>
    <xf numFmtId="10" fontId="9" fillId="0" borderId="1" xfId="0" applyNumberFormat="1" applyFont="1" applyFill="1" applyBorder="1" applyAlignment="1">
      <alignment horizontal="center" vertical="center"/>
    </xf>
    <xf numFmtId="181" fontId="9" fillId="0" borderId="1" xfId="0" applyNumberFormat="1" applyFont="1" applyFill="1" applyBorder="1" applyAlignment="1">
      <alignment horizontal="center" vertical="center"/>
    </xf>
    <xf numFmtId="10" fontId="9" fillId="0" borderId="1" xfId="3" applyNumberFormat="1" applyFont="1" applyFill="1" applyBorder="1" applyAlignment="1" applyProtection="1">
      <alignment horizontal="center" vertical="center"/>
    </xf>
    <xf numFmtId="10" fontId="0" fillId="0" borderId="0" xfId="3" applyNumberFormat="1" applyFont="1" applyFill="1" applyBorder="1" applyAlignment="1" applyProtection="1"/>
    <xf numFmtId="0" fontId="0" fillId="0" borderId="0" xfId="0" applyFont="1" applyFill="1" applyBorder="1" applyAlignment="1"/>
    <xf numFmtId="0" fontId="0" fillId="0" borderId="0" xfId="0" applyFont="1" applyFill="1" applyAlignment="1">
      <alignment horizontal="center"/>
    </xf>
    <xf numFmtId="10" fontId="21" fillId="9" borderId="1" xfId="0" applyNumberFormat="1" applyFont="1" applyFill="1" applyBorder="1" applyAlignment="1">
      <alignment horizontal="center" vertical="center"/>
    </xf>
    <xf numFmtId="181" fontId="21" fillId="0" borderId="1" xfId="0" applyNumberFormat="1" applyFont="1" applyFill="1" applyBorder="1" applyAlignment="1">
      <alignment horizontal="center" vertical="center"/>
    </xf>
    <xf numFmtId="10" fontId="21" fillId="9" borderId="23" xfId="0" applyNumberFormat="1" applyFont="1" applyFill="1" applyBorder="1" applyAlignment="1">
      <alignment horizontal="center" vertical="center"/>
    </xf>
    <xf numFmtId="178" fontId="3" fillId="0" borderId="19" xfId="49" applyNumberFormat="1" applyFont="1" applyFill="1" applyBorder="1" applyAlignment="1">
      <alignment horizontal="center" vertical="center"/>
    </xf>
    <xf numFmtId="178" fontId="11" fillId="0" borderId="19" xfId="53" applyNumberFormat="1" applyFont="1" applyFill="1" applyBorder="1" applyAlignment="1">
      <alignment horizontal="center" vertical="center"/>
    </xf>
    <xf numFmtId="178" fontId="1" fillId="0" borderId="19" xfId="53" applyNumberFormat="1" applyFont="1" applyFill="1" applyBorder="1" applyAlignment="1">
      <alignment horizontal="center" vertical="center"/>
    </xf>
    <xf numFmtId="0" fontId="26" fillId="0" borderId="0" xfId="0" applyFont="1" applyFill="1">
      <alignment vertical="center"/>
    </xf>
    <xf numFmtId="0" fontId="27" fillId="0" borderId="0" xfId="0" applyFont="1" applyFill="1">
      <alignment vertical="center"/>
    </xf>
    <xf numFmtId="0" fontId="27" fillId="0" borderId="0" xfId="0" applyFont="1">
      <alignment vertical="center"/>
    </xf>
    <xf numFmtId="0" fontId="26" fillId="0" borderId="0" xfId="0" applyFont="1">
      <alignment vertical="center"/>
    </xf>
    <xf numFmtId="180" fontId="26" fillId="0" borderId="0" xfId="0" applyNumberFormat="1" applyFont="1">
      <alignment vertical="center"/>
    </xf>
    <xf numFmtId="181" fontId="0" fillId="0" borderId="0" xfId="0" applyNumberFormat="1" applyFont="1">
      <alignment vertical="center"/>
    </xf>
    <xf numFmtId="178" fontId="0" fillId="0" borderId="0" xfId="0" applyNumberFormat="1" applyFont="1" applyAlignment="1">
      <alignment horizontal="center" vertical="center"/>
    </xf>
    <xf numFmtId="182" fontId="0" fillId="0" borderId="0" xfId="0" applyNumberFormat="1" applyFill="1" applyAlignment="1"/>
    <xf numFmtId="0" fontId="19" fillId="8" borderId="1" xfId="0" applyNumberFormat="1" applyFont="1" applyFill="1" applyBorder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10" fontId="26" fillId="0" borderId="0" xfId="3" applyNumberFormat="1" applyFont="1" applyFill="1">
      <alignment vertical="center"/>
    </xf>
    <xf numFmtId="0" fontId="0" fillId="0" borderId="0" xfId="0" applyFill="1" applyAlignment="1"/>
    <xf numFmtId="0" fontId="0" fillId="5" borderId="0" xfId="0" applyFill="1">
      <alignment vertical="center"/>
    </xf>
    <xf numFmtId="0" fontId="28" fillId="4" borderId="3" xfId="0" applyFont="1" applyFill="1" applyBorder="1" applyAlignment="1">
      <alignment horizontal="center" vertical="center"/>
    </xf>
    <xf numFmtId="0" fontId="26" fillId="5" borderId="0" xfId="0" applyFont="1" applyFill="1">
      <alignment vertical="center"/>
    </xf>
    <xf numFmtId="0" fontId="29" fillId="5" borderId="0" xfId="6" applyFont="1" applyFill="1">
      <alignment vertical="center"/>
    </xf>
    <xf numFmtId="0" fontId="0" fillId="5" borderId="0" xfId="0" applyFont="1" applyFill="1">
      <alignment vertical="center"/>
    </xf>
    <xf numFmtId="0" fontId="10" fillId="0" borderId="1" xfId="0" applyFont="1" applyFill="1" applyBorder="1" applyAlignment="1" quotePrefix="1">
      <alignment horizontal="center" vertical="center"/>
    </xf>
    <xf numFmtId="10" fontId="10" fillId="0" borderId="1" xfId="52" applyNumberFormat="1" applyFont="1" applyFill="1" applyBorder="1" applyAlignment="1" quotePrefix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4" xfId="49"/>
    <cellStyle name="常规 2 3" xfId="50"/>
    <cellStyle name="常规 3" xfId="51"/>
    <cellStyle name="常规 2" xfId="52"/>
    <cellStyle name="常规 5" xfId="53"/>
  </cellStyles>
  <tableStyles count="0" defaultTableStyle="TableStyleMedium2" defaultPivotStyle="PivotStyleLight16"/>
  <colors>
    <mruColors>
      <color rgb="00FF4D4E"/>
      <color rgb="00E14D4E"/>
      <color rgb="00E24D4E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2" Type="http://schemas.openxmlformats.org/officeDocument/2006/relationships/styles" Target="styles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customXml" Target="../customXml/item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chartUserShapes" Target="../drawings/drawing5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chartUserShapes" Target="../drawings/drawing7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chartUserShapes" Target="../drawings/drawing9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chartUserShapes" Target="../drawings/drawing11.xml"/></Relationships>
</file>

<file path=xl/charts/_rels/chart7.xml.rels><?xml version="1.0" encoding="UTF-8" standalone="yes"?>
<Relationships xmlns="http://schemas.openxmlformats.org/package/2006/relationships"><Relationship Id="rId3" Type="http://schemas.microsoft.com/office/2011/relationships/chartColorStyle" Target="colors7.xml"/><Relationship Id="rId2" Type="http://schemas.microsoft.com/office/2011/relationships/chartStyle" Target="style7.xml"/><Relationship Id="rId1" Type="http://schemas.openxmlformats.org/officeDocument/2006/relationships/chartUserShapes" Target="../drawings/drawing13.xml"/></Relationships>
</file>

<file path=xl/charts/_rels/chart8.xml.rels><?xml version="1.0" encoding="UTF-8" standalone="yes"?>
<Relationships xmlns="http://schemas.openxmlformats.org/package/2006/relationships"><Relationship Id="rId3" Type="http://schemas.microsoft.com/office/2011/relationships/chartColorStyle" Target="colors8.xml"/><Relationship Id="rId2" Type="http://schemas.microsoft.com/office/2011/relationships/chartStyle" Target="style8.xml"/><Relationship Id="rId1" Type="http://schemas.openxmlformats.org/officeDocument/2006/relationships/chartUserShapes" Target="../drawings/drawing14.xml"/></Relationships>
</file>

<file path=xl/charts/_rels/chart9.xml.rels><?xml version="1.0" encoding="UTF-8" standalone="yes"?>
<Relationships xmlns="http://schemas.openxmlformats.org/package/2006/relationships"><Relationship Id="rId4" Type="http://schemas.microsoft.com/office/2011/relationships/chartColorStyle" Target="colors9.xml"/><Relationship Id="rId3" Type="http://schemas.microsoft.com/office/2011/relationships/chartStyle" Target="style9.xml"/><Relationship Id="rId2" Type="http://schemas.openxmlformats.org/officeDocument/2006/relationships/chartUserShapes" Target="../drawings/drawing16.xml"/><Relationship Id="rId1" Type="http://schemas.openxmlformats.org/officeDocument/2006/relationships/themeOverride" Target="../theme/themeOverride1.xml"/></Relationships>
</file>

<file path=xl/charts/_rels/chart10.xml.rels><?xml version="1.0" encoding="UTF-8" standalone="yes"?>
<Relationships xmlns="http://schemas.openxmlformats.org/package/2006/relationships"><Relationship Id="rId3" Type="http://schemas.microsoft.com/office/2011/relationships/chartColorStyle" Target="colors10.xml"/><Relationship Id="rId2" Type="http://schemas.microsoft.com/office/2011/relationships/chartStyle" Target="style10.xml"/><Relationship Id="rId1" Type="http://schemas.openxmlformats.org/officeDocument/2006/relationships/chartUserShapes" Target="../drawings/drawing18.xml"/></Relationships>
</file>

<file path=xl/charts/_rels/chart11.xml.rels><?xml version="1.0" encoding="UTF-8" standalone="yes"?>
<Relationships xmlns="http://schemas.openxmlformats.org/package/2006/relationships"><Relationship Id="rId3" Type="http://schemas.microsoft.com/office/2011/relationships/chartColorStyle" Target="colors11.xml"/><Relationship Id="rId2" Type="http://schemas.microsoft.com/office/2011/relationships/chartStyle" Target="style11.xml"/><Relationship Id="rId1" Type="http://schemas.openxmlformats.org/officeDocument/2006/relationships/chartUserShapes" Target="../drawings/drawing20.xml"/></Relationships>
</file>

<file path=xl/charts/_rels/chart12.xml.rels><?xml version="1.0" encoding="UTF-8" standalone="yes"?>
<Relationships xmlns="http://schemas.openxmlformats.org/package/2006/relationships"><Relationship Id="rId3" Type="http://schemas.microsoft.com/office/2011/relationships/chartColorStyle" Target="colors12.xml"/><Relationship Id="rId2" Type="http://schemas.microsoft.com/office/2011/relationships/chartStyle" Target="style12.xml"/><Relationship Id="rId1" Type="http://schemas.openxmlformats.org/officeDocument/2006/relationships/chartUserShapes" Target="../drawings/drawing21.xml"/></Relationships>
</file>

<file path=xl/charts/_rels/chart13.xml.rels><?xml version="1.0" encoding="UTF-8" standalone="yes"?>
<Relationships xmlns="http://schemas.openxmlformats.org/package/2006/relationships"><Relationship Id="rId3" Type="http://schemas.microsoft.com/office/2011/relationships/chartColorStyle" Target="colors13.xml"/><Relationship Id="rId2" Type="http://schemas.microsoft.com/office/2011/relationships/chartStyle" Target="style13.xml"/><Relationship Id="rId1" Type="http://schemas.openxmlformats.org/officeDocument/2006/relationships/chartUserShapes" Target="../drawings/drawing23.xml"/></Relationships>
</file>

<file path=xl/charts/_rels/chart14.xml.rels><?xml version="1.0" encoding="UTF-8" standalone="yes"?>
<Relationships xmlns="http://schemas.openxmlformats.org/package/2006/relationships"><Relationship Id="rId3" Type="http://schemas.microsoft.com/office/2011/relationships/chartColorStyle" Target="colors14.xml"/><Relationship Id="rId2" Type="http://schemas.microsoft.com/office/2011/relationships/chartStyle" Target="style14.xml"/><Relationship Id="rId1" Type="http://schemas.openxmlformats.org/officeDocument/2006/relationships/chartUserShapes" Target="../drawings/drawing24.xml"/></Relationships>
</file>

<file path=xl/charts/_rels/chart15.xml.rels><?xml version="1.0" encoding="UTF-8" standalone="yes"?>
<Relationships xmlns="http://schemas.openxmlformats.org/package/2006/relationships"><Relationship Id="rId3" Type="http://schemas.microsoft.com/office/2011/relationships/chartColorStyle" Target="colors15.xml"/><Relationship Id="rId2" Type="http://schemas.microsoft.com/office/2011/relationships/chartStyle" Target="style15.xml"/><Relationship Id="rId1" Type="http://schemas.openxmlformats.org/officeDocument/2006/relationships/chartUserShapes" Target="../drawings/drawing26.xml"/></Relationships>
</file>

<file path=xl/charts/_rels/chart16.xml.rels><?xml version="1.0" encoding="UTF-8" standalone="yes"?>
<Relationships xmlns="http://schemas.openxmlformats.org/package/2006/relationships"><Relationship Id="rId3" Type="http://schemas.microsoft.com/office/2011/relationships/chartColorStyle" Target="colors16.xml"/><Relationship Id="rId2" Type="http://schemas.microsoft.com/office/2011/relationships/chartStyle" Target="style16.xml"/><Relationship Id="rId1" Type="http://schemas.openxmlformats.org/officeDocument/2006/relationships/chartUserShapes" Target="../drawings/drawing28.xml"/></Relationships>
</file>

<file path=xl/charts/_rels/chart17.xml.rels><?xml version="1.0" encoding="UTF-8" standalone="yes"?>
<Relationships xmlns="http://schemas.openxmlformats.org/package/2006/relationships"><Relationship Id="rId3" Type="http://schemas.microsoft.com/office/2011/relationships/chartColorStyle" Target="colors17.xml"/><Relationship Id="rId2" Type="http://schemas.microsoft.com/office/2011/relationships/chartStyle" Target="style17.xml"/><Relationship Id="rId1" Type="http://schemas.openxmlformats.org/officeDocument/2006/relationships/chartUserShapes" Target="../drawings/drawing30.xml"/></Relationships>
</file>

<file path=xl/charts/_rels/chart18.xml.rels><?xml version="1.0" encoding="UTF-8" standalone="yes"?>
<Relationships xmlns="http://schemas.openxmlformats.org/package/2006/relationships"><Relationship Id="rId3" Type="http://schemas.microsoft.com/office/2011/relationships/chartColorStyle" Target="colors18.xml"/><Relationship Id="rId2" Type="http://schemas.microsoft.com/office/2011/relationships/chartStyle" Target="style18.xml"/><Relationship Id="rId1" Type="http://schemas.openxmlformats.org/officeDocument/2006/relationships/chartUserShapes" Target="../drawings/drawing32.xml"/></Relationships>
</file>

<file path=xl/charts/_rels/chart19.xml.rels><?xml version="1.0" encoding="UTF-8" standalone="yes"?>
<Relationships xmlns="http://schemas.openxmlformats.org/package/2006/relationships"><Relationship Id="rId3" Type="http://schemas.microsoft.com/office/2011/relationships/chartColorStyle" Target="colors19.xml"/><Relationship Id="rId2" Type="http://schemas.microsoft.com/office/2011/relationships/chartStyle" Target="style19.xml"/><Relationship Id="rId1" Type="http://schemas.openxmlformats.org/officeDocument/2006/relationships/chartUserShapes" Target="../drawings/drawing34.xml"/></Relationships>
</file>

<file path=xl/charts/_rels/chart20.xml.rels><?xml version="1.0" encoding="UTF-8" standalone="yes"?>
<Relationships xmlns="http://schemas.openxmlformats.org/package/2006/relationships"><Relationship Id="rId3" Type="http://schemas.microsoft.com/office/2011/relationships/chartColorStyle" Target="colors20.xml"/><Relationship Id="rId2" Type="http://schemas.microsoft.com/office/2011/relationships/chartStyle" Target="style20.xml"/><Relationship Id="rId1" Type="http://schemas.openxmlformats.org/officeDocument/2006/relationships/chartUserShapes" Target="../drawings/drawing36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microsoft.com/office/2011/relationships/chartColorStyle" Target="colors23.xml"/><Relationship Id="rId2" Type="http://schemas.microsoft.com/office/2011/relationships/chartStyle" Target="style23.xml"/><Relationship Id="rId1" Type="http://schemas.openxmlformats.org/officeDocument/2006/relationships/chartUserShapes" Target="../drawings/drawing38.xml"/></Relationships>
</file>

<file path=xl/charts/_rels/chart24.xml.rels><?xml version="1.0" encoding="UTF-8" standalone="yes"?>
<Relationships xmlns="http://schemas.openxmlformats.org/package/2006/relationships"><Relationship Id="rId3" Type="http://schemas.microsoft.com/office/2011/relationships/chartColorStyle" Target="colors24.xml"/><Relationship Id="rId2" Type="http://schemas.microsoft.com/office/2011/relationships/chartStyle" Target="style24.xml"/><Relationship Id="rId1" Type="http://schemas.openxmlformats.org/officeDocument/2006/relationships/chartUserShapes" Target="../drawings/drawing40.xml"/></Relationships>
</file>

<file path=xl/charts/_rels/chart25.xml.rels><?xml version="1.0" encoding="UTF-8" standalone="yes"?>
<Relationships xmlns="http://schemas.openxmlformats.org/package/2006/relationships"><Relationship Id="rId3" Type="http://schemas.microsoft.com/office/2011/relationships/chartColorStyle" Target="colors25.xml"/><Relationship Id="rId2" Type="http://schemas.microsoft.com/office/2011/relationships/chartStyle" Target="style25.xml"/><Relationship Id="rId1" Type="http://schemas.openxmlformats.org/officeDocument/2006/relationships/chartUserShapes" Target="../drawings/drawing44.xml"/></Relationships>
</file>

<file path=xl/charts/_rels/chart26.xml.rels><?xml version="1.0" encoding="UTF-8" standalone="yes"?>
<Relationships xmlns="http://schemas.openxmlformats.org/package/2006/relationships"><Relationship Id="rId3" Type="http://schemas.microsoft.com/office/2011/relationships/chartColorStyle" Target="colors26.xml"/><Relationship Id="rId2" Type="http://schemas.microsoft.com/office/2011/relationships/chartStyle" Target="style26.xml"/><Relationship Id="rId1" Type="http://schemas.openxmlformats.org/officeDocument/2006/relationships/chartUserShapes" Target="../drawings/drawing45.xml"/></Relationships>
</file>

<file path=xl/charts/_rels/chart27.xml.rels><?xml version="1.0" encoding="UTF-8" standalone="yes"?>
<Relationships xmlns="http://schemas.openxmlformats.org/package/2006/relationships"><Relationship Id="rId3" Type="http://schemas.microsoft.com/office/2011/relationships/chartColorStyle" Target="colors27.xml"/><Relationship Id="rId2" Type="http://schemas.microsoft.com/office/2011/relationships/chartStyle" Target="style27.xml"/><Relationship Id="rId1" Type="http://schemas.openxmlformats.org/officeDocument/2006/relationships/chartUserShapes" Target="../drawings/drawing47.xml"/></Relationships>
</file>

<file path=xl/charts/_rels/chart28.xml.rels><?xml version="1.0" encoding="UTF-8" standalone="yes"?>
<Relationships xmlns="http://schemas.openxmlformats.org/package/2006/relationships"><Relationship Id="rId3" Type="http://schemas.microsoft.com/office/2011/relationships/chartColorStyle" Target="colors28.xml"/><Relationship Id="rId2" Type="http://schemas.microsoft.com/office/2011/relationships/chartStyle" Target="style28.xml"/><Relationship Id="rId1" Type="http://schemas.openxmlformats.org/officeDocument/2006/relationships/chartUserShapes" Target="../drawings/drawing49.xml"/></Relationships>
</file>

<file path=xl/charts/_rels/chart29.xml.rels><?xml version="1.0" encoding="UTF-8" standalone="yes"?>
<Relationships xmlns="http://schemas.openxmlformats.org/package/2006/relationships"><Relationship Id="rId3" Type="http://schemas.microsoft.com/office/2011/relationships/chartColorStyle" Target="colors29.xml"/><Relationship Id="rId2" Type="http://schemas.microsoft.com/office/2011/relationships/chartStyle" Target="style29.xml"/><Relationship Id="rId1" Type="http://schemas.openxmlformats.org/officeDocument/2006/relationships/chartUserShapes" Target="../drawings/drawing51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r>
              <a:rPr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全国商品猪出栏均价走势图</a:t>
            </a:r>
            <a:endParaRPr b="1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5912875778421"/>
          <c:y val="0.172517321016166"/>
          <c:w val="0.863658355203598"/>
          <c:h val="0.60840646651270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出栏价!$A$3:$A$1357</c:f>
              <c:numCache>
                <c:formatCode>yyyy/m/d;@</c:formatCode>
                <c:ptCount val="1355"/>
                <c:pt idx="0" c:formatCode="yyyy/m/d;@">
                  <c:v>43307</c:v>
                </c:pt>
                <c:pt idx="1" c:formatCode="yyyy/m/d;@">
                  <c:v>43314</c:v>
                </c:pt>
                <c:pt idx="2" c:formatCode="yyyy/m/d;@">
                  <c:v>43321</c:v>
                </c:pt>
                <c:pt idx="3" c:formatCode="yyyy/m/d;@">
                  <c:v>43328</c:v>
                </c:pt>
                <c:pt idx="4" c:formatCode="yyyy/m/d;@">
                  <c:v>43335</c:v>
                </c:pt>
                <c:pt idx="5" c:formatCode="yyyy/m/d;@">
                  <c:v>43342</c:v>
                </c:pt>
                <c:pt idx="6" c:formatCode="yyyy/m/d;@">
                  <c:v>43349</c:v>
                </c:pt>
                <c:pt idx="7" c:formatCode="yyyy/m/d;@">
                  <c:v>43356</c:v>
                </c:pt>
                <c:pt idx="8" c:formatCode="yyyy/m/d;@">
                  <c:v>43363</c:v>
                </c:pt>
                <c:pt idx="9" c:formatCode="yyyy/m/d;@">
                  <c:v>43370</c:v>
                </c:pt>
                <c:pt idx="10" c:formatCode="yyyy/m/d;@">
                  <c:v>43377</c:v>
                </c:pt>
                <c:pt idx="11" c:formatCode="yyyy/m/d;@">
                  <c:v>43384</c:v>
                </c:pt>
                <c:pt idx="12" c:formatCode="yyyy/m/d;@">
                  <c:v>43391</c:v>
                </c:pt>
                <c:pt idx="13" c:formatCode="yyyy/m/d;@">
                  <c:v>43398</c:v>
                </c:pt>
                <c:pt idx="14" c:formatCode="yyyy/m/d;@">
                  <c:v>43405</c:v>
                </c:pt>
                <c:pt idx="15" c:formatCode="yyyy/m/d;@">
                  <c:v>43412</c:v>
                </c:pt>
                <c:pt idx="16" c:formatCode="yyyy/m/d;@">
                  <c:v>43419</c:v>
                </c:pt>
                <c:pt idx="17" c:formatCode="yyyy/m/d;@">
                  <c:v>43426</c:v>
                </c:pt>
                <c:pt idx="18" c:formatCode="yyyy/m/d;@">
                  <c:v>43433</c:v>
                </c:pt>
                <c:pt idx="19" c:formatCode="yyyy/m/d;@">
                  <c:v>43440</c:v>
                </c:pt>
                <c:pt idx="20" c:formatCode="yyyy/m/d;@">
                  <c:v>43447</c:v>
                </c:pt>
                <c:pt idx="21" c:formatCode="yyyy/m/d;@">
                  <c:v>43454</c:v>
                </c:pt>
                <c:pt idx="22" c:formatCode="yyyy/m/d;@">
                  <c:v>43461</c:v>
                </c:pt>
                <c:pt idx="23" c:formatCode="yyyy/m/d;@">
                  <c:v>43469</c:v>
                </c:pt>
                <c:pt idx="24" c:formatCode="yyyy/m/d;@">
                  <c:v>43475</c:v>
                </c:pt>
                <c:pt idx="25" c:formatCode="yyyy/m/d;@">
                  <c:v>43482</c:v>
                </c:pt>
                <c:pt idx="26" c:formatCode="yyyy/m/d;@">
                  <c:v>43489</c:v>
                </c:pt>
                <c:pt idx="27" c:formatCode="yyyy/m/d;@">
                  <c:v>43496</c:v>
                </c:pt>
                <c:pt idx="28" c:formatCode="yyyy/m/d;@">
                  <c:v>43503</c:v>
                </c:pt>
                <c:pt idx="29" c:formatCode="yyyy/m/d;@">
                  <c:v>43509</c:v>
                </c:pt>
                <c:pt idx="30" c:formatCode="yyyy/m/d;@">
                  <c:v>43517</c:v>
                </c:pt>
                <c:pt idx="31" c:formatCode="yyyy/m/d;@">
                  <c:v>43524</c:v>
                </c:pt>
                <c:pt idx="32" c:formatCode="yyyy/m/d;@">
                  <c:v>43531</c:v>
                </c:pt>
                <c:pt idx="33" c:formatCode="yyyy/m/d;@">
                  <c:v>43538</c:v>
                </c:pt>
                <c:pt idx="34" c:formatCode="yyyy/m/d;@">
                  <c:v>43545</c:v>
                </c:pt>
                <c:pt idx="35" c:formatCode="yyyy/m/d;@">
                  <c:v>43552</c:v>
                </c:pt>
                <c:pt idx="36" c:formatCode="yyyy/m/d;@">
                  <c:v>43559</c:v>
                </c:pt>
                <c:pt idx="37" c:formatCode="yyyy/m/d;@">
                  <c:v>43566</c:v>
                </c:pt>
                <c:pt idx="38" c:formatCode="yyyy/m/d;@">
                  <c:v>43572</c:v>
                </c:pt>
                <c:pt idx="39" c:formatCode="yyyy/m/d;@">
                  <c:v>43580</c:v>
                </c:pt>
                <c:pt idx="40" c:formatCode="yyyy/m/d;@">
                  <c:v>43587</c:v>
                </c:pt>
                <c:pt idx="41" c:formatCode="yyyy/m/d;@">
                  <c:v>43594</c:v>
                </c:pt>
                <c:pt idx="42" c:formatCode="yyyy/m/d;@">
                  <c:v>43601</c:v>
                </c:pt>
                <c:pt idx="43" c:formatCode="yyyy/m/d;@">
                  <c:v>43608</c:v>
                </c:pt>
                <c:pt idx="44" c:formatCode="yyyy/m/d;@">
                  <c:v>43615</c:v>
                </c:pt>
                <c:pt idx="45" c:formatCode="yyyy/m/d;@">
                  <c:v>43622</c:v>
                </c:pt>
                <c:pt idx="46" c:formatCode="yyyy/m/d;@">
                  <c:v>43629</c:v>
                </c:pt>
                <c:pt idx="47" c:formatCode="yyyy/m/d;@">
                  <c:v>43636</c:v>
                </c:pt>
                <c:pt idx="48" c:formatCode="yyyy/m/d;@">
                  <c:v>43643</c:v>
                </c:pt>
                <c:pt idx="49" c:formatCode="yyyy/m/d;@">
                  <c:v>43650</c:v>
                </c:pt>
                <c:pt idx="50" c:formatCode="yyyy/m/d;@">
                  <c:v>43657</c:v>
                </c:pt>
                <c:pt idx="51" c:formatCode="yyyy/m/d;@">
                  <c:v>43664</c:v>
                </c:pt>
                <c:pt idx="52" c:formatCode="yyyy/m/d;@">
                  <c:v>43671</c:v>
                </c:pt>
                <c:pt idx="53" c:formatCode="yyyy/m/d;@">
                  <c:v>43678</c:v>
                </c:pt>
                <c:pt idx="54" c:formatCode="yyyy/m/d;@">
                  <c:v>43685</c:v>
                </c:pt>
                <c:pt idx="55" c:formatCode="yyyy/m/d;@">
                  <c:v>43692</c:v>
                </c:pt>
                <c:pt idx="56" c:formatCode="yyyy/m/d;@">
                  <c:v>43699</c:v>
                </c:pt>
                <c:pt idx="57" c:formatCode="yyyy/m/d;@">
                  <c:v>43706</c:v>
                </c:pt>
                <c:pt idx="58" c:formatCode="yyyy/m/d;@">
                  <c:v>43713</c:v>
                </c:pt>
                <c:pt idx="59" c:formatCode="yyyy/m/d;@">
                  <c:v>43720</c:v>
                </c:pt>
                <c:pt idx="60" c:formatCode="yyyy/m/d;@">
                  <c:v>43727</c:v>
                </c:pt>
                <c:pt idx="61" c:formatCode="yyyy/m/d;@">
                  <c:v>43734</c:v>
                </c:pt>
                <c:pt idx="62" c:formatCode="yyyy/m/d;@">
                  <c:v>43748</c:v>
                </c:pt>
                <c:pt idx="63" c:formatCode="yyyy/m/d;@">
                  <c:v>43755</c:v>
                </c:pt>
                <c:pt idx="64" c:formatCode="yyyy/m/d;@">
                  <c:v>43762</c:v>
                </c:pt>
                <c:pt idx="65" c:formatCode="yyyy/m/d;@">
                  <c:v>43769</c:v>
                </c:pt>
                <c:pt idx="66" c:formatCode="yyyy/m/d;@">
                  <c:v>43776</c:v>
                </c:pt>
                <c:pt idx="67" c:formatCode="yyyy/m/d;@">
                  <c:v>43783</c:v>
                </c:pt>
                <c:pt idx="68" c:formatCode="yyyy/m/d;@">
                  <c:v>43790</c:v>
                </c:pt>
                <c:pt idx="69" c:formatCode="yyyy/m/d;@">
                  <c:v>43797</c:v>
                </c:pt>
                <c:pt idx="70" c:formatCode="yyyy/m/d;@">
                  <c:v>43804</c:v>
                </c:pt>
                <c:pt idx="71" c:formatCode="yyyy/m/d;@">
                  <c:v>43811</c:v>
                </c:pt>
                <c:pt idx="72" c:formatCode="yyyy/m/d;@">
                  <c:v>43818</c:v>
                </c:pt>
                <c:pt idx="73" c:formatCode="yyyy/m/d;@">
                  <c:v>43825</c:v>
                </c:pt>
                <c:pt idx="74" c:formatCode="yyyy/m/d;@">
                  <c:v>43832</c:v>
                </c:pt>
                <c:pt idx="75" c:formatCode="yyyy/m/d;@">
                  <c:v>43839</c:v>
                </c:pt>
                <c:pt idx="76" c:formatCode="yyyy/m/d;@">
                  <c:v>43846</c:v>
                </c:pt>
                <c:pt idx="77" c:formatCode="yyyy/m/d;@">
                  <c:v>43867</c:v>
                </c:pt>
                <c:pt idx="78" c:formatCode="yyyy/m/d;@">
                  <c:v>43874</c:v>
                </c:pt>
                <c:pt idx="79" c:formatCode="yyyy/m/d;@">
                  <c:v>43881</c:v>
                </c:pt>
                <c:pt idx="80" c:formatCode="yyyy/m/d;@">
                  <c:v>43888</c:v>
                </c:pt>
                <c:pt idx="81" c:formatCode="yyyy/m/d;@">
                  <c:v>43895</c:v>
                </c:pt>
                <c:pt idx="82" c:formatCode="yyyy/m/d;@">
                  <c:v>43902</c:v>
                </c:pt>
                <c:pt idx="83" c:formatCode="yyyy/m/d;@">
                  <c:v>43909</c:v>
                </c:pt>
                <c:pt idx="84" c:formatCode="yyyy/m/d;@">
                  <c:v>43916</c:v>
                </c:pt>
                <c:pt idx="85" c:formatCode="yyyy/m/d;@">
                  <c:v>43923</c:v>
                </c:pt>
                <c:pt idx="86" c:formatCode="yyyy/m/d;@">
                  <c:v>43930</c:v>
                </c:pt>
                <c:pt idx="87" c:formatCode="yyyy/m/d;@">
                  <c:v>43937</c:v>
                </c:pt>
                <c:pt idx="88" c:formatCode="yyyy/m/d;@">
                  <c:v>43944</c:v>
                </c:pt>
                <c:pt idx="89" c:formatCode="yyyy/m/d;@">
                  <c:v>43951</c:v>
                </c:pt>
                <c:pt idx="90" c:formatCode="yyyy/m/d;@">
                  <c:v>43958</c:v>
                </c:pt>
                <c:pt idx="91" c:formatCode="yyyy/m/d;@">
                  <c:v>43965</c:v>
                </c:pt>
                <c:pt idx="92" c:formatCode="yyyy/m/d;@">
                  <c:v>43972</c:v>
                </c:pt>
                <c:pt idx="93" c:formatCode="yyyy/m/d;@">
                  <c:v>43979</c:v>
                </c:pt>
                <c:pt idx="94" c:formatCode="yyyy/m/d;@">
                  <c:v>43986</c:v>
                </c:pt>
                <c:pt idx="95" c:formatCode="yyyy/m/d;@">
                  <c:v>43993</c:v>
                </c:pt>
                <c:pt idx="96" c:formatCode="yyyy/m/d;@">
                  <c:v>44000</c:v>
                </c:pt>
                <c:pt idx="97" c:formatCode="yyyy/m/d;@">
                  <c:v>44007</c:v>
                </c:pt>
                <c:pt idx="98" c:formatCode="yyyy/m/d;@">
                  <c:v>44014</c:v>
                </c:pt>
                <c:pt idx="99" c:formatCode="yyyy/m/d;@">
                  <c:v>44021</c:v>
                </c:pt>
                <c:pt idx="100" c:formatCode="yyyy/m/d;@">
                  <c:v>44028</c:v>
                </c:pt>
                <c:pt idx="101" c:formatCode="yyyy/m/d;@">
                  <c:v>44035</c:v>
                </c:pt>
                <c:pt idx="102" c:formatCode="yyyy/m/d;@">
                  <c:v>44042</c:v>
                </c:pt>
                <c:pt idx="103" c:formatCode="yyyy/m/d;@">
                  <c:v>44049</c:v>
                </c:pt>
                <c:pt idx="104" c:formatCode="yyyy/m/d;@">
                  <c:v>44056</c:v>
                </c:pt>
                <c:pt idx="105" c:formatCode="yyyy/m/d;@">
                  <c:v>44063</c:v>
                </c:pt>
                <c:pt idx="106" c:formatCode="yyyy/m/d;@">
                  <c:v>44070</c:v>
                </c:pt>
                <c:pt idx="107" c:formatCode="yyyy/m/d;@">
                  <c:v>44077</c:v>
                </c:pt>
                <c:pt idx="108" c:formatCode="yyyy/m/d;@">
                  <c:v>44084</c:v>
                </c:pt>
                <c:pt idx="109" c:formatCode="yyyy/m/d;@">
                  <c:v>44091</c:v>
                </c:pt>
                <c:pt idx="110" c:formatCode="yyyy/m/d;@">
                  <c:v>44098</c:v>
                </c:pt>
                <c:pt idx="111" c:formatCode="yyyy/m/d;@">
                  <c:v>44104</c:v>
                </c:pt>
                <c:pt idx="112" c:formatCode="yyyy/m/d;@">
                  <c:v>44112</c:v>
                </c:pt>
                <c:pt idx="113" c:formatCode="yyyy/m/d;@">
                  <c:v>44119</c:v>
                </c:pt>
                <c:pt idx="114" c:formatCode="yyyy/m/d;@">
                  <c:v>44126</c:v>
                </c:pt>
                <c:pt idx="115" c:formatCode="yyyy/m/d;@">
                  <c:v>44133</c:v>
                </c:pt>
                <c:pt idx="116" c:formatCode="yyyy/m/d;@">
                  <c:v>44140</c:v>
                </c:pt>
                <c:pt idx="117" c:formatCode="yyyy/m/d;@">
                  <c:v>44147</c:v>
                </c:pt>
                <c:pt idx="118" c:formatCode="yyyy/m/d;@">
                  <c:v>44154</c:v>
                </c:pt>
                <c:pt idx="119" c:formatCode="yyyy/m/d;@">
                  <c:v>44161</c:v>
                </c:pt>
                <c:pt idx="120" c:formatCode="yyyy/m/d;@">
                  <c:v>44168</c:v>
                </c:pt>
                <c:pt idx="121" c:formatCode="yyyy/m/d;@">
                  <c:v>44175</c:v>
                </c:pt>
                <c:pt idx="122" c:formatCode="yyyy/m/d;@">
                  <c:v>44182</c:v>
                </c:pt>
                <c:pt idx="123" c:formatCode="yyyy/m/d;@">
                  <c:v>44189</c:v>
                </c:pt>
                <c:pt idx="124" c:formatCode="yyyy/m/d;@">
                  <c:v>44196</c:v>
                </c:pt>
                <c:pt idx="125" c:formatCode="yyyy/m/d;@">
                  <c:v>44203</c:v>
                </c:pt>
                <c:pt idx="126" c:formatCode="yyyy/m/d;@">
                  <c:v>44210</c:v>
                </c:pt>
                <c:pt idx="127" c:formatCode="yyyy/m/d;@">
                  <c:v>44217</c:v>
                </c:pt>
                <c:pt idx="128" c:formatCode="yyyy/m/d;@">
                  <c:v>44224</c:v>
                </c:pt>
                <c:pt idx="129" c:formatCode="yyyy/m/d;@">
                  <c:v>44231</c:v>
                </c:pt>
                <c:pt idx="130" c:formatCode="yyyy/m/d;@">
                  <c:v>44245</c:v>
                </c:pt>
                <c:pt idx="131" c:formatCode="yyyy/m/d;@">
                  <c:v>44252</c:v>
                </c:pt>
                <c:pt idx="132" c:formatCode="yyyy/m/d;@">
                  <c:v>44259</c:v>
                </c:pt>
                <c:pt idx="133" c:formatCode="yyyy/m/d;@">
                  <c:v>44266</c:v>
                </c:pt>
                <c:pt idx="134" c:formatCode="yyyy/m/d;@">
                  <c:v>44273</c:v>
                </c:pt>
                <c:pt idx="135" c:formatCode="yyyy/m/d;@">
                  <c:v>44280</c:v>
                </c:pt>
                <c:pt idx="136" c:formatCode="yyyy/m/d;@">
                  <c:v>44287</c:v>
                </c:pt>
                <c:pt idx="137" c:formatCode="yyyy/m/d;@">
                  <c:v>44294</c:v>
                </c:pt>
                <c:pt idx="138" c:formatCode="yyyy/m/d;@">
                  <c:v>44301</c:v>
                </c:pt>
                <c:pt idx="139" c:formatCode="yyyy/m/d;@">
                  <c:v>44308</c:v>
                </c:pt>
                <c:pt idx="140" c:formatCode="yyyy/m/d;@">
                  <c:v>44315</c:v>
                </c:pt>
                <c:pt idx="141" c:formatCode="yyyy/m/d;@">
                  <c:v>44322</c:v>
                </c:pt>
                <c:pt idx="142" c:formatCode="yyyy/m/d;@">
                  <c:v>44329</c:v>
                </c:pt>
                <c:pt idx="143" c:formatCode="yyyy/m/d;@">
                  <c:v>44336</c:v>
                </c:pt>
                <c:pt idx="144" c:formatCode="yyyy/m/d;@">
                  <c:v>44343</c:v>
                </c:pt>
                <c:pt idx="145" c:formatCode="yyyy/m/d;@">
                  <c:v>44350</c:v>
                </c:pt>
                <c:pt idx="146" c:formatCode="yyyy/m/d;@">
                  <c:v>44357</c:v>
                </c:pt>
                <c:pt idx="147" c:formatCode="yyyy/m/d;@">
                  <c:v>44364</c:v>
                </c:pt>
                <c:pt idx="148" c:formatCode="yyyy/m/d;@">
                  <c:v>44371</c:v>
                </c:pt>
                <c:pt idx="149" c:formatCode="yyyy/m/d;@">
                  <c:v>44378</c:v>
                </c:pt>
                <c:pt idx="150" c:formatCode="yyyy/m/d;@">
                  <c:v>44385</c:v>
                </c:pt>
                <c:pt idx="151" c:formatCode="yyyy/m/d;@">
                  <c:v>44392</c:v>
                </c:pt>
                <c:pt idx="152" c:formatCode="yyyy/m/d;@">
                  <c:v>44399</c:v>
                </c:pt>
                <c:pt idx="153" c:formatCode="yyyy/m/d;@">
                  <c:v>44406</c:v>
                </c:pt>
                <c:pt idx="154" c:formatCode="yyyy/m/d;@">
                  <c:v>44413</c:v>
                </c:pt>
                <c:pt idx="155" c:formatCode="yyyy/m/d;@">
                  <c:v>44420</c:v>
                </c:pt>
                <c:pt idx="156" c:formatCode="yyyy/m/d;@">
                  <c:v>44427</c:v>
                </c:pt>
                <c:pt idx="157" c:formatCode="yyyy/m/d;@">
                  <c:v>44434</c:v>
                </c:pt>
                <c:pt idx="158" c:formatCode="yyyy/m/d;@">
                  <c:v>44441</c:v>
                </c:pt>
                <c:pt idx="159" c:formatCode="yyyy/m/d;@">
                  <c:v>44448</c:v>
                </c:pt>
                <c:pt idx="160" c:formatCode="yyyy/m/d;@">
                  <c:v>44455</c:v>
                </c:pt>
                <c:pt idx="161" c:formatCode="yyyy/m/d;@">
                  <c:v>44462</c:v>
                </c:pt>
                <c:pt idx="162" c:formatCode="yyyy/m/d;@">
                  <c:v>44469</c:v>
                </c:pt>
                <c:pt idx="163" c:formatCode="yyyy/m/d;@">
                  <c:v>44477</c:v>
                </c:pt>
                <c:pt idx="164" c:formatCode="yyyy/m/d;@">
                  <c:v>44483</c:v>
                </c:pt>
                <c:pt idx="165" c:formatCode="yyyy/m/d;@">
                  <c:v>44490</c:v>
                </c:pt>
                <c:pt idx="166" c:formatCode="yyyy/m/d;@">
                  <c:v>44497</c:v>
                </c:pt>
                <c:pt idx="167" c:formatCode="yyyy/m/d;@">
                  <c:v>44504</c:v>
                </c:pt>
                <c:pt idx="168" c:formatCode="yyyy/m/d;@">
                  <c:v>44511</c:v>
                </c:pt>
                <c:pt idx="169" c:formatCode="yyyy/m/d;@">
                  <c:v>44518</c:v>
                </c:pt>
                <c:pt idx="170" c:formatCode="yyyy/m/d;@">
                  <c:v>44525</c:v>
                </c:pt>
                <c:pt idx="171" c:formatCode="yyyy/m/d;@">
                  <c:v>44532</c:v>
                </c:pt>
                <c:pt idx="172" c:formatCode="yyyy/m/d;@">
                  <c:v>44539</c:v>
                </c:pt>
                <c:pt idx="173" c:formatCode="yyyy/m/d;@">
                  <c:v>44546</c:v>
                </c:pt>
                <c:pt idx="174" c:formatCode="yyyy/m/d;@">
                  <c:v>44553</c:v>
                </c:pt>
                <c:pt idx="175" c:formatCode="yyyy/m/d;@">
                  <c:v>44560</c:v>
                </c:pt>
                <c:pt idx="176" c:formatCode="yyyy/m/d;@">
                  <c:v>44567</c:v>
                </c:pt>
                <c:pt idx="177" c:formatCode="yyyy/m/d;@">
                  <c:v>44574</c:v>
                </c:pt>
                <c:pt idx="178" c:formatCode="yyyy/m/d;@">
                  <c:v>44581</c:v>
                </c:pt>
                <c:pt idx="179" c:formatCode="yyyy/m/d;@">
                  <c:v>44587</c:v>
                </c:pt>
                <c:pt idx="180" c:formatCode="yyyy/m/d;@">
                  <c:v>44602</c:v>
                </c:pt>
                <c:pt idx="181" c:formatCode="yyyy/m/d;@">
                  <c:v>44609</c:v>
                </c:pt>
                <c:pt idx="182" c:formatCode="yyyy/m/d;@">
                  <c:v>44616</c:v>
                </c:pt>
                <c:pt idx="183" c:formatCode="yyyy/m/d;@">
                  <c:v>44623</c:v>
                </c:pt>
                <c:pt idx="184" c:formatCode="yyyy/m/d;@">
                  <c:v>44630</c:v>
                </c:pt>
                <c:pt idx="185" c:formatCode="yyyy/m/d;@">
                  <c:v>44637</c:v>
                </c:pt>
                <c:pt idx="186" c:formatCode="yyyy/m/d;@">
                  <c:v>44644</c:v>
                </c:pt>
                <c:pt idx="187" c:formatCode="yyyy/m/d;@">
                  <c:v>44651</c:v>
                </c:pt>
                <c:pt idx="188" c:formatCode="yyyy/m/d;@">
                  <c:v>44658</c:v>
                </c:pt>
                <c:pt idx="189" c:formatCode="yyyy/m/d;@">
                  <c:v>44665</c:v>
                </c:pt>
                <c:pt idx="190" c:formatCode="yyyy/m/d;@">
                  <c:v>44672</c:v>
                </c:pt>
                <c:pt idx="191" c:formatCode="yyyy/m/d;@">
                  <c:v>44679</c:v>
                </c:pt>
                <c:pt idx="192" c:formatCode="yyyy/m/d;@">
                  <c:v>44686</c:v>
                </c:pt>
                <c:pt idx="193" c:formatCode="yyyy/m/d;@">
                  <c:v>44693</c:v>
                </c:pt>
                <c:pt idx="194" c:formatCode="yyyy/m/d;@">
                  <c:v>44700</c:v>
                </c:pt>
                <c:pt idx="195" c:formatCode="yyyy/m/d;@">
                  <c:v>44707</c:v>
                </c:pt>
                <c:pt idx="196" c:formatCode="yyyy/m/d;@">
                  <c:v>44714</c:v>
                </c:pt>
                <c:pt idx="197" c:formatCode="yyyy/m/d;@">
                  <c:v>44721</c:v>
                </c:pt>
                <c:pt idx="198" c:formatCode="yyyy/m/d;@">
                  <c:v>44728</c:v>
                </c:pt>
                <c:pt idx="199" c:formatCode="yyyy/m/d;@">
                  <c:v>44735</c:v>
                </c:pt>
                <c:pt idx="200" c:formatCode="yyyy/m/d;@">
                  <c:v>44742</c:v>
                </c:pt>
                <c:pt idx="201" c:formatCode="yyyy/m/d;@">
                  <c:v>44749</c:v>
                </c:pt>
                <c:pt idx="202" c:formatCode="yyyy/m/d;@">
                  <c:v>44756</c:v>
                </c:pt>
                <c:pt idx="203" c:formatCode="yyyy/m/d;@">
                  <c:v>44763</c:v>
                </c:pt>
                <c:pt idx="204" c:formatCode="yyyy/m/d;@">
                  <c:v>44770</c:v>
                </c:pt>
                <c:pt idx="205" c:formatCode="yyyy/m/d;@">
                  <c:v>44777</c:v>
                </c:pt>
                <c:pt idx="206" c:formatCode="yyyy/m/d;@">
                  <c:v>44784</c:v>
                </c:pt>
                <c:pt idx="207" c:formatCode="yyyy/m/d;@">
                  <c:v>44791</c:v>
                </c:pt>
                <c:pt idx="208" c:formatCode="yyyy/m/d;@">
                  <c:v>44798</c:v>
                </c:pt>
                <c:pt idx="209" c:formatCode="yyyy/m/d;@">
                  <c:v>44805</c:v>
                </c:pt>
                <c:pt idx="210" c:formatCode="yyyy/m/d;@">
                  <c:v>44812</c:v>
                </c:pt>
                <c:pt idx="211" c:formatCode="yyyy/m/d;@">
                  <c:v>44819</c:v>
                </c:pt>
                <c:pt idx="212" c:formatCode="yyyy/m/d;@">
                  <c:v>44826</c:v>
                </c:pt>
                <c:pt idx="213" c:formatCode="yyyy/m/d;@">
                  <c:v>44833</c:v>
                </c:pt>
                <c:pt idx="214" c:formatCode="yyyy/m/d;@">
                  <c:v>44842</c:v>
                </c:pt>
                <c:pt idx="215" c:formatCode="yyyy/m/d;@">
                  <c:v>44847</c:v>
                </c:pt>
                <c:pt idx="216" c:formatCode="yyyy/m/d;@">
                  <c:v>44854</c:v>
                </c:pt>
                <c:pt idx="217" c:formatCode="yyyy/m/d;@">
                  <c:v>44861</c:v>
                </c:pt>
                <c:pt idx="218" c:formatCode="yyyy/m/d;@">
                  <c:v>44868</c:v>
                </c:pt>
                <c:pt idx="219" c:formatCode="yyyy/m/d;@">
                  <c:v>44875</c:v>
                </c:pt>
                <c:pt idx="220" c:formatCode="yyyy/m/d;@">
                  <c:v>44882</c:v>
                </c:pt>
                <c:pt idx="221" c:formatCode="yyyy/m/d;@">
                  <c:v>44889</c:v>
                </c:pt>
                <c:pt idx="222" c:formatCode="yyyy/m/d;@">
                  <c:v>44896</c:v>
                </c:pt>
                <c:pt idx="223" c:formatCode="yyyy/m/d;@">
                  <c:v>44903</c:v>
                </c:pt>
                <c:pt idx="224" c:formatCode="yyyy/m/d;@">
                  <c:v>44910</c:v>
                </c:pt>
                <c:pt idx="225" c:formatCode="yyyy/m/d;@">
                  <c:v>44917</c:v>
                </c:pt>
                <c:pt idx="226" c:formatCode="yyyy/m/d;@">
                  <c:v>44924</c:v>
                </c:pt>
                <c:pt idx="227" c:formatCode="yyyy/m/d;@">
                  <c:v>44931</c:v>
                </c:pt>
                <c:pt idx="228" c:formatCode="yyyy/m/d;@">
                  <c:v>44938</c:v>
                </c:pt>
                <c:pt idx="229" c:formatCode="yyyy/m/d;@">
                  <c:v>44959</c:v>
                </c:pt>
                <c:pt idx="230" c:formatCode="yyyy/m/d;@">
                  <c:v>44966</c:v>
                </c:pt>
                <c:pt idx="231" c:formatCode="yyyy/m/d;@">
                  <c:v>44973</c:v>
                </c:pt>
                <c:pt idx="232" c:formatCode="yyyy/m/d;@">
                  <c:v>44980</c:v>
                </c:pt>
                <c:pt idx="233" c:formatCode="yyyy/m/d;@">
                  <c:v>44987</c:v>
                </c:pt>
                <c:pt idx="234" c:formatCode="yyyy/m/d;@">
                  <c:v>44994</c:v>
                </c:pt>
                <c:pt idx="235" c:formatCode="yyyy/m/d;@">
                  <c:v>45001</c:v>
                </c:pt>
                <c:pt idx="236" c:formatCode="yyyy/m/d;@">
                  <c:v>45008</c:v>
                </c:pt>
                <c:pt idx="237" c:formatCode="yyyy/m/d;@">
                  <c:v>45015</c:v>
                </c:pt>
                <c:pt idx="238" c:formatCode="yyyy/m/d;@">
                  <c:v>45022</c:v>
                </c:pt>
                <c:pt idx="239" c:formatCode="yyyy/m/d;@">
                  <c:v>45029</c:v>
                </c:pt>
                <c:pt idx="240" c:formatCode="yyyy/m/d;@">
                  <c:v>45036</c:v>
                </c:pt>
                <c:pt idx="241" c:formatCode="yyyy/m/d;@">
                  <c:v>45043</c:v>
                </c:pt>
                <c:pt idx="242" c:formatCode="yyyy/m/d;@">
                  <c:v>45050</c:v>
                </c:pt>
                <c:pt idx="243" c:formatCode="yyyy/m/d;@">
                  <c:v>45057</c:v>
                </c:pt>
                <c:pt idx="244" c:formatCode="yyyy/m/d;@">
                  <c:v>45064</c:v>
                </c:pt>
                <c:pt idx="245" c:formatCode="yyyy/m/d;@">
                  <c:v>45071</c:v>
                </c:pt>
                <c:pt idx="246" c:formatCode="yyyy/m/d;@">
                  <c:v>45078</c:v>
                </c:pt>
                <c:pt idx="247" c:formatCode="yyyy/m/d;@">
                  <c:v>45085</c:v>
                </c:pt>
                <c:pt idx="248" c:formatCode="yyyy/m/d;@">
                  <c:v>45092</c:v>
                </c:pt>
                <c:pt idx="249" c:formatCode="yyyy/m/d;@">
                  <c:v>45098</c:v>
                </c:pt>
                <c:pt idx="250" c:formatCode="yyyy/m/d;@">
                  <c:v>45106</c:v>
                </c:pt>
                <c:pt idx="251" c:formatCode="yyyy/m/d;@">
                  <c:v>45113</c:v>
                </c:pt>
                <c:pt idx="252" c:formatCode="yyyy/m/d;@">
                  <c:v>45120</c:v>
                </c:pt>
                <c:pt idx="253" c:formatCode="yyyy/m/d;@">
                  <c:v>45127</c:v>
                </c:pt>
                <c:pt idx="254" c:formatCode="yyyy/m/d;@">
                  <c:v>45134</c:v>
                </c:pt>
                <c:pt idx="255" c:formatCode="yyyy/m/d;@">
                  <c:v>45141</c:v>
                </c:pt>
                <c:pt idx="256" c:formatCode="yyyy/m/d;@">
                  <c:v>45148</c:v>
                </c:pt>
                <c:pt idx="257" c:formatCode="yyyy/m/d;@">
                  <c:v>45155</c:v>
                </c:pt>
                <c:pt idx="258" c:formatCode="yyyy/m/d;@">
                  <c:v>45162</c:v>
                </c:pt>
                <c:pt idx="259" c:formatCode="yyyy/m/d;@">
                  <c:v>45169</c:v>
                </c:pt>
                <c:pt idx="260" c:formatCode="yyyy/m/d;@">
                  <c:v>45176</c:v>
                </c:pt>
                <c:pt idx="261" c:formatCode="yyyy/m/d;@">
                  <c:v>45183</c:v>
                </c:pt>
                <c:pt idx="262" c:formatCode="yyyy/m/d;@">
                  <c:v>45190</c:v>
                </c:pt>
                <c:pt idx="263" c:formatCode="yyyy/m/d;@">
                  <c:v>45197</c:v>
                </c:pt>
                <c:pt idx="264" c:formatCode="yyyy/m/d;@">
                  <c:v>45205</c:v>
                </c:pt>
                <c:pt idx="265" c:formatCode="yyyy/m/d;@">
                  <c:v>45211</c:v>
                </c:pt>
                <c:pt idx="266" c:formatCode="yyyy/m/d;@">
                  <c:v>45218</c:v>
                </c:pt>
                <c:pt idx="267" c:formatCode="yyyy/m/d;@">
                  <c:v>45225</c:v>
                </c:pt>
                <c:pt idx="268" c:formatCode="yyyy/m/d;@">
                  <c:v>45232</c:v>
                </c:pt>
                <c:pt idx="269" c:formatCode="yyyy/m/d;@">
                  <c:v>45239</c:v>
                </c:pt>
                <c:pt idx="270" c:formatCode="yyyy/m/d;@">
                  <c:v>45246</c:v>
                </c:pt>
                <c:pt idx="271" c:formatCode="yyyy/m/d;@">
                  <c:v>45253</c:v>
                </c:pt>
                <c:pt idx="272" c:formatCode="yyyy/m/d;@">
                  <c:v>45260</c:v>
                </c:pt>
                <c:pt idx="273" c:formatCode="yyyy/m/d;@">
                  <c:v>45267</c:v>
                </c:pt>
                <c:pt idx="274" c:formatCode="yyyy/m/d;@">
                  <c:v>45274</c:v>
                </c:pt>
                <c:pt idx="275" c:formatCode="yyyy/m/d;@">
                  <c:v>45281</c:v>
                </c:pt>
                <c:pt idx="276" c:formatCode="yyyy/m/d;@">
                  <c:v>45288</c:v>
                </c:pt>
                <c:pt idx="277" c:formatCode="yyyy/m/d;@">
                  <c:v>45295</c:v>
                </c:pt>
                <c:pt idx="278" c:formatCode="yyyy/m/d;@">
                  <c:v>45302</c:v>
                </c:pt>
                <c:pt idx="279" c:formatCode="yyyy/m/d;@">
                  <c:v>45309</c:v>
                </c:pt>
                <c:pt idx="280" c:formatCode="yyyy/m/d;@">
                  <c:v>45316</c:v>
                </c:pt>
                <c:pt idx="281" c:formatCode="yyyy/m/d;@">
                  <c:v>45323</c:v>
                </c:pt>
                <c:pt idx="282" c:formatCode="yyyy/m/d;@">
                  <c:v>45344</c:v>
                </c:pt>
                <c:pt idx="283" c:formatCode="yyyy/m/d;@">
                  <c:v>45351</c:v>
                </c:pt>
                <c:pt idx="284" c:formatCode="yyyy/m/d;@">
                  <c:v>45358</c:v>
                </c:pt>
                <c:pt idx="285" c:formatCode="yyyy/m/d;@">
                  <c:v>45365</c:v>
                </c:pt>
                <c:pt idx="286" c:formatCode="yyyy/m/d;@">
                  <c:v>45372</c:v>
                </c:pt>
                <c:pt idx="287" c:formatCode="yyyy/m/d;@">
                  <c:v>45379</c:v>
                </c:pt>
                <c:pt idx="288" c:formatCode="yyyy/m/d;@">
                  <c:v>45385</c:v>
                </c:pt>
                <c:pt idx="289" c:formatCode="yyyy/m/d;@">
                  <c:v>45393</c:v>
                </c:pt>
                <c:pt idx="290" c:formatCode="yyyy/m/d;@">
                  <c:v>45400</c:v>
                </c:pt>
                <c:pt idx="291" c:formatCode="yyyy/m/d;@">
                  <c:v>45407</c:v>
                </c:pt>
                <c:pt idx="292" c:formatCode="yyyy/m/d;@">
                  <c:v>45414</c:v>
                </c:pt>
                <c:pt idx="293" c:formatCode="yyyy/m/d;@">
                  <c:v>45421</c:v>
                </c:pt>
                <c:pt idx="294" c:formatCode="yyyy/m/d;@">
                  <c:v>45428</c:v>
                </c:pt>
                <c:pt idx="295" c:formatCode="yyyy/m/d;@">
                  <c:v>45435</c:v>
                </c:pt>
                <c:pt idx="296" c:formatCode="yyyy/m/d;@">
                  <c:v>45442</c:v>
                </c:pt>
                <c:pt idx="297" c:formatCode="yyyy/m/d;@">
                  <c:v>45449</c:v>
                </c:pt>
                <c:pt idx="298" c:formatCode="yyyy/m/d;@">
                  <c:v>45456</c:v>
                </c:pt>
                <c:pt idx="299" c:formatCode="yyyy/m/d;@">
                  <c:v>45463</c:v>
                </c:pt>
                <c:pt idx="300" c:formatCode="yyyy/m/d;@">
                  <c:v>45470</c:v>
                </c:pt>
                <c:pt idx="301" c:formatCode="yyyy/m/d;@">
                  <c:v>45477</c:v>
                </c:pt>
                <c:pt idx="302" c:formatCode="yyyy/m/d;@">
                  <c:v>45484</c:v>
                </c:pt>
                <c:pt idx="303" c:formatCode="yyyy/m/d;@">
                  <c:v>45491</c:v>
                </c:pt>
                <c:pt idx="304" c:formatCode="yyyy/m/d;@">
                  <c:v>45498</c:v>
                </c:pt>
                <c:pt idx="305" c:formatCode="yyyy/m/d;@">
                  <c:v>45505</c:v>
                </c:pt>
                <c:pt idx="306" c:formatCode="yyyy/m/d;@">
                  <c:v>45512</c:v>
                </c:pt>
                <c:pt idx="307" c:formatCode="yyyy/m/d;@">
                  <c:v>45519</c:v>
                </c:pt>
                <c:pt idx="308" c:formatCode="yyyy/m/d;@">
                  <c:v>45526</c:v>
                </c:pt>
                <c:pt idx="309" c:formatCode="yyyy/m/d;@">
                  <c:v>45533</c:v>
                </c:pt>
                <c:pt idx="310" c:formatCode="yyyy/m/d;@">
                  <c:v>45540</c:v>
                </c:pt>
                <c:pt idx="311" c:formatCode="yyyy/m/d;@">
                  <c:v>45547</c:v>
                </c:pt>
                <c:pt idx="312" c:formatCode="yyyy/m/d;@">
                  <c:v>45554</c:v>
                </c:pt>
                <c:pt idx="313" c:formatCode="yyyy/m/d;@">
                  <c:v>45561</c:v>
                </c:pt>
                <c:pt idx="314" c:formatCode="yyyy/m/d;@">
                  <c:v>45575</c:v>
                </c:pt>
                <c:pt idx="315" c:formatCode="yyyy/m/d;@">
                  <c:v>45582</c:v>
                </c:pt>
                <c:pt idx="316" c:formatCode="yyyy/m/d;@">
                  <c:v>45589</c:v>
                </c:pt>
                <c:pt idx="317" c:formatCode="yyyy/m/d;@">
                  <c:v>45596</c:v>
                </c:pt>
                <c:pt idx="318" c:formatCode="yyyy/m/d;@">
                  <c:v>45603</c:v>
                </c:pt>
                <c:pt idx="319" c:formatCode="yyyy/m/d;@">
                  <c:v>45610</c:v>
                </c:pt>
                <c:pt idx="320" c:formatCode="yyyy/m/d;@">
                  <c:v>45617</c:v>
                </c:pt>
                <c:pt idx="321" c:formatCode="yyyy/m/d;@">
                  <c:v>45624</c:v>
                </c:pt>
                <c:pt idx="322" c:formatCode="yyyy/m/d;@">
                  <c:v>45631</c:v>
                </c:pt>
                <c:pt idx="323" c:formatCode="yyyy/m/d;@">
                  <c:v>45638</c:v>
                </c:pt>
                <c:pt idx="324" c:formatCode="yyyy/m/d;@">
                  <c:v>45645</c:v>
                </c:pt>
                <c:pt idx="325" c:formatCode="yyyy/m/d;@">
                  <c:v>45652</c:v>
                </c:pt>
                <c:pt idx="326" c:formatCode="yyyy/m/d;@">
                  <c:v>45659</c:v>
                </c:pt>
                <c:pt idx="327" c:formatCode="yyyy/m/d;@">
                  <c:v>45666</c:v>
                </c:pt>
                <c:pt idx="328" c:formatCode="yyyy/m/d;@">
                  <c:v>45673</c:v>
                </c:pt>
                <c:pt idx="329" c:formatCode="yyyy/m/d;@">
                  <c:v>45680</c:v>
                </c:pt>
                <c:pt idx="330" c:formatCode="yyyy/m/d;@">
                  <c:v>45694</c:v>
                </c:pt>
                <c:pt idx="331" c:formatCode="yyyy/m/d;@">
                  <c:v>45701</c:v>
                </c:pt>
                <c:pt idx="332" c:formatCode="yyyy/m/d;@">
                  <c:v>45708</c:v>
                </c:pt>
                <c:pt idx="333" c:formatCode="yyyy/m/d;@">
                  <c:v>45715</c:v>
                </c:pt>
                <c:pt idx="334" c:formatCode="yyyy/m/d;@">
                  <c:v>45722</c:v>
                </c:pt>
                <c:pt idx="335" c:formatCode="yyyy/m/d;@">
                  <c:v>45729</c:v>
                </c:pt>
                <c:pt idx="336" c:formatCode="yyyy/m/d;@">
                  <c:v>45736</c:v>
                </c:pt>
                <c:pt idx="337" c:formatCode="yyyy/m/d;@">
                  <c:v>45743</c:v>
                </c:pt>
                <c:pt idx="338" c:formatCode="yyyy/m/d;@">
                  <c:v>45750</c:v>
                </c:pt>
                <c:pt idx="339" c:formatCode="yyyy/m/d;@">
                  <c:v>45757</c:v>
                </c:pt>
                <c:pt idx="340" c:formatCode="yyyy/m/d;@">
                  <c:v>45764</c:v>
                </c:pt>
                <c:pt idx="341" c:formatCode="yyyy/m/d;@">
                  <c:v>45771</c:v>
                </c:pt>
                <c:pt idx="342" c:formatCode="yyyy/m/d;@">
                  <c:v>45777</c:v>
                </c:pt>
                <c:pt idx="343" c:formatCode="yyyy/m/d;@">
                  <c:v>45785</c:v>
                </c:pt>
                <c:pt idx="344" c:formatCode="yyyy/m/d;@">
                  <c:v>45792</c:v>
                </c:pt>
                <c:pt idx="345" c:formatCode="yyyy/m/d;@">
                  <c:v>45799</c:v>
                </c:pt>
                <c:pt idx="346" c:formatCode="yyyy/m/d;@">
                  <c:v>45806</c:v>
                </c:pt>
                <c:pt idx="347" c:formatCode="yyyy/m/d;@">
                  <c:v>45813</c:v>
                </c:pt>
                <c:pt idx="348" c:formatCode="yyyy/m/d;@">
                  <c:v>45820</c:v>
                </c:pt>
                <c:pt idx="349" c:formatCode="yyyy/m/d;@">
                  <c:v>45827</c:v>
                </c:pt>
                <c:pt idx="350" c:formatCode="yyyy/m/d;@">
                  <c:v>45834</c:v>
                </c:pt>
                <c:pt idx="351" c:formatCode="yyyy/m/d;@">
                  <c:v>45841</c:v>
                </c:pt>
                <c:pt idx="352" c:formatCode="yyyy/m/d;@">
                  <c:v>45848</c:v>
                </c:pt>
                <c:pt idx="353" c:formatCode="yyyy/m/d;@">
                  <c:v>45855</c:v>
                </c:pt>
                <c:pt idx="354" c:formatCode="yyyy/m/d;@">
                  <c:v>45862</c:v>
                </c:pt>
                <c:pt idx="355" c:formatCode="yyyy/m/d;@">
                  <c:v>45869</c:v>
                </c:pt>
                <c:pt idx="356" c:formatCode="yyyy/m/d;@">
                  <c:v>45876</c:v>
                </c:pt>
                <c:pt idx="357" c:formatCode="yyyy/m/d;@">
                  <c:v>45883</c:v>
                </c:pt>
                <c:pt idx="358" c:formatCode="yyyy/m/d;@">
                  <c:v>45890</c:v>
                </c:pt>
                <c:pt idx="359" c:formatCode="yyyy/m/d;@">
                  <c:v>45897</c:v>
                </c:pt>
                <c:pt idx="360" c:formatCode="yyyy/m/d;@">
                  <c:v>45904</c:v>
                </c:pt>
                <c:pt idx="361" c:formatCode="yyyy/m/d;@">
                  <c:v>45911</c:v>
                </c:pt>
                <c:pt idx="362" c:formatCode="yyyy/m/d;@">
                  <c:v>45918</c:v>
                </c:pt>
                <c:pt idx="363" c:formatCode="yyyy/m/d;@">
                  <c:v>45925</c:v>
                </c:pt>
                <c:pt idx="364" c:formatCode="yyyy/m/d;@">
                  <c:v>45939</c:v>
                </c:pt>
                <c:pt idx="365" c:formatCode="yyyy/m/d;@">
                  <c:v>45946</c:v>
                </c:pt>
                <c:pt idx="366" c:formatCode="yyyy/m/d;@">
                  <c:v>45953</c:v>
                </c:pt>
                <c:pt idx="367" c:formatCode="yyyy/m/d;@">
                  <c:v>45960</c:v>
                </c:pt>
                <c:pt idx="368" c:formatCode="yyyy/m/d;@">
                  <c:v>45967</c:v>
                </c:pt>
                <c:pt idx="369" c:formatCode="yyyy/m/d;@">
                  <c:v>45974</c:v>
                </c:pt>
                <c:pt idx="370" c:formatCode="yyyy/m/d;@">
                  <c:v>45981</c:v>
                </c:pt>
                <c:pt idx="371" c:formatCode="yyyy/m/d;@">
                  <c:v>45988</c:v>
                </c:pt>
                <c:pt idx="372" c:formatCode="yyyy/m/d;@">
                  <c:v>45995</c:v>
                </c:pt>
                <c:pt idx="373" c:formatCode="yyyy/m/d;@">
                  <c:v>46002</c:v>
                </c:pt>
                <c:pt idx="374" c:formatCode="yyyy/m/d;@">
                  <c:v>46009</c:v>
                </c:pt>
                <c:pt idx="375" c:formatCode="yyyy/m/d;@">
                  <c:v>46016</c:v>
                </c:pt>
                <c:pt idx="376" c:formatCode="yyyy/m/d;@">
                  <c:v>46023</c:v>
                </c:pt>
                <c:pt idx="377" c:formatCode="yyyy/m/d;@">
                  <c:v>46030</c:v>
                </c:pt>
                <c:pt idx="378" c:formatCode="yyyy/m/d;@">
                  <c:v>46037</c:v>
                </c:pt>
                <c:pt idx="379" c:formatCode="yyyy/m/d;@">
                  <c:v>46044</c:v>
                </c:pt>
                <c:pt idx="380" c:formatCode="yyyy/m/d;@">
                  <c:v>46051</c:v>
                </c:pt>
                <c:pt idx="381" c:formatCode="yyyy/m/d;@">
                  <c:v>46058</c:v>
                </c:pt>
                <c:pt idx="382" c:formatCode="yyyy/m/d;@">
                  <c:v>46065</c:v>
                </c:pt>
                <c:pt idx="383" c:formatCode="yyyy/m/d;@">
                  <c:v>46079</c:v>
                </c:pt>
                <c:pt idx="384" c:formatCode="yyyy/m/d;@">
                  <c:v>46086</c:v>
                </c:pt>
                <c:pt idx="385" c:formatCode="yyyy/m/d;@">
                  <c:v>46093</c:v>
                </c:pt>
                <c:pt idx="386" c:formatCode="yyyy/m/d;@">
                  <c:v>46100</c:v>
                </c:pt>
                <c:pt idx="387" c:formatCode="yyyy/m/d;@">
                  <c:v>46107</c:v>
                </c:pt>
                <c:pt idx="388" c:formatCode="yyyy/m/d;@">
                  <c:v>46114</c:v>
                </c:pt>
                <c:pt idx="389" c:formatCode="yyyy/m/d;@">
                  <c:v>46121</c:v>
                </c:pt>
                <c:pt idx="390" c:formatCode="yyyy/m/d;@">
                  <c:v>46128</c:v>
                </c:pt>
                <c:pt idx="391" c:formatCode="yyyy/m/d;@">
                  <c:v>46135</c:v>
                </c:pt>
                <c:pt idx="392" c:formatCode="yyyy/m/d;@">
                  <c:v>46142</c:v>
                </c:pt>
                <c:pt idx="393" c:formatCode="yyyy/m/d;@">
                  <c:v>46149</c:v>
                </c:pt>
                <c:pt idx="394" c:formatCode="yyyy/m/d;@">
                  <c:v>46156</c:v>
                </c:pt>
                <c:pt idx="395" c:formatCode="yyyy/m/d;@">
                  <c:v>46163</c:v>
                </c:pt>
                <c:pt idx="396" c:formatCode="yyyy/m/d;@">
                  <c:v>46170</c:v>
                </c:pt>
                <c:pt idx="397" c:formatCode="yyyy/m/d;@">
                  <c:v>46177</c:v>
                </c:pt>
                <c:pt idx="398" c:formatCode="yyyy/m/d;@">
                  <c:v>46184</c:v>
                </c:pt>
                <c:pt idx="399" c:formatCode="yyyy/m/d;@">
                  <c:v>46191</c:v>
                </c:pt>
                <c:pt idx="400" c:formatCode="yyyy/m/d;@">
                  <c:v>46198</c:v>
                </c:pt>
                <c:pt idx="401" c:formatCode="yyyy/m/d;@">
                  <c:v>46205</c:v>
                </c:pt>
                <c:pt idx="402" c:formatCode="yyyy/m/d;@">
                  <c:v>46212</c:v>
                </c:pt>
                <c:pt idx="403" c:formatCode="yyyy/m/d;@">
                  <c:v>46219</c:v>
                </c:pt>
                <c:pt idx="404" c:formatCode="yyyy/m/d;@">
                  <c:v>46226</c:v>
                </c:pt>
                <c:pt idx="405" c:formatCode="yyyy/m/d;@">
                  <c:v>46233</c:v>
                </c:pt>
                <c:pt idx="406" c:formatCode="yyyy/m/d;@">
                  <c:v>46240</c:v>
                </c:pt>
                <c:pt idx="407" c:formatCode="yyyy/m/d;@">
                  <c:v>46247</c:v>
                </c:pt>
                <c:pt idx="408" c:formatCode="yyyy/m/d;@">
                  <c:v>46254</c:v>
                </c:pt>
                <c:pt idx="409" c:formatCode="yyyy/m/d;@">
                  <c:v>46261</c:v>
                </c:pt>
                <c:pt idx="410" c:formatCode="yyyy/m/d;@">
                  <c:v>46268</c:v>
                </c:pt>
                <c:pt idx="411" c:formatCode="yyyy/m/d;@">
                  <c:v>46275</c:v>
                </c:pt>
                <c:pt idx="412" c:formatCode="yyyy/m/d;@">
                  <c:v>46282</c:v>
                </c:pt>
                <c:pt idx="413" c:formatCode="yyyy/m/d;@">
                  <c:v>46289</c:v>
                </c:pt>
              </c:numCache>
            </c:numRef>
          </c:cat>
          <c:val>
            <c:numRef>
              <c:f>出栏价!$B$3:$B$1357</c:f>
              <c:numCache>
                <c:formatCode>0.00_);[Red]\(0.00\)</c:formatCode>
                <c:ptCount val="1355"/>
                <c:pt idx="0">
                  <c:v>13.23</c:v>
                </c:pt>
                <c:pt idx="1">
                  <c:v>13.53</c:v>
                </c:pt>
                <c:pt idx="2">
                  <c:v>14.01</c:v>
                </c:pt>
                <c:pt idx="3">
                  <c:v>14.22</c:v>
                </c:pt>
                <c:pt idx="4">
                  <c:v>13.81</c:v>
                </c:pt>
                <c:pt idx="5">
                  <c:v>13.63</c:v>
                </c:pt>
                <c:pt idx="6">
                  <c:v>14.07</c:v>
                </c:pt>
                <c:pt idx="7">
                  <c:v>14.37</c:v>
                </c:pt>
                <c:pt idx="8">
                  <c:v>14.11</c:v>
                </c:pt>
                <c:pt idx="9">
                  <c:v>13.98</c:v>
                </c:pt>
                <c:pt idx="10">
                  <c:v>13.75</c:v>
                </c:pt>
                <c:pt idx="11">
                  <c:v>13.99</c:v>
                </c:pt>
                <c:pt idx="12">
                  <c:v>13.78</c:v>
                </c:pt>
                <c:pt idx="13">
                  <c:v>13.38</c:v>
                </c:pt>
                <c:pt idx="14">
                  <c:v>13.43</c:v>
                </c:pt>
                <c:pt idx="15">
                  <c:v>13.3</c:v>
                </c:pt>
                <c:pt idx="16">
                  <c:v>13.03</c:v>
                </c:pt>
                <c:pt idx="17">
                  <c:v>12.72</c:v>
                </c:pt>
                <c:pt idx="18">
                  <c:v>12.76</c:v>
                </c:pt>
                <c:pt idx="19">
                  <c:v>13.12</c:v>
                </c:pt>
                <c:pt idx="20">
                  <c:v>13.02</c:v>
                </c:pt>
                <c:pt idx="21">
                  <c:v>12.97</c:v>
                </c:pt>
                <c:pt idx="22">
                  <c:v>12.43</c:v>
                </c:pt>
                <c:pt idx="23">
                  <c:v>12.53</c:v>
                </c:pt>
                <c:pt idx="24">
                  <c:v>12.3</c:v>
                </c:pt>
                <c:pt idx="25">
                  <c:v>11.67</c:v>
                </c:pt>
                <c:pt idx="26">
                  <c:v>10.7</c:v>
                </c:pt>
                <c:pt idx="27">
                  <c:v>10.86</c:v>
                </c:pt>
                <c:pt idx="28">
                  <c:v>11.84</c:v>
                </c:pt>
                <c:pt idx="29">
                  <c:v>12.44</c:v>
                </c:pt>
                <c:pt idx="30">
                  <c:v>12.23</c:v>
                </c:pt>
                <c:pt idx="31">
                  <c:v>12.04</c:v>
                </c:pt>
                <c:pt idx="32">
                  <c:v>14.7</c:v>
                </c:pt>
                <c:pt idx="33">
                  <c:v>14.82</c:v>
                </c:pt>
                <c:pt idx="34">
                  <c:v>15.64</c:v>
                </c:pt>
                <c:pt idx="35">
                  <c:v>14.93</c:v>
                </c:pt>
                <c:pt idx="36">
                  <c:v>14.94</c:v>
                </c:pt>
                <c:pt idx="37">
                  <c:v>15.03</c:v>
                </c:pt>
                <c:pt idx="38">
                  <c:v>14.75</c:v>
                </c:pt>
                <c:pt idx="39">
                  <c:v>14.77</c:v>
                </c:pt>
                <c:pt idx="40">
                  <c:v>15.25</c:v>
                </c:pt>
                <c:pt idx="41">
                  <c:v>14.96</c:v>
                </c:pt>
                <c:pt idx="42">
                  <c:v>14.87</c:v>
                </c:pt>
                <c:pt idx="43">
                  <c:v>14.82</c:v>
                </c:pt>
                <c:pt idx="44">
                  <c:v>14.91</c:v>
                </c:pt>
                <c:pt idx="45">
                  <c:v>15.65</c:v>
                </c:pt>
                <c:pt idx="46">
                  <c:v>15.86</c:v>
                </c:pt>
                <c:pt idx="47">
                  <c:v>16.54</c:v>
                </c:pt>
                <c:pt idx="48">
                  <c:v>17.28</c:v>
                </c:pt>
                <c:pt idx="49">
                  <c:v>17.01</c:v>
                </c:pt>
                <c:pt idx="50">
                  <c:v>17.82</c:v>
                </c:pt>
                <c:pt idx="51">
                  <c:v>18.72</c:v>
                </c:pt>
                <c:pt idx="52">
                  <c:v>18.82</c:v>
                </c:pt>
                <c:pt idx="53">
                  <c:v>19.08</c:v>
                </c:pt>
                <c:pt idx="54">
                  <c:v>20.71</c:v>
                </c:pt>
                <c:pt idx="55">
                  <c:v>22.98</c:v>
                </c:pt>
                <c:pt idx="56">
                  <c:v>24.66</c:v>
                </c:pt>
                <c:pt idx="57">
                  <c:v>26.36</c:v>
                </c:pt>
                <c:pt idx="58">
                  <c:v>27.4650980392157</c:v>
                </c:pt>
                <c:pt idx="59">
                  <c:v>28.2015490196078</c:v>
                </c:pt>
                <c:pt idx="60">
                  <c:v>28.47</c:v>
                </c:pt>
                <c:pt idx="61">
                  <c:v>28.73</c:v>
                </c:pt>
                <c:pt idx="62">
                  <c:v>33.03</c:v>
                </c:pt>
                <c:pt idx="63">
                  <c:v>35.66</c:v>
                </c:pt>
                <c:pt idx="64">
                  <c:v>39.8</c:v>
                </c:pt>
                <c:pt idx="65">
                  <c:v>41.18</c:v>
                </c:pt>
                <c:pt idx="66">
                  <c:v>40.17</c:v>
                </c:pt>
                <c:pt idx="67">
                  <c:v>36.77</c:v>
                </c:pt>
                <c:pt idx="68">
                  <c:v>33.03</c:v>
                </c:pt>
                <c:pt idx="69">
                  <c:v>32.47</c:v>
                </c:pt>
                <c:pt idx="70">
                  <c:v>34</c:v>
                </c:pt>
                <c:pt idx="71">
                  <c:v>34.23</c:v>
                </c:pt>
                <c:pt idx="72">
                  <c:v>33.34</c:v>
                </c:pt>
                <c:pt idx="73">
                  <c:v>33.61</c:v>
                </c:pt>
                <c:pt idx="74">
                  <c:v>34.12</c:v>
                </c:pt>
                <c:pt idx="75">
                  <c:v>36.13</c:v>
                </c:pt>
                <c:pt idx="76">
                  <c:v>36.42</c:v>
                </c:pt>
                <c:pt idx="77">
                  <c:v>37.36</c:v>
                </c:pt>
                <c:pt idx="78">
                  <c:v>38.71</c:v>
                </c:pt>
                <c:pt idx="79">
                  <c:v>38.74</c:v>
                </c:pt>
                <c:pt idx="80">
                  <c:v>37.28</c:v>
                </c:pt>
                <c:pt idx="81">
                  <c:v>36.77</c:v>
                </c:pt>
                <c:pt idx="82">
                  <c:v>36.8</c:v>
                </c:pt>
                <c:pt idx="83">
                  <c:v>36.41</c:v>
                </c:pt>
                <c:pt idx="84">
                  <c:v>35.14</c:v>
                </c:pt>
                <c:pt idx="85">
                  <c:v>34.25</c:v>
                </c:pt>
                <c:pt idx="86">
                  <c:v>33.63</c:v>
                </c:pt>
                <c:pt idx="87">
                  <c:v>33.55</c:v>
                </c:pt>
                <c:pt idx="88">
                  <c:v>33.11</c:v>
                </c:pt>
                <c:pt idx="89">
                  <c:v>32.18</c:v>
                </c:pt>
                <c:pt idx="90">
                  <c:v>31.22</c:v>
                </c:pt>
                <c:pt idx="91">
                  <c:v>29</c:v>
                </c:pt>
                <c:pt idx="92">
                  <c:v>27.25</c:v>
                </c:pt>
                <c:pt idx="93">
                  <c:v>29.37</c:v>
                </c:pt>
                <c:pt idx="94">
                  <c:v>30.55</c:v>
                </c:pt>
                <c:pt idx="95">
                  <c:v>31.93</c:v>
                </c:pt>
                <c:pt idx="96">
                  <c:v>33.43</c:v>
                </c:pt>
                <c:pt idx="97">
                  <c:v>34.63</c:v>
                </c:pt>
                <c:pt idx="98">
                  <c:v>36.05</c:v>
                </c:pt>
                <c:pt idx="99">
                  <c:v>37.77</c:v>
                </c:pt>
                <c:pt idx="100">
                  <c:v>38.18</c:v>
                </c:pt>
                <c:pt idx="101">
                  <c:v>37.45</c:v>
                </c:pt>
                <c:pt idx="102">
                  <c:v>37.22</c:v>
                </c:pt>
                <c:pt idx="103">
                  <c:v>37.71</c:v>
                </c:pt>
                <c:pt idx="104">
                  <c:v>37.24</c:v>
                </c:pt>
                <c:pt idx="105">
                  <c:v>36.86</c:v>
                </c:pt>
                <c:pt idx="106">
                  <c:v>37.2</c:v>
                </c:pt>
                <c:pt idx="107">
                  <c:v>36.61</c:v>
                </c:pt>
                <c:pt idx="108">
                  <c:v>36.26</c:v>
                </c:pt>
                <c:pt idx="109">
                  <c:v>35.21</c:v>
                </c:pt>
                <c:pt idx="110">
                  <c:v>33.88</c:v>
                </c:pt>
                <c:pt idx="111">
                  <c:v>32.838</c:v>
                </c:pt>
                <c:pt idx="112">
                  <c:v>31.58</c:v>
                </c:pt>
                <c:pt idx="113">
                  <c:v>30.33</c:v>
                </c:pt>
                <c:pt idx="114">
                  <c:v>29.46</c:v>
                </c:pt>
                <c:pt idx="115">
                  <c:v>28.59</c:v>
                </c:pt>
                <c:pt idx="116">
                  <c:v>29.36</c:v>
                </c:pt>
                <c:pt idx="117">
                  <c:v>29.26</c:v>
                </c:pt>
                <c:pt idx="118">
                  <c:v>29.16</c:v>
                </c:pt>
                <c:pt idx="119">
                  <c:v>29.53</c:v>
                </c:pt>
                <c:pt idx="120">
                  <c:v>32.03</c:v>
                </c:pt>
                <c:pt idx="121">
                  <c:v>33.21</c:v>
                </c:pt>
                <c:pt idx="122">
                  <c:v>33.43</c:v>
                </c:pt>
                <c:pt idx="123">
                  <c:v>33.94</c:v>
                </c:pt>
                <c:pt idx="124">
                  <c:v>35.25</c:v>
                </c:pt>
                <c:pt idx="125">
                  <c:v>36.73</c:v>
                </c:pt>
                <c:pt idx="126">
                  <c:v>35.96</c:v>
                </c:pt>
                <c:pt idx="127">
                  <c:v>35.87</c:v>
                </c:pt>
                <c:pt idx="128">
                  <c:v>34.07</c:v>
                </c:pt>
                <c:pt idx="129">
                  <c:v>32.25</c:v>
                </c:pt>
                <c:pt idx="130">
                  <c:v>29.88</c:v>
                </c:pt>
                <c:pt idx="131">
                  <c:v>27.79</c:v>
                </c:pt>
                <c:pt idx="132">
                  <c:v>28.95</c:v>
                </c:pt>
                <c:pt idx="133">
                  <c:v>28.38</c:v>
                </c:pt>
                <c:pt idx="134">
                  <c:v>27.73</c:v>
                </c:pt>
                <c:pt idx="135">
                  <c:v>26.55</c:v>
                </c:pt>
                <c:pt idx="136">
                  <c:v>25.1</c:v>
                </c:pt>
                <c:pt idx="137">
                  <c:v>22.95</c:v>
                </c:pt>
                <c:pt idx="138">
                  <c:v>22.45</c:v>
                </c:pt>
                <c:pt idx="139">
                  <c:v>23.41</c:v>
                </c:pt>
                <c:pt idx="140">
                  <c:v>22.74</c:v>
                </c:pt>
                <c:pt idx="141">
                  <c:v>21.22</c:v>
                </c:pt>
                <c:pt idx="142">
                  <c:v>19.29</c:v>
                </c:pt>
                <c:pt idx="143">
                  <c:v>18.33</c:v>
                </c:pt>
                <c:pt idx="144">
                  <c:v>17.92</c:v>
                </c:pt>
                <c:pt idx="145">
                  <c:v>16.89</c:v>
                </c:pt>
                <c:pt idx="146">
                  <c:v>15.36</c:v>
                </c:pt>
                <c:pt idx="147">
                  <c:v>14.33</c:v>
                </c:pt>
                <c:pt idx="148">
                  <c:v>12.83</c:v>
                </c:pt>
                <c:pt idx="149">
                  <c:v>16</c:v>
                </c:pt>
                <c:pt idx="150">
                  <c:v>16.12</c:v>
                </c:pt>
                <c:pt idx="151">
                  <c:v>15.99</c:v>
                </c:pt>
                <c:pt idx="152">
                  <c:v>15.73</c:v>
                </c:pt>
                <c:pt idx="153">
                  <c:v>15.32</c:v>
                </c:pt>
                <c:pt idx="154">
                  <c:v>15.53</c:v>
                </c:pt>
                <c:pt idx="155">
                  <c:v>15.27</c:v>
                </c:pt>
                <c:pt idx="156">
                  <c:v>14.79</c:v>
                </c:pt>
                <c:pt idx="157">
                  <c:v>14.28</c:v>
                </c:pt>
                <c:pt idx="158">
                  <c:v>13.87</c:v>
                </c:pt>
                <c:pt idx="159">
                  <c:v>13.55</c:v>
                </c:pt>
                <c:pt idx="160">
                  <c:v>12.46</c:v>
                </c:pt>
                <c:pt idx="161">
                  <c:v>12.1</c:v>
                </c:pt>
                <c:pt idx="162">
                  <c:v>10.97</c:v>
                </c:pt>
                <c:pt idx="163">
                  <c:v>10.28</c:v>
                </c:pt>
                <c:pt idx="164">
                  <c:v>11.46</c:v>
                </c:pt>
                <c:pt idx="165">
                  <c:v>13.44</c:v>
                </c:pt>
                <c:pt idx="166">
                  <c:v>15.82</c:v>
                </c:pt>
                <c:pt idx="167">
                  <c:v>16.08</c:v>
                </c:pt>
                <c:pt idx="168">
                  <c:v>17.01</c:v>
                </c:pt>
                <c:pt idx="169">
                  <c:v>17.63</c:v>
                </c:pt>
                <c:pt idx="170">
                  <c:v>17.94</c:v>
                </c:pt>
                <c:pt idx="171">
                  <c:v>17.93</c:v>
                </c:pt>
                <c:pt idx="172">
                  <c:v>17.49</c:v>
                </c:pt>
                <c:pt idx="173">
                  <c:v>16.18</c:v>
                </c:pt>
                <c:pt idx="174">
                  <c:v>15.98</c:v>
                </c:pt>
                <c:pt idx="175">
                  <c:v>16.15</c:v>
                </c:pt>
                <c:pt idx="176">
                  <c:v>15.71</c:v>
                </c:pt>
                <c:pt idx="177">
                  <c:v>14.34</c:v>
                </c:pt>
                <c:pt idx="178">
                  <c:v>14.02</c:v>
                </c:pt>
                <c:pt idx="179">
                  <c:v>14.07</c:v>
                </c:pt>
                <c:pt idx="180">
                  <c:v>13.34</c:v>
                </c:pt>
                <c:pt idx="181">
                  <c:v>12.25</c:v>
                </c:pt>
                <c:pt idx="182">
                  <c:v>12.44</c:v>
                </c:pt>
                <c:pt idx="183">
                  <c:v>12.48</c:v>
                </c:pt>
                <c:pt idx="184">
                  <c:v>12.12</c:v>
                </c:pt>
                <c:pt idx="185">
                  <c:v>11.86</c:v>
                </c:pt>
                <c:pt idx="186">
                  <c:v>11.83</c:v>
                </c:pt>
                <c:pt idx="187">
                  <c:v>12.18</c:v>
                </c:pt>
                <c:pt idx="188">
                  <c:v>12.47</c:v>
                </c:pt>
                <c:pt idx="189">
                  <c:v>12.25</c:v>
                </c:pt>
                <c:pt idx="190">
                  <c:v>13.49</c:v>
                </c:pt>
                <c:pt idx="191">
                  <c:v>14.55</c:v>
                </c:pt>
                <c:pt idx="192">
                  <c:v>14.96</c:v>
                </c:pt>
                <c:pt idx="193">
                  <c:v>15.09</c:v>
                </c:pt>
                <c:pt idx="194">
                  <c:v>15.54</c:v>
                </c:pt>
                <c:pt idx="195">
                  <c:v>15.78</c:v>
                </c:pt>
                <c:pt idx="196">
                  <c:v>15.79</c:v>
                </c:pt>
                <c:pt idx="197">
                  <c:v>15.81</c:v>
                </c:pt>
                <c:pt idx="198">
                  <c:v>16.22</c:v>
                </c:pt>
                <c:pt idx="199">
                  <c:v>17.04</c:v>
                </c:pt>
                <c:pt idx="200">
                  <c:v>19.2</c:v>
                </c:pt>
                <c:pt idx="201">
                  <c:v>22.41</c:v>
                </c:pt>
                <c:pt idx="202">
                  <c:v>22.88</c:v>
                </c:pt>
                <c:pt idx="203">
                  <c:v>22.52</c:v>
                </c:pt>
                <c:pt idx="204">
                  <c:v>21.26</c:v>
                </c:pt>
                <c:pt idx="205">
                  <c:v>21.46</c:v>
                </c:pt>
                <c:pt idx="206">
                  <c:v>21.28</c:v>
                </c:pt>
                <c:pt idx="207">
                  <c:v>21.18</c:v>
                </c:pt>
                <c:pt idx="208">
                  <c:v>21.79</c:v>
                </c:pt>
                <c:pt idx="209">
                  <c:v>23.05</c:v>
                </c:pt>
                <c:pt idx="210">
                  <c:v>23.42</c:v>
                </c:pt>
                <c:pt idx="211">
                  <c:v>23.31</c:v>
                </c:pt>
                <c:pt idx="212">
                  <c:v>23.76</c:v>
                </c:pt>
                <c:pt idx="213">
                  <c:v>24.12</c:v>
                </c:pt>
                <c:pt idx="214">
                  <c:v>25.69</c:v>
                </c:pt>
                <c:pt idx="215">
                  <c:v>26.75</c:v>
                </c:pt>
                <c:pt idx="216">
                  <c:v>28.02</c:v>
                </c:pt>
                <c:pt idx="217">
                  <c:v>27.52</c:v>
                </c:pt>
                <c:pt idx="218">
                  <c:v>26.05</c:v>
                </c:pt>
                <c:pt idx="219">
                  <c:v>25.18</c:v>
                </c:pt>
                <c:pt idx="220">
                  <c:v>24.36</c:v>
                </c:pt>
                <c:pt idx="221">
                  <c:v>23.36</c:v>
                </c:pt>
                <c:pt idx="222">
                  <c:v>21.91</c:v>
                </c:pt>
                <c:pt idx="223">
                  <c:v>22.33</c:v>
                </c:pt>
                <c:pt idx="224">
                  <c:v>19.35</c:v>
                </c:pt>
                <c:pt idx="225">
                  <c:v>16.73</c:v>
                </c:pt>
                <c:pt idx="226">
                  <c:v>17.14</c:v>
                </c:pt>
                <c:pt idx="227">
                  <c:v>15.47</c:v>
                </c:pt>
                <c:pt idx="228">
                  <c:v>14.76</c:v>
                </c:pt>
                <c:pt idx="229">
                  <c:v>14.28</c:v>
                </c:pt>
                <c:pt idx="230">
                  <c:v>14.07</c:v>
                </c:pt>
                <c:pt idx="231">
                  <c:v>14.59</c:v>
                </c:pt>
                <c:pt idx="232">
                  <c:v>15.49</c:v>
                </c:pt>
                <c:pt idx="233">
                  <c:v>15.83</c:v>
                </c:pt>
                <c:pt idx="234">
                  <c:v>15.7</c:v>
                </c:pt>
                <c:pt idx="235">
                  <c:v>15.14</c:v>
                </c:pt>
                <c:pt idx="236">
                  <c:v>15.12</c:v>
                </c:pt>
                <c:pt idx="237">
                  <c:v>14.88</c:v>
                </c:pt>
                <c:pt idx="238">
                  <c:v>14.55</c:v>
                </c:pt>
                <c:pt idx="239">
                  <c:v>14.28</c:v>
                </c:pt>
                <c:pt idx="240">
                  <c:v>14.05</c:v>
                </c:pt>
                <c:pt idx="241">
                  <c:v>14.74</c:v>
                </c:pt>
                <c:pt idx="242">
                  <c:v>14.62</c:v>
                </c:pt>
                <c:pt idx="243">
                  <c:v>14.34</c:v>
                </c:pt>
                <c:pt idx="244">
                  <c:v>14.21</c:v>
                </c:pt>
                <c:pt idx="245">
                  <c:v>14.18</c:v>
                </c:pt>
                <c:pt idx="246">
                  <c:v>14.44</c:v>
                </c:pt>
                <c:pt idx="247">
                  <c:v>14.33</c:v>
                </c:pt>
                <c:pt idx="248">
                  <c:v>14.27</c:v>
                </c:pt>
                <c:pt idx="249">
                  <c:v>14.37</c:v>
                </c:pt>
                <c:pt idx="250">
                  <c:v>13.92</c:v>
                </c:pt>
                <c:pt idx="251">
                  <c:v>13.94</c:v>
                </c:pt>
                <c:pt idx="252">
                  <c:v>14</c:v>
                </c:pt>
                <c:pt idx="253">
                  <c:v>13.98</c:v>
                </c:pt>
                <c:pt idx="254">
                  <c:v>14.68</c:v>
                </c:pt>
                <c:pt idx="255">
                  <c:v>16.48</c:v>
                </c:pt>
                <c:pt idx="256">
                  <c:v>17.37</c:v>
                </c:pt>
                <c:pt idx="257">
                  <c:v>17.1</c:v>
                </c:pt>
                <c:pt idx="258">
                  <c:v>17.03</c:v>
                </c:pt>
                <c:pt idx="259">
                  <c:v>17.12</c:v>
                </c:pt>
                <c:pt idx="260">
                  <c:v>16.76</c:v>
                </c:pt>
                <c:pt idx="261">
                  <c:v>16.49</c:v>
                </c:pt>
                <c:pt idx="262">
                  <c:v>16.37</c:v>
                </c:pt>
                <c:pt idx="263">
                  <c:v>16.07</c:v>
                </c:pt>
                <c:pt idx="264">
                  <c:v>15.86</c:v>
                </c:pt>
                <c:pt idx="265">
                  <c:v>15.45</c:v>
                </c:pt>
                <c:pt idx="266">
                  <c:v>15.46</c:v>
                </c:pt>
                <c:pt idx="267">
                  <c:v>15.11</c:v>
                </c:pt>
                <c:pt idx="268">
                  <c:v>14.5</c:v>
                </c:pt>
                <c:pt idx="269">
                  <c:v>14.74</c:v>
                </c:pt>
                <c:pt idx="270">
                  <c:v>14.37</c:v>
                </c:pt>
                <c:pt idx="271">
                  <c:v>14.83</c:v>
                </c:pt>
                <c:pt idx="272">
                  <c:v>14.38</c:v>
                </c:pt>
                <c:pt idx="273">
                  <c:v>14.17</c:v>
                </c:pt>
                <c:pt idx="274">
                  <c:v>14.12</c:v>
                </c:pt>
                <c:pt idx="275">
                  <c:v>14.67</c:v>
                </c:pt>
                <c:pt idx="276">
                  <c:v>14.44</c:v>
                </c:pt>
                <c:pt idx="277">
                  <c:v>14.23</c:v>
                </c:pt>
                <c:pt idx="278">
                  <c:v>13.81</c:v>
                </c:pt>
                <c:pt idx="279">
                  <c:v>13.69</c:v>
                </c:pt>
                <c:pt idx="280">
                  <c:v>14.27</c:v>
                </c:pt>
                <c:pt idx="281">
                  <c:v>15.6</c:v>
                </c:pt>
                <c:pt idx="282">
                  <c:v>14.22</c:v>
                </c:pt>
                <c:pt idx="283">
                  <c:v>13.77</c:v>
                </c:pt>
                <c:pt idx="284">
                  <c:v>14.19</c:v>
                </c:pt>
                <c:pt idx="285">
                  <c:v>14.46</c:v>
                </c:pt>
                <c:pt idx="286">
                  <c:v>14.77</c:v>
                </c:pt>
                <c:pt idx="287">
                  <c:v>15.13</c:v>
                </c:pt>
                <c:pt idx="288">
                  <c:v>15.19</c:v>
                </c:pt>
                <c:pt idx="289">
                  <c:v>15.18</c:v>
                </c:pt>
                <c:pt idx="290">
                  <c:v>15.11</c:v>
                </c:pt>
                <c:pt idx="291">
                  <c:v>15.05</c:v>
                </c:pt>
                <c:pt idx="292">
                  <c:v>14.89</c:v>
                </c:pt>
                <c:pt idx="293">
                  <c:v>14.96</c:v>
                </c:pt>
                <c:pt idx="294">
                  <c:v>15.19</c:v>
                </c:pt>
                <c:pt idx="295">
                  <c:v>15.88</c:v>
                </c:pt>
                <c:pt idx="296">
                  <c:v>17.11</c:v>
                </c:pt>
                <c:pt idx="297">
                  <c:v>18.16</c:v>
                </c:pt>
                <c:pt idx="298">
                  <c:v>18.83</c:v>
                </c:pt>
                <c:pt idx="299">
                  <c:v>18.56</c:v>
                </c:pt>
                <c:pt idx="300">
                  <c:v>17.68</c:v>
                </c:pt>
                <c:pt idx="301">
                  <c:v>18.05</c:v>
                </c:pt>
                <c:pt idx="302">
                  <c:v>18.62</c:v>
                </c:pt>
                <c:pt idx="303">
                  <c:v>19.02</c:v>
                </c:pt>
                <c:pt idx="304">
                  <c:v>19.24</c:v>
                </c:pt>
                <c:pt idx="305">
                  <c:v>19.46</c:v>
                </c:pt>
                <c:pt idx="306">
                  <c:v>20.33</c:v>
                </c:pt>
                <c:pt idx="307">
                  <c:v>21.07</c:v>
                </c:pt>
                <c:pt idx="308">
                  <c:v>20.58</c:v>
                </c:pt>
                <c:pt idx="309">
                  <c:v>19.72</c:v>
                </c:pt>
                <c:pt idx="310">
                  <c:v>19.79</c:v>
                </c:pt>
                <c:pt idx="311">
                  <c:v>19.68</c:v>
                </c:pt>
                <c:pt idx="312">
                  <c:v>19.01</c:v>
                </c:pt>
                <c:pt idx="313">
                  <c:v>18.2</c:v>
                </c:pt>
                <c:pt idx="314">
                  <c:v>17.64</c:v>
                </c:pt>
                <c:pt idx="315">
                  <c:v>17.99</c:v>
                </c:pt>
                <c:pt idx="316">
                  <c:v>17.41</c:v>
                </c:pt>
                <c:pt idx="317">
                  <c:v>17.35</c:v>
                </c:pt>
                <c:pt idx="318">
                  <c:v>17.13</c:v>
                </c:pt>
                <c:pt idx="319">
                  <c:v>16.63</c:v>
                </c:pt>
                <c:pt idx="320">
                  <c:v>16.15</c:v>
                </c:pt>
                <c:pt idx="321">
                  <c:v>16.49</c:v>
                </c:pt>
                <c:pt idx="322">
                  <c:v>16.17</c:v>
                </c:pt>
                <c:pt idx="323">
                  <c:v>15.69</c:v>
                </c:pt>
                <c:pt idx="324">
                  <c:v>15.76</c:v>
                </c:pt>
                <c:pt idx="325">
                  <c:v>15.42</c:v>
                </c:pt>
                <c:pt idx="326">
                  <c:v>15.8</c:v>
                </c:pt>
                <c:pt idx="327">
                  <c:v>16.14</c:v>
                </c:pt>
                <c:pt idx="328">
                  <c:v>15.73</c:v>
                </c:pt>
                <c:pt idx="329">
                  <c:v>15.4</c:v>
                </c:pt>
                <c:pt idx="330">
                  <c:v>15.62</c:v>
                </c:pt>
                <c:pt idx="331">
                  <c:v>14.61</c:v>
                </c:pt>
                <c:pt idx="332">
                  <c:v>14.81</c:v>
                </c:pt>
                <c:pt idx="333">
                  <c:v>14.7</c:v>
                </c:pt>
                <c:pt idx="334">
                  <c:v>14.56</c:v>
                </c:pt>
                <c:pt idx="335">
                  <c:v>14.57</c:v>
                </c:pt>
                <c:pt idx="336">
                  <c:v>14.65</c:v>
                </c:pt>
                <c:pt idx="337">
                  <c:v>14.66</c:v>
                </c:pt>
                <c:pt idx="338">
                  <c:v>14.6</c:v>
                </c:pt>
                <c:pt idx="339">
                  <c:v>14.6</c:v>
                </c:pt>
                <c:pt idx="340">
                  <c:v>14.83</c:v>
                </c:pt>
                <c:pt idx="341">
                  <c:v>14.96</c:v>
                </c:pt>
                <c:pt idx="342">
                  <c:v>14.79</c:v>
                </c:pt>
                <c:pt idx="343">
                  <c:v>14.81</c:v>
                </c:pt>
                <c:pt idx="344">
                  <c:v>14.77</c:v>
                </c:pt>
                <c:pt idx="345">
                  <c:v>14.51</c:v>
                </c:pt>
                <c:pt idx="346">
                  <c:v>14.41</c:v>
                </c:pt>
                <c:pt idx="347">
                  <c:v>14.38</c:v>
                </c:pt>
                <c:pt idx="348">
                  <c:v>14</c:v>
                </c:pt>
                <c:pt idx="349">
                  <c:v>14.17</c:v>
                </c:pt>
                <c:pt idx="350">
                  <c:v>14.4</c:v>
                </c:pt>
                <c:pt idx="351">
                  <c:v>15</c:v>
                </c:pt>
                <c:pt idx="352">
                  <c:v>15.02</c:v>
                </c:pt>
                <c:pt idx="353">
                  <c:v>14.6</c:v>
                </c:pt>
                <c:pt idx="354">
                  <c:v>14.31</c:v>
                </c:pt>
                <c:pt idx="355">
                  <c:v>14.08</c:v>
                </c:pt>
                <c:pt idx="356">
                  <c:v>14.02</c:v>
                </c:pt>
                <c:pt idx="357">
                  <c:v>13.74</c:v>
                </c:pt>
                <c:pt idx="358">
                  <c:v>13.71</c:v>
                </c:pt>
                <c:pt idx="359">
                  <c:v>13.7</c:v>
                </c:pt>
                <c:pt idx="360">
                  <c:v>13.87</c:v>
                </c:pt>
                <c:pt idx="361">
                  <c:v>13.52</c:v>
                </c:pt>
                <c:pt idx="362">
                  <c:v>13.15</c:v>
                </c:pt>
                <c:pt idx="363">
                  <c:v>12.67</c:v>
                </c:pt>
                <c:pt idx="364">
                  <c:v>11.89</c:v>
                </c:pt>
                <c:pt idx="365">
                  <c:v>11.02</c:v>
                </c:pt>
                <c:pt idx="366">
                  <c:v>11.41</c:v>
                </c:pt>
                <c:pt idx="367">
                  <c:v>12.22</c:v>
                </c:pt>
                <c:pt idx="368">
                  <c:v>12.16</c:v>
                </c:pt>
                <c:pt idx="369">
                  <c:v>11.85</c:v>
                </c:pt>
                <c:pt idx="370">
                  <c:v>11.6</c:v>
                </c:pt>
                <c:pt idx="371">
                  <c:v>11.48</c:v>
                </c:pt>
                <c:pt idx="372">
                  <c:v>11.3</c:v>
                </c:pt>
                <c:pt idx="373">
                  <c:v>11.27</c:v>
                </c:pt>
                <c:pt idx="374">
                  <c:v>11.53</c:v>
                </c:pt>
                <c:pt idx="375">
                  <c:v>11.5</c:v>
                </c:pt>
                <c:pt idx="376">
                  <c:v>12.3</c:v>
                </c:pt>
                <c:pt idx="377">
                  <c:v>12.49</c:v>
                </c:pt>
                <c:pt idx="378">
                  <c:v>12.69</c:v>
                </c:pt>
                <c:pt idx="379">
                  <c:v>13.06</c:v>
                </c:pt>
                <c:pt idx="380">
                  <c:v>12.84</c:v>
                </c:pt>
                <c:pt idx="381">
                  <c:v>12.3</c:v>
                </c:pt>
                <c:pt idx="382">
                  <c:v>11.76</c:v>
                </c:pt>
                <c:pt idx="383">
                  <c:v>10.93</c:v>
                </c:pt>
                <c:pt idx="384">
                  <c:v>10.56</c:v>
                </c:pt>
                <c:pt idx="385">
                  <c:v>10.18</c:v>
                </c:pt>
                <c:pt idx="386">
                  <c:v>10.06</c:v>
                </c:pt>
                <c:pt idx="387">
                  <c:v>9.68</c:v>
                </c:pt>
                <c:pt idx="388">
                  <c:v>9.38</c:v>
                </c:pt>
                <c:pt idx="389">
                  <c:v>8.99</c:v>
                </c:pt>
                <c:pt idx="390">
                  <c:v>8.78</c:v>
                </c:pt>
                <c:pt idx="391">
                  <c:v>9.69</c:v>
                </c:pt>
                <c:pt idx="392">
                  <c:v>9.94</c:v>
                </c:pt>
                <c:pt idx="393">
                  <c:v>9.81</c:v>
                </c:pt>
                <c:pt idx="394">
                  <c:v>9.64</c:v>
                </c:pt>
                <c:pt idx="395">
                  <c:v>9.56</c:v>
                </c:pt>
                <c:pt idx="396">
                  <c:v>9.65</c:v>
                </c:pt>
                <c:pt idx="397">
                  <c:v>9.6</c:v>
                </c:pt>
                <c:pt idx="398">
                  <c:v>9.53</c:v>
                </c:pt>
                <c:pt idx="399">
                  <c:v>9.57</c:v>
                </c:pt>
                <c:pt idx="400">
                  <c:v>9.57</c:v>
                </c:pt>
                <c:pt idx="401">
                  <c:v>10</c:v>
                </c:pt>
                <c:pt idx="402">
                  <c:v>11.18</c:v>
                </c:pt>
                <c:pt idx="403">
                  <c:v>11.26</c:v>
                </c:pt>
                <c:pt idx="404">
                  <c:v>10.88</c:v>
                </c:pt>
                <c:pt idx="405">
                  <c:v>10.43</c:v>
                </c:pt>
                <c:pt idx="406">
                  <c:v>10.4</c:v>
                </c:pt>
                <c:pt idx="407">
                  <c:v>10.72</c:v>
                </c:pt>
                <c:pt idx="408">
                  <c:v>11.09</c:v>
                </c:pt>
                <c:pt idx="409">
                  <c:v>11.03</c:v>
                </c:pt>
                <c:pt idx="410">
                  <c:v>10.96</c:v>
                </c:pt>
                <c:pt idx="411">
                  <c:v>10.97</c:v>
                </c:pt>
                <c:pt idx="412">
                  <c:v>10.8</c:v>
                </c:pt>
                <c:pt idx="413">
                  <c:v>10.63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625744313"/>
        <c:axId val="100248590"/>
      </c:lineChart>
      <c:dateAx>
        <c:axId val="625744313"/>
        <c:scaling>
          <c:orientation val="minMax"/>
          <c:max val="46289"/>
          <c:min val="44098"/>
        </c:scaling>
        <c:delete val="0"/>
        <c:axPos val="b"/>
        <c:numFmt formatCode="yyyy/m/d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2700000" spcFirstLastPara="0" vertOverflow="ellipsis" vert="horz" wrap="square" anchor="t" anchorCtr="0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100248590"/>
        <c:crosses val="autoZero"/>
        <c:auto val="1"/>
        <c:lblOffset val="100"/>
        <c:baseTimeUnit val="days"/>
        <c:majorUnit val="12"/>
        <c:majorTimeUnit val="months"/>
      </c:dateAx>
      <c:valAx>
        <c:axId val="100248590"/>
        <c:scaling>
          <c:orientation val="minMax"/>
          <c:max val="40"/>
          <c:min val="8"/>
        </c:scaling>
        <c:delete val="0"/>
        <c:axPos val="l"/>
        <c:numFmt formatCode="0.00_);[Red]\(0.00\)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625744313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uri="{0b15fc19-7d7d-44ad-8c2d-2c3a37ce22c3}">
        <chartProps xmlns="https://web.wps.cn/et/2018/main" chartId="{065fa875-5151-4d4a-b5f7-0fe436bcf929}"/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  <a:sym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r>
              <a:rPr lang="en-US" altLang="zh-CN"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2025-2026</a:t>
            </a:r>
            <a:r>
              <a:rPr altLang="en-US"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年全国猪价走势图</a:t>
            </a:r>
            <a:endParaRPr lang="en-US" altLang="zh-CN" b="1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36944444444444"/>
          <c:y val="0.177083333333333"/>
          <c:w val="0.87575"/>
          <c:h val="0.5528703703703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出栏价!$A$231:$A$1363</c:f>
              <c:numCache>
                <c:formatCode>yyyy/m/d;@</c:formatCode>
                <c:ptCount val="1133"/>
                <c:pt idx="0" c:formatCode="yyyy/m/d;@">
                  <c:v>44938</c:v>
                </c:pt>
                <c:pt idx="1" c:formatCode="yyyy/m/d;@">
                  <c:v>44959</c:v>
                </c:pt>
                <c:pt idx="2" c:formatCode="yyyy/m/d;@">
                  <c:v>44966</c:v>
                </c:pt>
                <c:pt idx="3" c:formatCode="yyyy/m/d;@">
                  <c:v>44973</c:v>
                </c:pt>
                <c:pt idx="4" c:formatCode="yyyy/m/d;@">
                  <c:v>44980</c:v>
                </c:pt>
                <c:pt idx="5" c:formatCode="yyyy/m/d;@">
                  <c:v>44987</c:v>
                </c:pt>
                <c:pt idx="6" c:formatCode="yyyy/m/d;@">
                  <c:v>44994</c:v>
                </c:pt>
                <c:pt idx="7" c:formatCode="yyyy/m/d;@">
                  <c:v>45001</c:v>
                </c:pt>
                <c:pt idx="8" c:formatCode="yyyy/m/d;@">
                  <c:v>45008</c:v>
                </c:pt>
                <c:pt idx="9" c:formatCode="yyyy/m/d;@">
                  <c:v>45015</c:v>
                </c:pt>
                <c:pt idx="10" c:formatCode="yyyy/m/d;@">
                  <c:v>45022</c:v>
                </c:pt>
                <c:pt idx="11" c:formatCode="yyyy/m/d;@">
                  <c:v>45029</c:v>
                </c:pt>
                <c:pt idx="12" c:formatCode="yyyy/m/d;@">
                  <c:v>45036</c:v>
                </c:pt>
                <c:pt idx="13" c:formatCode="yyyy/m/d;@">
                  <c:v>45043</c:v>
                </c:pt>
                <c:pt idx="14" c:formatCode="yyyy/m/d;@">
                  <c:v>45050</c:v>
                </c:pt>
                <c:pt idx="15" c:formatCode="yyyy/m/d;@">
                  <c:v>45057</c:v>
                </c:pt>
                <c:pt idx="16" c:formatCode="yyyy/m/d;@">
                  <c:v>45064</c:v>
                </c:pt>
                <c:pt idx="17" c:formatCode="yyyy/m/d;@">
                  <c:v>45071</c:v>
                </c:pt>
                <c:pt idx="18" c:formatCode="yyyy/m/d;@">
                  <c:v>45078</c:v>
                </c:pt>
                <c:pt idx="19" c:formatCode="yyyy/m/d;@">
                  <c:v>45085</c:v>
                </c:pt>
                <c:pt idx="20" c:formatCode="yyyy/m/d;@">
                  <c:v>45092</c:v>
                </c:pt>
                <c:pt idx="21" c:formatCode="yyyy/m/d;@">
                  <c:v>45098</c:v>
                </c:pt>
                <c:pt idx="22" c:formatCode="yyyy/m/d;@">
                  <c:v>45106</c:v>
                </c:pt>
                <c:pt idx="23" c:formatCode="yyyy/m/d;@">
                  <c:v>45113</c:v>
                </c:pt>
                <c:pt idx="24" c:formatCode="yyyy/m/d;@">
                  <c:v>45120</c:v>
                </c:pt>
                <c:pt idx="25" c:formatCode="yyyy/m/d;@">
                  <c:v>45127</c:v>
                </c:pt>
                <c:pt idx="26" c:formatCode="yyyy/m/d;@">
                  <c:v>45134</c:v>
                </c:pt>
                <c:pt idx="27" c:formatCode="yyyy/m/d;@">
                  <c:v>45141</c:v>
                </c:pt>
                <c:pt idx="28" c:formatCode="yyyy/m/d;@">
                  <c:v>45148</c:v>
                </c:pt>
                <c:pt idx="29" c:formatCode="yyyy/m/d;@">
                  <c:v>45155</c:v>
                </c:pt>
                <c:pt idx="30" c:formatCode="yyyy/m/d;@">
                  <c:v>45162</c:v>
                </c:pt>
                <c:pt idx="31" c:formatCode="yyyy/m/d;@">
                  <c:v>45169</c:v>
                </c:pt>
                <c:pt idx="32" c:formatCode="yyyy/m/d;@">
                  <c:v>45176</c:v>
                </c:pt>
                <c:pt idx="33" c:formatCode="yyyy/m/d;@">
                  <c:v>45183</c:v>
                </c:pt>
                <c:pt idx="34" c:formatCode="yyyy/m/d;@">
                  <c:v>45190</c:v>
                </c:pt>
                <c:pt idx="35" c:formatCode="yyyy/m/d;@">
                  <c:v>45197</c:v>
                </c:pt>
                <c:pt idx="36" c:formatCode="yyyy/m/d;@">
                  <c:v>45205</c:v>
                </c:pt>
                <c:pt idx="37" c:formatCode="yyyy/m/d;@">
                  <c:v>45211</c:v>
                </c:pt>
                <c:pt idx="38" c:formatCode="yyyy/m/d;@">
                  <c:v>45218</c:v>
                </c:pt>
                <c:pt idx="39" c:formatCode="yyyy/m/d;@">
                  <c:v>45225</c:v>
                </c:pt>
                <c:pt idx="40" c:formatCode="yyyy/m/d;@">
                  <c:v>45232</c:v>
                </c:pt>
                <c:pt idx="41" c:formatCode="yyyy/m/d;@">
                  <c:v>45239</c:v>
                </c:pt>
                <c:pt idx="42" c:formatCode="yyyy/m/d;@">
                  <c:v>45246</c:v>
                </c:pt>
                <c:pt idx="43" c:formatCode="yyyy/m/d;@">
                  <c:v>45253</c:v>
                </c:pt>
                <c:pt idx="44" c:formatCode="yyyy/m/d;@">
                  <c:v>45260</c:v>
                </c:pt>
                <c:pt idx="45" c:formatCode="yyyy/m/d;@">
                  <c:v>45267</c:v>
                </c:pt>
                <c:pt idx="46" c:formatCode="yyyy/m/d;@">
                  <c:v>45274</c:v>
                </c:pt>
                <c:pt idx="47" c:formatCode="yyyy/m/d;@">
                  <c:v>45281</c:v>
                </c:pt>
                <c:pt idx="48" c:formatCode="yyyy/m/d;@">
                  <c:v>45288</c:v>
                </c:pt>
                <c:pt idx="49" c:formatCode="yyyy/m/d;@">
                  <c:v>45295</c:v>
                </c:pt>
                <c:pt idx="50" c:formatCode="yyyy/m/d;@">
                  <c:v>45302</c:v>
                </c:pt>
                <c:pt idx="51" c:formatCode="yyyy/m/d;@">
                  <c:v>45309</c:v>
                </c:pt>
                <c:pt idx="52" c:formatCode="yyyy/m/d;@">
                  <c:v>45316</c:v>
                </c:pt>
                <c:pt idx="53" c:formatCode="yyyy/m/d;@">
                  <c:v>45323</c:v>
                </c:pt>
                <c:pt idx="54" c:formatCode="yyyy/m/d;@">
                  <c:v>45344</c:v>
                </c:pt>
                <c:pt idx="55" c:formatCode="yyyy/m/d;@">
                  <c:v>45351</c:v>
                </c:pt>
                <c:pt idx="56" c:formatCode="yyyy/m/d;@">
                  <c:v>45358</c:v>
                </c:pt>
                <c:pt idx="57" c:formatCode="yyyy/m/d;@">
                  <c:v>45365</c:v>
                </c:pt>
                <c:pt idx="58" c:formatCode="yyyy/m/d;@">
                  <c:v>45372</c:v>
                </c:pt>
                <c:pt idx="59" c:formatCode="yyyy/m/d;@">
                  <c:v>45379</c:v>
                </c:pt>
                <c:pt idx="60" c:formatCode="yyyy/m/d;@">
                  <c:v>45385</c:v>
                </c:pt>
                <c:pt idx="61" c:formatCode="yyyy/m/d;@">
                  <c:v>45393</c:v>
                </c:pt>
                <c:pt idx="62" c:formatCode="yyyy/m/d;@">
                  <c:v>45400</c:v>
                </c:pt>
                <c:pt idx="63" c:formatCode="yyyy/m/d;@">
                  <c:v>45407</c:v>
                </c:pt>
                <c:pt idx="64" c:formatCode="yyyy/m/d;@">
                  <c:v>45414</c:v>
                </c:pt>
                <c:pt idx="65" c:formatCode="yyyy/m/d;@">
                  <c:v>45421</c:v>
                </c:pt>
                <c:pt idx="66" c:formatCode="yyyy/m/d;@">
                  <c:v>45428</c:v>
                </c:pt>
                <c:pt idx="67" c:formatCode="yyyy/m/d;@">
                  <c:v>45435</c:v>
                </c:pt>
                <c:pt idx="68" c:formatCode="yyyy/m/d;@">
                  <c:v>45442</c:v>
                </c:pt>
                <c:pt idx="69" c:formatCode="yyyy/m/d;@">
                  <c:v>45449</c:v>
                </c:pt>
                <c:pt idx="70" c:formatCode="yyyy/m/d;@">
                  <c:v>45456</c:v>
                </c:pt>
                <c:pt idx="71" c:formatCode="yyyy/m/d;@">
                  <c:v>45463</c:v>
                </c:pt>
                <c:pt idx="72" c:formatCode="yyyy/m/d;@">
                  <c:v>45470</c:v>
                </c:pt>
                <c:pt idx="73" c:formatCode="yyyy/m/d;@">
                  <c:v>45477</c:v>
                </c:pt>
                <c:pt idx="74" c:formatCode="yyyy/m/d;@">
                  <c:v>45484</c:v>
                </c:pt>
                <c:pt idx="75" c:formatCode="yyyy/m/d;@">
                  <c:v>45491</c:v>
                </c:pt>
                <c:pt idx="76" c:formatCode="yyyy/m/d;@">
                  <c:v>45498</c:v>
                </c:pt>
                <c:pt idx="77" c:formatCode="yyyy/m/d;@">
                  <c:v>45505</c:v>
                </c:pt>
                <c:pt idx="78" c:formatCode="yyyy/m/d;@">
                  <c:v>45512</c:v>
                </c:pt>
                <c:pt idx="79" c:formatCode="yyyy/m/d;@">
                  <c:v>45519</c:v>
                </c:pt>
                <c:pt idx="80" c:formatCode="yyyy/m/d;@">
                  <c:v>45526</c:v>
                </c:pt>
                <c:pt idx="81" c:formatCode="yyyy/m/d;@">
                  <c:v>45533</c:v>
                </c:pt>
                <c:pt idx="82" c:formatCode="yyyy/m/d;@">
                  <c:v>45540</c:v>
                </c:pt>
                <c:pt idx="83" c:formatCode="yyyy/m/d;@">
                  <c:v>45547</c:v>
                </c:pt>
                <c:pt idx="84" c:formatCode="yyyy/m/d;@">
                  <c:v>45554</c:v>
                </c:pt>
                <c:pt idx="85" c:formatCode="yyyy/m/d;@">
                  <c:v>45561</c:v>
                </c:pt>
                <c:pt idx="86" c:formatCode="yyyy/m/d;@">
                  <c:v>45575</c:v>
                </c:pt>
                <c:pt idx="87" c:formatCode="yyyy/m/d;@">
                  <c:v>45582</c:v>
                </c:pt>
                <c:pt idx="88" c:formatCode="yyyy/m/d;@">
                  <c:v>45589</c:v>
                </c:pt>
                <c:pt idx="89" c:formatCode="yyyy/m/d;@">
                  <c:v>45596</c:v>
                </c:pt>
                <c:pt idx="90" c:formatCode="yyyy/m/d;@">
                  <c:v>45603</c:v>
                </c:pt>
                <c:pt idx="91" c:formatCode="yyyy/m/d;@">
                  <c:v>45610</c:v>
                </c:pt>
                <c:pt idx="92" c:formatCode="yyyy/m/d;@">
                  <c:v>45617</c:v>
                </c:pt>
                <c:pt idx="93" c:formatCode="yyyy/m/d;@">
                  <c:v>45624</c:v>
                </c:pt>
                <c:pt idx="94" c:formatCode="yyyy/m/d;@">
                  <c:v>45631</c:v>
                </c:pt>
                <c:pt idx="95" c:formatCode="yyyy/m/d;@">
                  <c:v>45638</c:v>
                </c:pt>
                <c:pt idx="96" c:formatCode="yyyy/m/d;@">
                  <c:v>45645</c:v>
                </c:pt>
                <c:pt idx="97" c:formatCode="yyyy/m/d;@">
                  <c:v>45652</c:v>
                </c:pt>
                <c:pt idx="98" c:formatCode="yyyy/m/d;@">
                  <c:v>45659</c:v>
                </c:pt>
                <c:pt idx="99" c:formatCode="yyyy/m/d;@">
                  <c:v>45666</c:v>
                </c:pt>
                <c:pt idx="100" c:formatCode="yyyy/m/d;@">
                  <c:v>45673</c:v>
                </c:pt>
                <c:pt idx="101" c:formatCode="yyyy/m/d;@">
                  <c:v>45680</c:v>
                </c:pt>
                <c:pt idx="102" c:formatCode="yyyy/m/d;@">
                  <c:v>45694</c:v>
                </c:pt>
                <c:pt idx="103" c:formatCode="yyyy/m/d;@">
                  <c:v>45701</c:v>
                </c:pt>
                <c:pt idx="104" c:formatCode="yyyy/m/d;@">
                  <c:v>45708</c:v>
                </c:pt>
                <c:pt idx="105" c:formatCode="yyyy/m/d;@">
                  <c:v>45715</c:v>
                </c:pt>
                <c:pt idx="106" c:formatCode="yyyy/m/d;@">
                  <c:v>45722</c:v>
                </c:pt>
                <c:pt idx="107" c:formatCode="yyyy/m/d;@">
                  <c:v>45729</c:v>
                </c:pt>
                <c:pt idx="108" c:formatCode="yyyy/m/d;@">
                  <c:v>45736</c:v>
                </c:pt>
                <c:pt idx="109" c:formatCode="yyyy/m/d;@">
                  <c:v>45743</c:v>
                </c:pt>
                <c:pt idx="110" c:formatCode="yyyy/m/d;@">
                  <c:v>45750</c:v>
                </c:pt>
                <c:pt idx="111" c:formatCode="yyyy/m/d;@">
                  <c:v>45757</c:v>
                </c:pt>
                <c:pt idx="112" c:formatCode="yyyy/m/d;@">
                  <c:v>45764</c:v>
                </c:pt>
                <c:pt idx="113" c:formatCode="yyyy/m/d;@">
                  <c:v>45771</c:v>
                </c:pt>
                <c:pt idx="114" c:formatCode="yyyy/m/d;@">
                  <c:v>45777</c:v>
                </c:pt>
                <c:pt idx="115" c:formatCode="yyyy/m/d;@">
                  <c:v>45785</c:v>
                </c:pt>
                <c:pt idx="116" c:formatCode="yyyy/m/d;@">
                  <c:v>45792</c:v>
                </c:pt>
                <c:pt idx="117" c:formatCode="yyyy/m/d;@">
                  <c:v>45799</c:v>
                </c:pt>
                <c:pt idx="118" c:formatCode="yyyy/m/d;@">
                  <c:v>45806</c:v>
                </c:pt>
                <c:pt idx="119" c:formatCode="yyyy/m/d;@">
                  <c:v>45813</c:v>
                </c:pt>
                <c:pt idx="120" c:formatCode="yyyy/m/d;@">
                  <c:v>45820</c:v>
                </c:pt>
                <c:pt idx="121" c:formatCode="yyyy/m/d;@">
                  <c:v>45827</c:v>
                </c:pt>
                <c:pt idx="122" c:formatCode="yyyy/m/d;@">
                  <c:v>45834</c:v>
                </c:pt>
                <c:pt idx="123" c:formatCode="yyyy/m/d;@">
                  <c:v>45841</c:v>
                </c:pt>
                <c:pt idx="124" c:formatCode="yyyy/m/d;@">
                  <c:v>45848</c:v>
                </c:pt>
                <c:pt idx="125" c:formatCode="yyyy/m/d;@">
                  <c:v>45855</c:v>
                </c:pt>
                <c:pt idx="126" c:formatCode="yyyy/m/d;@">
                  <c:v>45862</c:v>
                </c:pt>
                <c:pt idx="127" c:formatCode="yyyy/m/d;@">
                  <c:v>45869</c:v>
                </c:pt>
                <c:pt idx="128" c:formatCode="yyyy/m/d;@">
                  <c:v>45876</c:v>
                </c:pt>
                <c:pt idx="129" c:formatCode="yyyy/m/d;@">
                  <c:v>45883</c:v>
                </c:pt>
                <c:pt idx="130" c:formatCode="yyyy/m/d;@">
                  <c:v>45890</c:v>
                </c:pt>
                <c:pt idx="131" c:formatCode="yyyy/m/d;@">
                  <c:v>45897</c:v>
                </c:pt>
                <c:pt idx="132" c:formatCode="yyyy/m/d;@">
                  <c:v>45904</c:v>
                </c:pt>
                <c:pt idx="133" c:formatCode="yyyy/m/d;@">
                  <c:v>45911</c:v>
                </c:pt>
                <c:pt idx="134" c:formatCode="yyyy/m/d;@">
                  <c:v>45918</c:v>
                </c:pt>
                <c:pt idx="135" c:formatCode="yyyy/m/d;@">
                  <c:v>45925</c:v>
                </c:pt>
                <c:pt idx="136" c:formatCode="yyyy/m/d;@">
                  <c:v>45939</c:v>
                </c:pt>
                <c:pt idx="137" c:formatCode="yyyy/m/d;@">
                  <c:v>45946</c:v>
                </c:pt>
                <c:pt idx="138" c:formatCode="yyyy/m/d;@">
                  <c:v>45953</c:v>
                </c:pt>
                <c:pt idx="139" c:formatCode="yyyy/m/d;@">
                  <c:v>45960</c:v>
                </c:pt>
                <c:pt idx="140" c:formatCode="yyyy/m/d;@">
                  <c:v>45967</c:v>
                </c:pt>
                <c:pt idx="141" c:formatCode="yyyy/m/d;@">
                  <c:v>45974</c:v>
                </c:pt>
                <c:pt idx="142" c:formatCode="yyyy/m/d;@">
                  <c:v>45981</c:v>
                </c:pt>
                <c:pt idx="143" c:formatCode="yyyy/m/d;@">
                  <c:v>45988</c:v>
                </c:pt>
                <c:pt idx="144" c:formatCode="yyyy/m/d;@">
                  <c:v>45995</c:v>
                </c:pt>
                <c:pt idx="145" c:formatCode="yyyy/m/d;@">
                  <c:v>46002</c:v>
                </c:pt>
                <c:pt idx="146" c:formatCode="yyyy/m/d;@">
                  <c:v>46009</c:v>
                </c:pt>
                <c:pt idx="147" c:formatCode="yyyy/m/d;@">
                  <c:v>46016</c:v>
                </c:pt>
                <c:pt idx="148" c:formatCode="yyyy/m/d;@">
                  <c:v>46023</c:v>
                </c:pt>
                <c:pt idx="149" c:formatCode="yyyy/m/d;@">
                  <c:v>46030</c:v>
                </c:pt>
                <c:pt idx="150" c:formatCode="yyyy/m/d;@">
                  <c:v>46037</c:v>
                </c:pt>
                <c:pt idx="151" c:formatCode="yyyy/m/d;@">
                  <c:v>46044</c:v>
                </c:pt>
                <c:pt idx="152" c:formatCode="yyyy/m/d;@">
                  <c:v>46051</c:v>
                </c:pt>
                <c:pt idx="153" c:formatCode="yyyy/m/d;@">
                  <c:v>46058</c:v>
                </c:pt>
                <c:pt idx="154" c:formatCode="yyyy/m/d;@">
                  <c:v>46065</c:v>
                </c:pt>
                <c:pt idx="155" c:formatCode="yyyy/m/d;@">
                  <c:v>46079</c:v>
                </c:pt>
                <c:pt idx="156" c:formatCode="yyyy/m/d;@">
                  <c:v>46086</c:v>
                </c:pt>
                <c:pt idx="157" c:formatCode="yyyy/m/d;@">
                  <c:v>46093</c:v>
                </c:pt>
                <c:pt idx="158" c:formatCode="yyyy/m/d;@">
                  <c:v>46100</c:v>
                </c:pt>
                <c:pt idx="159" c:formatCode="yyyy/m/d;@">
                  <c:v>46107</c:v>
                </c:pt>
                <c:pt idx="160" c:formatCode="yyyy/m/d;@">
                  <c:v>46114</c:v>
                </c:pt>
                <c:pt idx="161" c:formatCode="yyyy/m/d;@">
                  <c:v>46121</c:v>
                </c:pt>
                <c:pt idx="162" c:formatCode="yyyy/m/d;@">
                  <c:v>46128</c:v>
                </c:pt>
                <c:pt idx="163" c:formatCode="yyyy/m/d;@">
                  <c:v>46135</c:v>
                </c:pt>
                <c:pt idx="164" c:formatCode="yyyy/m/d;@">
                  <c:v>46142</c:v>
                </c:pt>
                <c:pt idx="165" c:formatCode="yyyy/m/d;@">
                  <c:v>46149</c:v>
                </c:pt>
                <c:pt idx="166" c:formatCode="yyyy/m/d;@">
                  <c:v>46156</c:v>
                </c:pt>
                <c:pt idx="167" c:formatCode="yyyy/m/d;@">
                  <c:v>46163</c:v>
                </c:pt>
                <c:pt idx="168" c:formatCode="yyyy/m/d;@">
                  <c:v>46170</c:v>
                </c:pt>
                <c:pt idx="169" c:formatCode="yyyy/m/d;@">
                  <c:v>46177</c:v>
                </c:pt>
                <c:pt idx="170" c:formatCode="yyyy/m/d;@">
                  <c:v>46184</c:v>
                </c:pt>
                <c:pt idx="171" c:formatCode="yyyy/m/d;@">
                  <c:v>46191</c:v>
                </c:pt>
                <c:pt idx="172" c:formatCode="yyyy/m/d;@">
                  <c:v>46198</c:v>
                </c:pt>
                <c:pt idx="173" c:formatCode="yyyy/m/d;@">
                  <c:v>46205</c:v>
                </c:pt>
                <c:pt idx="174" c:formatCode="yyyy/m/d;@">
                  <c:v>46212</c:v>
                </c:pt>
                <c:pt idx="175" c:formatCode="yyyy/m/d;@">
                  <c:v>46219</c:v>
                </c:pt>
                <c:pt idx="176" c:formatCode="yyyy/m/d;@">
                  <c:v>46226</c:v>
                </c:pt>
                <c:pt idx="177" c:formatCode="yyyy/m/d;@">
                  <c:v>46233</c:v>
                </c:pt>
                <c:pt idx="178" c:formatCode="yyyy/m/d;@">
                  <c:v>46240</c:v>
                </c:pt>
                <c:pt idx="179" c:formatCode="yyyy/m/d;@">
                  <c:v>46247</c:v>
                </c:pt>
                <c:pt idx="180" c:formatCode="yyyy/m/d;@">
                  <c:v>46254</c:v>
                </c:pt>
                <c:pt idx="181" c:formatCode="yyyy/m/d;@">
                  <c:v>46261</c:v>
                </c:pt>
                <c:pt idx="182" c:formatCode="yyyy/m/d;@">
                  <c:v>46268</c:v>
                </c:pt>
                <c:pt idx="183" c:formatCode="yyyy/m/d;@">
                  <c:v>46275</c:v>
                </c:pt>
                <c:pt idx="184" c:formatCode="yyyy/m/d;@">
                  <c:v>46282</c:v>
                </c:pt>
                <c:pt idx="185" c:formatCode="yyyy/m/d;@">
                  <c:v>46289</c:v>
                </c:pt>
              </c:numCache>
            </c:numRef>
          </c:cat>
          <c:val>
            <c:numRef>
              <c:f>出栏价!$B$231:$B$1363</c:f>
              <c:numCache>
                <c:formatCode>0.00_);[Red]\(0.00\)</c:formatCode>
                <c:ptCount val="1133"/>
                <c:pt idx="0">
                  <c:v>14.76</c:v>
                </c:pt>
                <c:pt idx="1">
                  <c:v>14.28</c:v>
                </c:pt>
                <c:pt idx="2">
                  <c:v>14.07</c:v>
                </c:pt>
                <c:pt idx="3">
                  <c:v>14.59</c:v>
                </c:pt>
                <c:pt idx="4">
                  <c:v>15.49</c:v>
                </c:pt>
                <c:pt idx="5">
                  <c:v>15.83</c:v>
                </c:pt>
                <c:pt idx="6">
                  <c:v>15.7</c:v>
                </c:pt>
                <c:pt idx="7">
                  <c:v>15.14</c:v>
                </c:pt>
                <c:pt idx="8">
                  <c:v>15.12</c:v>
                </c:pt>
                <c:pt idx="9">
                  <c:v>14.88</c:v>
                </c:pt>
                <c:pt idx="10">
                  <c:v>14.55</c:v>
                </c:pt>
                <c:pt idx="11">
                  <c:v>14.28</c:v>
                </c:pt>
                <c:pt idx="12">
                  <c:v>14.05</c:v>
                </c:pt>
                <c:pt idx="13">
                  <c:v>14.74</c:v>
                </c:pt>
                <c:pt idx="14">
                  <c:v>14.62</c:v>
                </c:pt>
                <c:pt idx="15">
                  <c:v>14.34</c:v>
                </c:pt>
                <c:pt idx="16">
                  <c:v>14.21</c:v>
                </c:pt>
                <c:pt idx="17">
                  <c:v>14.18</c:v>
                </c:pt>
                <c:pt idx="18">
                  <c:v>14.44</c:v>
                </c:pt>
                <c:pt idx="19">
                  <c:v>14.33</c:v>
                </c:pt>
                <c:pt idx="20">
                  <c:v>14.27</c:v>
                </c:pt>
                <c:pt idx="21">
                  <c:v>14.37</c:v>
                </c:pt>
                <c:pt idx="22">
                  <c:v>13.92</c:v>
                </c:pt>
                <c:pt idx="23">
                  <c:v>13.94</c:v>
                </c:pt>
                <c:pt idx="24">
                  <c:v>14</c:v>
                </c:pt>
                <c:pt idx="25">
                  <c:v>13.98</c:v>
                </c:pt>
                <c:pt idx="26">
                  <c:v>14.68</c:v>
                </c:pt>
                <c:pt idx="27">
                  <c:v>16.48</c:v>
                </c:pt>
                <c:pt idx="28">
                  <c:v>17.37</c:v>
                </c:pt>
                <c:pt idx="29">
                  <c:v>17.1</c:v>
                </c:pt>
                <c:pt idx="30">
                  <c:v>17.03</c:v>
                </c:pt>
                <c:pt idx="31">
                  <c:v>17.12</c:v>
                </c:pt>
                <c:pt idx="32">
                  <c:v>16.76</c:v>
                </c:pt>
                <c:pt idx="33">
                  <c:v>16.49</c:v>
                </c:pt>
                <c:pt idx="34">
                  <c:v>16.37</c:v>
                </c:pt>
                <c:pt idx="35">
                  <c:v>16.07</c:v>
                </c:pt>
                <c:pt idx="36">
                  <c:v>15.86</c:v>
                </c:pt>
                <c:pt idx="37">
                  <c:v>15.45</c:v>
                </c:pt>
                <c:pt idx="38">
                  <c:v>15.46</c:v>
                </c:pt>
                <c:pt idx="39">
                  <c:v>15.11</c:v>
                </c:pt>
                <c:pt idx="40">
                  <c:v>14.5</c:v>
                </c:pt>
                <c:pt idx="41">
                  <c:v>14.74</c:v>
                </c:pt>
                <c:pt idx="42">
                  <c:v>14.37</c:v>
                </c:pt>
                <c:pt idx="43">
                  <c:v>14.83</c:v>
                </c:pt>
                <c:pt idx="44">
                  <c:v>14.38</c:v>
                </c:pt>
                <c:pt idx="45">
                  <c:v>14.17</c:v>
                </c:pt>
                <c:pt idx="46">
                  <c:v>14.12</c:v>
                </c:pt>
                <c:pt idx="47">
                  <c:v>14.67</c:v>
                </c:pt>
                <c:pt idx="48">
                  <c:v>14.44</c:v>
                </c:pt>
                <c:pt idx="49">
                  <c:v>14.23</c:v>
                </c:pt>
                <c:pt idx="50">
                  <c:v>13.81</c:v>
                </c:pt>
                <c:pt idx="51">
                  <c:v>13.69</c:v>
                </c:pt>
                <c:pt idx="52">
                  <c:v>14.27</c:v>
                </c:pt>
                <c:pt idx="53">
                  <c:v>15.6</c:v>
                </c:pt>
                <c:pt idx="54">
                  <c:v>14.22</c:v>
                </c:pt>
                <c:pt idx="55">
                  <c:v>13.77</c:v>
                </c:pt>
                <c:pt idx="56">
                  <c:v>14.19</c:v>
                </c:pt>
                <c:pt idx="57">
                  <c:v>14.46</c:v>
                </c:pt>
                <c:pt idx="58">
                  <c:v>14.77</c:v>
                </c:pt>
                <c:pt idx="59">
                  <c:v>15.13</c:v>
                </c:pt>
                <c:pt idx="60">
                  <c:v>15.19</c:v>
                </c:pt>
                <c:pt idx="61">
                  <c:v>15.18</c:v>
                </c:pt>
                <c:pt idx="62">
                  <c:v>15.11</c:v>
                </c:pt>
                <c:pt idx="63">
                  <c:v>15.05</c:v>
                </c:pt>
                <c:pt idx="64">
                  <c:v>14.89</c:v>
                </c:pt>
                <c:pt idx="65">
                  <c:v>14.96</c:v>
                </c:pt>
                <c:pt idx="66">
                  <c:v>15.19</c:v>
                </c:pt>
                <c:pt idx="67">
                  <c:v>15.88</c:v>
                </c:pt>
                <c:pt idx="68">
                  <c:v>17.11</c:v>
                </c:pt>
                <c:pt idx="69">
                  <c:v>18.16</c:v>
                </c:pt>
                <c:pt idx="70">
                  <c:v>18.83</c:v>
                </c:pt>
                <c:pt idx="71">
                  <c:v>18.56</c:v>
                </c:pt>
                <c:pt idx="72">
                  <c:v>17.68</c:v>
                </c:pt>
                <c:pt idx="73">
                  <c:v>18.05</c:v>
                </c:pt>
                <c:pt idx="74">
                  <c:v>18.62</c:v>
                </c:pt>
                <c:pt idx="75">
                  <c:v>19.02</c:v>
                </c:pt>
                <c:pt idx="76">
                  <c:v>19.24</c:v>
                </c:pt>
                <c:pt idx="77">
                  <c:v>19.46</c:v>
                </c:pt>
                <c:pt idx="78">
                  <c:v>20.33</c:v>
                </c:pt>
                <c:pt idx="79">
                  <c:v>21.07</c:v>
                </c:pt>
                <c:pt idx="80">
                  <c:v>20.58</c:v>
                </c:pt>
                <c:pt idx="81">
                  <c:v>19.72</c:v>
                </c:pt>
                <c:pt idx="82">
                  <c:v>19.79</c:v>
                </c:pt>
                <c:pt idx="83">
                  <c:v>19.68</c:v>
                </c:pt>
                <c:pt idx="84">
                  <c:v>19.01</c:v>
                </c:pt>
                <c:pt idx="85">
                  <c:v>18.2</c:v>
                </c:pt>
                <c:pt idx="86">
                  <c:v>17.64</c:v>
                </c:pt>
                <c:pt idx="87">
                  <c:v>17.99</c:v>
                </c:pt>
                <c:pt idx="88">
                  <c:v>17.41</c:v>
                </c:pt>
                <c:pt idx="89">
                  <c:v>17.35</c:v>
                </c:pt>
                <c:pt idx="90">
                  <c:v>17.13</c:v>
                </c:pt>
                <c:pt idx="91">
                  <c:v>16.63</c:v>
                </c:pt>
                <c:pt idx="92">
                  <c:v>16.15</c:v>
                </c:pt>
                <c:pt idx="93">
                  <c:v>16.49</c:v>
                </c:pt>
                <c:pt idx="94">
                  <c:v>16.17</c:v>
                </c:pt>
                <c:pt idx="95">
                  <c:v>15.69</c:v>
                </c:pt>
                <c:pt idx="96">
                  <c:v>15.76</c:v>
                </c:pt>
                <c:pt idx="97">
                  <c:v>15.42</c:v>
                </c:pt>
                <c:pt idx="98">
                  <c:v>15.8</c:v>
                </c:pt>
                <c:pt idx="99">
                  <c:v>16.14</c:v>
                </c:pt>
                <c:pt idx="100">
                  <c:v>15.73</c:v>
                </c:pt>
                <c:pt idx="101">
                  <c:v>15.4</c:v>
                </c:pt>
                <c:pt idx="102">
                  <c:v>15.62</c:v>
                </c:pt>
                <c:pt idx="103">
                  <c:v>14.61</c:v>
                </c:pt>
                <c:pt idx="104">
                  <c:v>14.81</c:v>
                </c:pt>
                <c:pt idx="105">
                  <c:v>14.7</c:v>
                </c:pt>
                <c:pt idx="106">
                  <c:v>14.56</c:v>
                </c:pt>
                <c:pt idx="107">
                  <c:v>14.57</c:v>
                </c:pt>
                <c:pt idx="108">
                  <c:v>14.65</c:v>
                </c:pt>
                <c:pt idx="109">
                  <c:v>14.66</c:v>
                </c:pt>
                <c:pt idx="110">
                  <c:v>14.6</c:v>
                </c:pt>
                <c:pt idx="111">
                  <c:v>14.6</c:v>
                </c:pt>
                <c:pt idx="112">
                  <c:v>14.83</c:v>
                </c:pt>
                <c:pt idx="113">
                  <c:v>14.96</c:v>
                </c:pt>
                <c:pt idx="114">
                  <c:v>14.79</c:v>
                </c:pt>
                <c:pt idx="115">
                  <c:v>14.81</c:v>
                </c:pt>
                <c:pt idx="116">
                  <c:v>14.77</c:v>
                </c:pt>
                <c:pt idx="117">
                  <c:v>14.51</c:v>
                </c:pt>
                <c:pt idx="118">
                  <c:v>14.41</c:v>
                </c:pt>
                <c:pt idx="119">
                  <c:v>14.38</c:v>
                </c:pt>
                <c:pt idx="120">
                  <c:v>14</c:v>
                </c:pt>
                <c:pt idx="121">
                  <c:v>14.17</c:v>
                </c:pt>
                <c:pt idx="122">
                  <c:v>14.4</c:v>
                </c:pt>
                <c:pt idx="123">
                  <c:v>15</c:v>
                </c:pt>
                <c:pt idx="124">
                  <c:v>15.02</c:v>
                </c:pt>
                <c:pt idx="125">
                  <c:v>14.6</c:v>
                </c:pt>
                <c:pt idx="126">
                  <c:v>14.31</c:v>
                </c:pt>
                <c:pt idx="127">
                  <c:v>14.08</c:v>
                </c:pt>
                <c:pt idx="128">
                  <c:v>14.02</c:v>
                </c:pt>
                <c:pt idx="129">
                  <c:v>13.74</c:v>
                </c:pt>
                <c:pt idx="130">
                  <c:v>13.71</c:v>
                </c:pt>
                <c:pt idx="131">
                  <c:v>13.7</c:v>
                </c:pt>
                <c:pt idx="132">
                  <c:v>13.87</c:v>
                </c:pt>
                <c:pt idx="133">
                  <c:v>13.52</c:v>
                </c:pt>
                <c:pt idx="134">
                  <c:v>13.15</c:v>
                </c:pt>
                <c:pt idx="135">
                  <c:v>12.67</c:v>
                </c:pt>
                <c:pt idx="136">
                  <c:v>11.89</c:v>
                </c:pt>
                <c:pt idx="137">
                  <c:v>11.02</c:v>
                </c:pt>
                <c:pt idx="138">
                  <c:v>11.41</c:v>
                </c:pt>
                <c:pt idx="139">
                  <c:v>12.22</c:v>
                </c:pt>
                <c:pt idx="140">
                  <c:v>12.16</c:v>
                </c:pt>
                <c:pt idx="141">
                  <c:v>11.85</c:v>
                </c:pt>
                <c:pt idx="142">
                  <c:v>11.6</c:v>
                </c:pt>
                <c:pt idx="143">
                  <c:v>11.48</c:v>
                </c:pt>
                <c:pt idx="144">
                  <c:v>11.3</c:v>
                </c:pt>
                <c:pt idx="145">
                  <c:v>11.27</c:v>
                </c:pt>
                <c:pt idx="146">
                  <c:v>11.53</c:v>
                </c:pt>
                <c:pt idx="147">
                  <c:v>11.5</c:v>
                </c:pt>
                <c:pt idx="148">
                  <c:v>12.3</c:v>
                </c:pt>
                <c:pt idx="149">
                  <c:v>12.49</c:v>
                </c:pt>
                <c:pt idx="150">
                  <c:v>12.69</c:v>
                </c:pt>
                <c:pt idx="151">
                  <c:v>13.06</c:v>
                </c:pt>
                <c:pt idx="152">
                  <c:v>12.84</c:v>
                </c:pt>
                <c:pt idx="153">
                  <c:v>12.3</c:v>
                </c:pt>
                <c:pt idx="154">
                  <c:v>11.76</c:v>
                </c:pt>
                <c:pt idx="155">
                  <c:v>10.93</c:v>
                </c:pt>
                <c:pt idx="156">
                  <c:v>10.56</c:v>
                </c:pt>
                <c:pt idx="157">
                  <c:v>10.18</c:v>
                </c:pt>
                <c:pt idx="158">
                  <c:v>10.06</c:v>
                </c:pt>
                <c:pt idx="159">
                  <c:v>9.68</c:v>
                </c:pt>
                <c:pt idx="160">
                  <c:v>9.38</c:v>
                </c:pt>
                <c:pt idx="161">
                  <c:v>8.99</c:v>
                </c:pt>
                <c:pt idx="162">
                  <c:v>8.78</c:v>
                </c:pt>
                <c:pt idx="163">
                  <c:v>9.69</c:v>
                </c:pt>
                <c:pt idx="164">
                  <c:v>9.94</c:v>
                </c:pt>
                <c:pt idx="165">
                  <c:v>9.81</c:v>
                </c:pt>
                <c:pt idx="166">
                  <c:v>9.64</c:v>
                </c:pt>
                <c:pt idx="167">
                  <c:v>9.56</c:v>
                </c:pt>
                <c:pt idx="168">
                  <c:v>9.65</c:v>
                </c:pt>
                <c:pt idx="169">
                  <c:v>9.6</c:v>
                </c:pt>
                <c:pt idx="170">
                  <c:v>9.53</c:v>
                </c:pt>
                <c:pt idx="171">
                  <c:v>9.57</c:v>
                </c:pt>
                <c:pt idx="172">
                  <c:v>9.57</c:v>
                </c:pt>
                <c:pt idx="173">
                  <c:v>10</c:v>
                </c:pt>
                <c:pt idx="174">
                  <c:v>11.18</c:v>
                </c:pt>
                <c:pt idx="175">
                  <c:v>11.26</c:v>
                </c:pt>
                <c:pt idx="176">
                  <c:v>10.88</c:v>
                </c:pt>
                <c:pt idx="177">
                  <c:v>10.43</c:v>
                </c:pt>
                <c:pt idx="178">
                  <c:v>10.4</c:v>
                </c:pt>
                <c:pt idx="179">
                  <c:v>10.72</c:v>
                </c:pt>
                <c:pt idx="180">
                  <c:v>11.09</c:v>
                </c:pt>
                <c:pt idx="181">
                  <c:v>11.03</c:v>
                </c:pt>
                <c:pt idx="182">
                  <c:v>10.96</c:v>
                </c:pt>
                <c:pt idx="183">
                  <c:v>10.97</c:v>
                </c:pt>
                <c:pt idx="184">
                  <c:v>10.8</c:v>
                </c:pt>
                <c:pt idx="185">
                  <c:v>10.63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82592495"/>
        <c:axId val="32902958"/>
      </c:lineChart>
      <c:dateAx>
        <c:axId val="82592495"/>
        <c:scaling>
          <c:orientation val="minMax"/>
          <c:max val="46289"/>
          <c:min val="45924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ysClr val="windowText" lastClr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  <a:sym typeface="宋体" panose="02010600030101010101" pitchFamily="7" charset="-122"/>
                  </a:defRPr>
                </a:pPr>
                <a:r>
                  <a:rPr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  <a:sym typeface="宋体" panose="02010600030101010101" pitchFamily="7" charset="-122"/>
                  </a:rPr>
                  <a:t>元</a:t>
                </a:r>
                <a:r>
                  <a:rPr lang="en-US" altLang="zh-CN" sz="1200"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  <a:sym typeface="宋体" panose="02010600030101010101" pitchFamily="7" charset="-122"/>
                  </a:rPr>
                  <a:t>/kg</a:t>
                </a:r>
                <a:endParaRPr lang="en-US" altLang="zh-CN" sz="1200"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7083333333333"/>
              <c:y val="0.068997519459413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27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32902958"/>
        <c:crosses val="autoZero"/>
        <c:auto val="1"/>
        <c:lblOffset val="100"/>
        <c:baseTimeUnit val="days"/>
        <c:majorUnit val="2"/>
        <c:majorTimeUnit val="months"/>
      </c:dateAx>
      <c:valAx>
        <c:axId val="32902958"/>
        <c:scaling>
          <c:orientation val="minMax"/>
          <c:max val="14"/>
          <c:min val="8"/>
        </c:scaling>
        <c:delete val="0"/>
        <c:axPos val="l"/>
        <c:numFmt formatCode="0.00_);[Red]\(0.00\)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8259249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57bd8bb-aa04-41b6-89f6-3373c73d53d9}"/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 lang="zh-CN" b="1">
          <a:solidFill>
            <a:sysClr val="windowText" lastClr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  <a:sym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r>
              <a:rPr lang="en-US" altLang="zh-CN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2021-2026</a:t>
            </a:r>
            <a:r>
              <a:rPr altLang="en-US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年全国商品猪出栏均价</a:t>
            </a:r>
            <a:endParaRPr lang="en-US" altLang="zh-CN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出栏价!$G$2</c:f>
              <c:strCache>
                <c:ptCount val="1"/>
                <c:pt idx="0">
                  <c:v>2021年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出栏价!$D$3:$D$53</c:f>
              <c:numCache>
                <c:formatCode>m"月"d"日";@</c:formatCode>
                <c:ptCount val="51"/>
                <c:pt idx="0" c:formatCode="m&quot;月&quot;d&quot;日&quot;;@">
                  <c:v>43467</c:v>
                </c:pt>
                <c:pt idx="1" c:formatCode="m&quot;月&quot;d&quot;日&quot;;@">
                  <c:v>43474</c:v>
                </c:pt>
                <c:pt idx="2" c:formatCode="m&quot;月&quot;d&quot;日&quot;;@">
                  <c:v>43481</c:v>
                </c:pt>
                <c:pt idx="3" c:formatCode="m&quot;月&quot;d&quot;日&quot;;@">
                  <c:v>43488</c:v>
                </c:pt>
                <c:pt idx="4" c:formatCode="m&quot;月&quot;d&quot;日&quot;;@">
                  <c:v>43494</c:v>
                </c:pt>
                <c:pt idx="5" c:formatCode="m&quot;月&quot;d&quot;日&quot;;@">
                  <c:v>43501</c:v>
                </c:pt>
                <c:pt idx="6" c:formatCode="m&quot;月&quot;d&quot;日&quot;;@">
                  <c:v>43508</c:v>
                </c:pt>
                <c:pt idx="7" c:formatCode="m&quot;月&quot;d&quot;日&quot;;@">
                  <c:v>43522</c:v>
                </c:pt>
                <c:pt idx="8" c:formatCode="m&quot;月&quot;d&quot;日&quot;;@">
                  <c:v>43529</c:v>
                </c:pt>
                <c:pt idx="9" c:formatCode="m&quot;月&quot;d&quot;日&quot;;@">
                  <c:v>43536</c:v>
                </c:pt>
                <c:pt idx="10" c:formatCode="m&quot;月&quot;d&quot;日&quot;;@">
                  <c:v>43543</c:v>
                </c:pt>
                <c:pt idx="11" c:formatCode="m&quot;月&quot;d&quot;日&quot;;@">
                  <c:v>43550</c:v>
                </c:pt>
                <c:pt idx="12" c:formatCode="m&quot;月&quot;d&quot;日&quot;;@">
                  <c:v>43557</c:v>
                </c:pt>
                <c:pt idx="13" c:formatCode="m&quot;月&quot;d&quot;日&quot;;@">
                  <c:v>43564</c:v>
                </c:pt>
                <c:pt idx="14" c:formatCode="m&quot;月&quot;d&quot;日&quot;;@">
                  <c:v>43571</c:v>
                </c:pt>
                <c:pt idx="15" c:formatCode="m&quot;月&quot;d&quot;日&quot;;@">
                  <c:v>43578</c:v>
                </c:pt>
                <c:pt idx="16" c:formatCode="m&quot;月&quot;d&quot;日&quot;;@">
                  <c:v>43585</c:v>
                </c:pt>
                <c:pt idx="17" c:formatCode="m&quot;月&quot;d&quot;日&quot;;@">
                  <c:v>43592</c:v>
                </c:pt>
                <c:pt idx="18" c:formatCode="m&quot;月&quot;d&quot;日&quot;;@">
                  <c:v>43599</c:v>
                </c:pt>
                <c:pt idx="19" c:formatCode="m&quot;月&quot;d&quot;日&quot;;@">
                  <c:v>43606</c:v>
                </c:pt>
                <c:pt idx="20" c:formatCode="m&quot;月&quot;d&quot;日&quot;;@">
                  <c:v>43613</c:v>
                </c:pt>
                <c:pt idx="21" c:formatCode="m&quot;月&quot;d&quot;日&quot;;@">
                  <c:v>43620</c:v>
                </c:pt>
                <c:pt idx="22" c:formatCode="m&quot;月&quot;d&quot;日&quot;;@">
                  <c:v>43627</c:v>
                </c:pt>
                <c:pt idx="23" c:formatCode="m&quot;月&quot;d&quot;日&quot;;@">
                  <c:v>43634</c:v>
                </c:pt>
                <c:pt idx="24" c:formatCode="m&quot;月&quot;d&quot;日&quot;;@">
                  <c:v>43641</c:v>
                </c:pt>
                <c:pt idx="25" c:formatCode="m&quot;月&quot;d&quot;日&quot;;@">
                  <c:v>43648</c:v>
                </c:pt>
                <c:pt idx="26" c:formatCode="m&quot;月&quot;d&quot;日&quot;;@">
                  <c:v>43655</c:v>
                </c:pt>
                <c:pt idx="27" c:formatCode="m&quot;月&quot;d&quot;日&quot;;@">
                  <c:v>43662</c:v>
                </c:pt>
                <c:pt idx="28" c:formatCode="m&quot;月&quot;d&quot;日&quot;;@">
                  <c:v>43669</c:v>
                </c:pt>
                <c:pt idx="29" c:formatCode="m&quot;月&quot;d&quot;日&quot;;@">
                  <c:v>43676</c:v>
                </c:pt>
                <c:pt idx="30" c:formatCode="m&quot;月&quot;d&quot;日&quot;;@">
                  <c:v>43683</c:v>
                </c:pt>
                <c:pt idx="31" c:formatCode="m&quot;月&quot;d&quot;日&quot;;@">
                  <c:v>43690</c:v>
                </c:pt>
                <c:pt idx="32" c:formatCode="m&quot;月&quot;d&quot;日&quot;;@">
                  <c:v>43697</c:v>
                </c:pt>
                <c:pt idx="33" c:formatCode="m&quot;月&quot;d&quot;日&quot;;@">
                  <c:v>43704</c:v>
                </c:pt>
                <c:pt idx="34" c:formatCode="m&quot;月&quot;d&quot;日&quot;;@">
                  <c:v>43711</c:v>
                </c:pt>
                <c:pt idx="35" c:formatCode="m&quot;月&quot;d&quot;日&quot;;@">
                  <c:v>43718</c:v>
                </c:pt>
                <c:pt idx="36" c:formatCode="m&quot;月&quot;d&quot;日&quot;;@">
                  <c:v>43725</c:v>
                </c:pt>
                <c:pt idx="37" c:formatCode="m&quot;月&quot;d&quot;日&quot;;@">
                  <c:v>43732</c:v>
                </c:pt>
                <c:pt idx="38" c:formatCode="m&quot;月&quot;d&quot;日&quot;;@">
                  <c:v>43740</c:v>
                </c:pt>
                <c:pt idx="39" c:formatCode="m&quot;月&quot;d&quot;日&quot;;@">
                  <c:v>43747</c:v>
                </c:pt>
                <c:pt idx="40" c:formatCode="m&quot;月&quot;d&quot;日&quot;;@">
                  <c:v>43754</c:v>
                </c:pt>
                <c:pt idx="41" c:formatCode="m&quot;月&quot;d&quot;日&quot;;@">
                  <c:v>43761</c:v>
                </c:pt>
                <c:pt idx="42" c:formatCode="m&quot;月&quot;d&quot;日&quot;;@">
                  <c:v>43768</c:v>
                </c:pt>
                <c:pt idx="43" c:formatCode="m&quot;月&quot;d&quot;日&quot;;@">
                  <c:v>43775</c:v>
                </c:pt>
                <c:pt idx="44" c:formatCode="m&quot;月&quot;d&quot;日&quot;;@">
                  <c:v>43782</c:v>
                </c:pt>
                <c:pt idx="45" c:formatCode="m&quot;月&quot;d&quot;日&quot;;@">
                  <c:v>43789</c:v>
                </c:pt>
                <c:pt idx="46" c:formatCode="m&quot;月&quot;d&quot;日&quot;;@">
                  <c:v>43796</c:v>
                </c:pt>
                <c:pt idx="47" c:formatCode="m&quot;月&quot;d&quot;日&quot;;@">
                  <c:v>43803</c:v>
                </c:pt>
                <c:pt idx="48" c:formatCode="m&quot;月&quot;d&quot;日&quot;;@">
                  <c:v>43810</c:v>
                </c:pt>
                <c:pt idx="49" c:formatCode="m&quot;月&quot;d&quot;日&quot;;@">
                  <c:v>43817</c:v>
                </c:pt>
                <c:pt idx="50" c:formatCode="m&quot;月&quot;d&quot;日&quot;;@">
                  <c:v>43824</c:v>
                </c:pt>
              </c:numCache>
            </c:numRef>
          </c:cat>
          <c:val>
            <c:numRef>
              <c:f>出栏价!$G$3:$G$53</c:f>
              <c:numCache>
                <c:formatCode>0.00_);[Red]\(0.00\)</c:formatCode>
                <c:ptCount val="51"/>
                <c:pt idx="0">
                  <c:v>36.73</c:v>
                </c:pt>
                <c:pt idx="1">
                  <c:v>35.96</c:v>
                </c:pt>
                <c:pt idx="2">
                  <c:v>35.87</c:v>
                </c:pt>
                <c:pt idx="3">
                  <c:v>34.07</c:v>
                </c:pt>
                <c:pt idx="4">
                  <c:v>32.25</c:v>
                </c:pt>
                <c:pt idx="5">
                  <c:v>29.88</c:v>
                </c:pt>
                <c:pt idx="6">
                  <c:v>27.79</c:v>
                </c:pt>
                <c:pt idx="7">
                  <c:v>28.95</c:v>
                </c:pt>
                <c:pt idx="8">
                  <c:v>28.38</c:v>
                </c:pt>
                <c:pt idx="9">
                  <c:v>27.73</c:v>
                </c:pt>
                <c:pt idx="10">
                  <c:v>26.55</c:v>
                </c:pt>
                <c:pt idx="11">
                  <c:v>25.1</c:v>
                </c:pt>
                <c:pt idx="12">
                  <c:v>22.95</c:v>
                </c:pt>
                <c:pt idx="13">
                  <c:v>22.45</c:v>
                </c:pt>
                <c:pt idx="14">
                  <c:v>23.41</c:v>
                </c:pt>
                <c:pt idx="15">
                  <c:v>22.74</c:v>
                </c:pt>
                <c:pt idx="16">
                  <c:v>21.22</c:v>
                </c:pt>
                <c:pt idx="17">
                  <c:v>19.29</c:v>
                </c:pt>
                <c:pt idx="18">
                  <c:v>18.33</c:v>
                </c:pt>
                <c:pt idx="19">
                  <c:v>17.92</c:v>
                </c:pt>
                <c:pt idx="20">
                  <c:v>16.89</c:v>
                </c:pt>
                <c:pt idx="21">
                  <c:v>15.36</c:v>
                </c:pt>
                <c:pt idx="22">
                  <c:v>14.33</c:v>
                </c:pt>
                <c:pt idx="23">
                  <c:v>12.83</c:v>
                </c:pt>
                <c:pt idx="24">
                  <c:v>16</c:v>
                </c:pt>
                <c:pt idx="25">
                  <c:v>16.12</c:v>
                </c:pt>
                <c:pt idx="26">
                  <c:v>15.99</c:v>
                </c:pt>
                <c:pt idx="27">
                  <c:v>15.73</c:v>
                </c:pt>
                <c:pt idx="28">
                  <c:v>15.32</c:v>
                </c:pt>
                <c:pt idx="29">
                  <c:v>15.53</c:v>
                </c:pt>
                <c:pt idx="30">
                  <c:v>15.27</c:v>
                </c:pt>
                <c:pt idx="31">
                  <c:v>14.79</c:v>
                </c:pt>
                <c:pt idx="32">
                  <c:v>14.28</c:v>
                </c:pt>
                <c:pt idx="33">
                  <c:v>13.87</c:v>
                </c:pt>
                <c:pt idx="34">
                  <c:v>13.55</c:v>
                </c:pt>
                <c:pt idx="35">
                  <c:v>12.46</c:v>
                </c:pt>
                <c:pt idx="36">
                  <c:v>12.1</c:v>
                </c:pt>
                <c:pt idx="37">
                  <c:v>10.97</c:v>
                </c:pt>
                <c:pt idx="38">
                  <c:v>10.28</c:v>
                </c:pt>
                <c:pt idx="39">
                  <c:v>11.46</c:v>
                </c:pt>
                <c:pt idx="40">
                  <c:v>13.44</c:v>
                </c:pt>
                <c:pt idx="41">
                  <c:v>15.82</c:v>
                </c:pt>
                <c:pt idx="42">
                  <c:v>16.08</c:v>
                </c:pt>
                <c:pt idx="43">
                  <c:v>17.01</c:v>
                </c:pt>
                <c:pt idx="44">
                  <c:v>17.63</c:v>
                </c:pt>
                <c:pt idx="45">
                  <c:v>17.94</c:v>
                </c:pt>
                <c:pt idx="46">
                  <c:v>17.93</c:v>
                </c:pt>
                <c:pt idx="47">
                  <c:v>17.49</c:v>
                </c:pt>
                <c:pt idx="48">
                  <c:v>16.18</c:v>
                </c:pt>
                <c:pt idx="49">
                  <c:v>15.98</c:v>
                </c:pt>
                <c:pt idx="50">
                  <c:v>16.15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出栏价!$H$2</c:f>
              <c:strCache>
                <c:ptCount val="1"/>
                <c:pt idx="0">
                  <c:v>2022年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出栏价!$D$3:$D$53</c:f>
              <c:numCache>
                <c:formatCode>m"月"d"日";@</c:formatCode>
                <c:ptCount val="51"/>
                <c:pt idx="0" c:formatCode="m&quot;月&quot;d&quot;日&quot;;@">
                  <c:v>43467</c:v>
                </c:pt>
                <c:pt idx="1" c:formatCode="m&quot;月&quot;d&quot;日&quot;;@">
                  <c:v>43474</c:v>
                </c:pt>
                <c:pt idx="2" c:formatCode="m&quot;月&quot;d&quot;日&quot;;@">
                  <c:v>43481</c:v>
                </c:pt>
                <c:pt idx="3" c:formatCode="m&quot;月&quot;d&quot;日&quot;;@">
                  <c:v>43488</c:v>
                </c:pt>
                <c:pt idx="4" c:formatCode="m&quot;月&quot;d&quot;日&quot;;@">
                  <c:v>43494</c:v>
                </c:pt>
                <c:pt idx="5" c:formatCode="m&quot;月&quot;d&quot;日&quot;;@">
                  <c:v>43501</c:v>
                </c:pt>
                <c:pt idx="6" c:formatCode="m&quot;月&quot;d&quot;日&quot;;@">
                  <c:v>43508</c:v>
                </c:pt>
                <c:pt idx="7" c:formatCode="m&quot;月&quot;d&quot;日&quot;;@">
                  <c:v>43522</c:v>
                </c:pt>
                <c:pt idx="8" c:formatCode="m&quot;月&quot;d&quot;日&quot;;@">
                  <c:v>43529</c:v>
                </c:pt>
                <c:pt idx="9" c:formatCode="m&quot;月&quot;d&quot;日&quot;;@">
                  <c:v>43536</c:v>
                </c:pt>
                <c:pt idx="10" c:formatCode="m&quot;月&quot;d&quot;日&quot;;@">
                  <c:v>43543</c:v>
                </c:pt>
                <c:pt idx="11" c:formatCode="m&quot;月&quot;d&quot;日&quot;;@">
                  <c:v>43550</c:v>
                </c:pt>
                <c:pt idx="12" c:formatCode="m&quot;月&quot;d&quot;日&quot;;@">
                  <c:v>43557</c:v>
                </c:pt>
                <c:pt idx="13" c:formatCode="m&quot;月&quot;d&quot;日&quot;;@">
                  <c:v>43564</c:v>
                </c:pt>
                <c:pt idx="14" c:formatCode="m&quot;月&quot;d&quot;日&quot;;@">
                  <c:v>43571</c:v>
                </c:pt>
                <c:pt idx="15" c:formatCode="m&quot;月&quot;d&quot;日&quot;;@">
                  <c:v>43578</c:v>
                </c:pt>
                <c:pt idx="16" c:formatCode="m&quot;月&quot;d&quot;日&quot;;@">
                  <c:v>43585</c:v>
                </c:pt>
                <c:pt idx="17" c:formatCode="m&quot;月&quot;d&quot;日&quot;;@">
                  <c:v>43592</c:v>
                </c:pt>
                <c:pt idx="18" c:formatCode="m&quot;月&quot;d&quot;日&quot;;@">
                  <c:v>43599</c:v>
                </c:pt>
                <c:pt idx="19" c:formatCode="m&quot;月&quot;d&quot;日&quot;;@">
                  <c:v>43606</c:v>
                </c:pt>
                <c:pt idx="20" c:formatCode="m&quot;月&quot;d&quot;日&quot;;@">
                  <c:v>43613</c:v>
                </c:pt>
                <c:pt idx="21" c:formatCode="m&quot;月&quot;d&quot;日&quot;;@">
                  <c:v>43620</c:v>
                </c:pt>
                <c:pt idx="22" c:formatCode="m&quot;月&quot;d&quot;日&quot;;@">
                  <c:v>43627</c:v>
                </c:pt>
                <c:pt idx="23" c:formatCode="m&quot;月&quot;d&quot;日&quot;;@">
                  <c:v>43634</c:v>
                </c:pt>
                <c:pt idx="24" c:formatCode="m&quot;月&quot;d&quot;日&quot;;@">
                  <c:v>43641</c:v>
                </c:pt>
                <c:pt idx="25" c:formatCode="m&quot;月&quot;d&quot;日&quot;;@">
                  <c:v>43648</c:v>
                </c:pt>
                <c:pt idx="26" c:formatCode="m&quot;月&quot;d&quot;日&quot;;@">
                  <c:v>43655</c:v>
                </c:pt>
                <c:pt idx="27" c:formatCode="m&quot;月&quot;d&quot;日&quot;;@">
                  <c:v>43662</c:v>
                </c:pt>
                <c:pt idx="28" c:formatCode="m&quot;月&quot;d&quot;日&quot;;@">
                  <c:v>43669</c:v>
                </c:pt>
                <c:pt idx="29" c:formatCode="m&quot;月&quot;d&quot;日&quot;;@">
                  <c:v>43676</c:v>
                </c:pt>
                <c:pt idx="30" c:formatCode="m&quot;月&quot;d&quot;日&quot;;@">
                  <c:v>43683</c:v>
                </c:pt>
                <c:pt idx="31" c:formatCode="m&quot;月&quot;d&quot;日&quot;;@">
                  <c:v>43690</c:v>
                </c:pt>
                <c:pt idx="32" c:formatCode="m&quot;月&quot;d&quot;日&quot;;@">
                  <c:v>43697</c:v>
                </c:pt>
                <c:pt idx="33" c:formatCode="m&quot;月&quot;d&quot;日&quot;;@">
                  <c:v>43704</c:v>
                </c:pt>
                <c:pt idx="34" c:formatCode="m&quot;月&quot;d&quot;日&quot;;@">
                  <c:v>43711</c:v>
                </c:pt>
                <c:pt idx="35" c:formatCode="m&quot;月&quot;d&quot;日&quot;;@">
                  <c:v>43718</c:v>
                </c:pt>
                <c:pt idx="36" c:formatCode="m&quot;月&quot;d&quot;日&quot;;@">
                  <c:v>43725</c:v>
                </c:pt>
                <c:pt idx="37" c:formatCode="m&quot;月&quot;d&quot;日&quot;;@">
                  <c:v>43732</c:v>
                </c:pt>
                <c:pt idx="38" c:formatCode="m&quot;月&quot;d&quot;日&quot;;@">
                  <c:v>43740</c:v>
                </c:pt>
                <c:pt idx="39" c:formatCode="m&quot;月&quot;d&quot;日&quot;;@">
                  <c:v>43747</c:v>
                </c:pt>
                <c:pt idx="40" c:formatCode="m&quot;月&quot;d&quot;日&quot;;@">
                  <c:v>43754</c:v>
                </c:pt>
                <c:pt idx="41" c:formatCode="m&quot;月&quot;d&quot;日&quot;;@">
                  <c:v>43761</c:v>
                </c:pt>
                <c:pt idx="42" c:formatCode="m&quot;月&quot;d&quot;日&quot;;@">
                  <c:v>43768</c:v>
                </c:pt>
                <c:pt idx="43" c:formatCode="m&quot;月&quot;d&quot;日&quot;;@">
                  <c:v>43775</c:v>
                </c:pt>
                <c:pt idx="44" c:formatCode="m&quot;月&quot;d&quot;日&quot;;@">
                  <c:v>43782</c:v>
                </c:pt>
                <c:pt idx="45" c:formatCode="m&quot;月&quot;d&quot;日&quot;;@">
                  <c:v>43789</c:v>
                </c:pt>
                <c:pt idx="46" c:formatCode="m&quot;月&quot;d&quot;日&quot;;@">
                  <c:v>43796</c:v>
                </c:pt>
                <c:pt idx="47" c:formatCode="m&quot;月&quot;d&quot;日&quot;;@">
                  <c:v>43803</c:v>
                </c:pt>
                <c:pt idx="48" c:formatCode="m&quot;月&quot;d&quot;日&quot;;@">
                  <c:v>43810</c:v>
                </c:pt>
                <c:pt idx="49" c:formatCode="m&quot;月&quot;d&quot;日&quot;;@">
                  <c:v>43817</c:v>
                </c:pt>
                <c:pt idx="50" c:formatCode="m&quot;月&quot;d&quot;日&quot;;@">
                  <c:v>43824</c:v>
                </c:pt>
              </c:numCache>
            </c:numRef>
          </c:cat>
          <c:val>
            <c:numRef>
              <c:f>出栏价!$H$3:$H$53</c:f>
              <c:numCache>
                <c:formatCode>0.00_);[Red]\(0.00\)</c:formatCode>
                <c:ptCount val="51"/>
                <c:pt idx="0">
                  <c:v>15.71</c:v>
                </c:pt>
                <c:pt idx="1">
                  <c:v>14.34</c:v>
                </c:pt>
                <c:pt idx="2">
                  <c:v>14.02</c:v>
                </c:pt>
                <c:pt idx="3">
                  <c:v>14.07</c:v>
                </c:pt>
                <c:pt idx="4">
                  <c:v>13.34</c:v>
                </c:pt>
                <c:pt idx="5">
                  <c:v>12.25</c:v>
                </c:pt>
                <c:pt idx="6">
                  <c:v>12.44</c:v>
                </c:pt>
                <c:pt idx="7">
                  <c:v>12.48</c:v>
                </c:pt>
                <c:pt idx="8">
                  <c:v>12.12</c:v>
                </c:pt>
                <c:pt idx="9">
                  <c:v>11.86</c:v>
                </c:pt>
                <c:pt idx="10">
                  <c:v>11.83</c:v>
                </c:pt>
                <c:pt idx="11">
                  <c:v>12.18</c:v>
                </c:pt>
                <c:pt idx="12">
                  <c:v>12.47</c:v>
                </c:pt>
                <c:pt idx="13">
                  <c:v>12.25</c:v>
                </c:pt>
                <c:pt idx="14">
                  <c:v>13.49</c:v>
                </c:pt>
                <c:pt idx="15">
                  <c:v>14.55</c:v>
                </c:pt>
                <c:pt idx="16">
                  <c:v>14.96</c:v>
                </c:pt>
                <c:pt idx="17">
                  <c:v>15.09</c:v>
                </c:pt>
                <c:pt idx="18">
                  <c:v>15.54</c:v>
                </c:pt>
                <c:pt idx="19">
                  <c:v>15.78</c:v>
                </c:pt>
                <c:pt idx="20">
                  <c:v>15.79</c:v>
                </c:pt>
                <c:pt idx="21">
                  <c:v>15.81</c:v>
                </c:pt>
                <c:pt idx="22">
                  <c:v>16.22</c:v>
                </c:pt>
                <c:pt idx="23">
                  <c:v>17.04</c:v>
                </c:pt>
                <c:pt idx="24">
                  <c:v>19.2</c:v>
                </c:pt>
                <c:pt idx="25">
                  <c:v>22.41</c:v>
                </c:pt>
                <c:pt idx="26">
                  <c:v>22.88</c:v>
                </c:pt>
                <c:pt idx="27">
                  <c:v>22.52</c:v>
                </c:pt>
                <c:pt idx="28">
                  <c:v>21.26</c:v>
                </c:pt>
                <c:pt idx="29">
                  <c:v>21.46</c:v>
                </c:pt>
                <c:pt idx="30">
                  <c:v>21.28</c:v>
                </c:pt>
                <c:pt idx="31">
                  <c:v>21.18</c:v>
                </c:pt>
                <c:pt idx="32">
                  <c:v>21.79</c:v>
                </c:pt>
                <c:pt idx="33">
                  <c:v>23.05</c:v>
                </c:pt>
                <c:pt idx="34">
                  <c:v>23.42</c:v>
                </c:pt>
                <c:pt idx="35">
                  <c:v>23.31</c:v>
                </c:pt>
                <c:pt idx="36">
                  <c:v>23.76</c:v>
                </c:pt>
                <c:pt idx="37">
                  <c:v>24.12</c:v>
                </c:pt>
                <c:pt idx="38">
                  <c:v>25.69</c:v>
                </c:pt>
                <c:pt idx="39">
                  <c:v>26.75</c:v>
                </c:pt>
                <c:pt idx="40">
                  <c:v>28.02</c:v>
                </c:pt>
                <c:pt idx="41">
                  <c:v>27.52</c:v>
                </c:pt>
                <c:pt idx="42">
                  <c:v>26.05</c:v>
                </c:pt>
                <c:pt idx="43">
                  <c:v>25.18</c:v>
                </c:pt>
                <c:pt idx="44">
                  <c:v>24.36</c:v>
                </c:pt>
                <c:pt idx="45">
                  <c:v>23.36</c:v>
                </c:pt>
                <c:pt idx="46">
                  <c:v>21.91</c:v>
                </c:pt>
                <c:pt idx="47">
                  <c:v>22.33</c:v>
                </c:pt>
                <c:pt idx="48">
                  <c:v>19.35</c:v>
                </c:pt>
                <c:pt idx="49">
                  <c:v>16.73</c:v>
                </c:pt>
                <c:pt idx="50">
                  <c:v>17.14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出栏价!$I$2</c:f>
              <c:strCache>
                <c:ptCount val="1"/>
                <c:pt idx="0">
                  <c:v>2023年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出栏价!$D$3:$D$53</c:f>
              <c:numCache>
                <c:formatCode>m"月"d"日";@</c:formatCode>
                <c:ptCount val="51"/>
                <c:pt idx="0" c:formatCode="m&quot;月&quot;d&quot;日&quot;;@">
                  <c:v>43467</c:v>
                </c:pt>
                <c:pt idx="1" c:formatCode="m&quot;月&quot;d&quot;日&quot;;@">
                  <c:v>43474</c:v>
                </c:pt>
                <c:pt idx="2" c:formatCode="m&quot;月&quot;d&quot;日&quot;;@">
                  <c:v>43481</c:v>
                </c:pt>
                <c:pt idx="3" c:formatCode="m&quot;月&quot;d&quot;日&quot;;@">
                  <c:v>43488</c:v>
                </c:pt>
                <c:pt idx="4" c:formatCode="m&quot;月&quot;d&quot;日&quot;;@">
                  <c:v>43494</c:v>
                </c:pt>
                <c:pt idx="5" c:formatCode="m&quot;月&quot;d&quot;日&quot;;@">
                  <c:v>43501</c:v>
                </c:pt>
                <c:pt idx="6" c:formatCode="m&quot;月&quot;d&quot;日&quot;;@">
                  <c:v>43508</c:v>
                </c:pt>
                <c:pt idx="7" c:formatCode="m&quot;月&quot;d&quot;日&quot;;@">
                  <c:v>43522</c:v>
                </c:pt>
                <c:pt idx="8" c:formatCode="m&quot;月&quot;d&quot;日&quot;;@">
                  <c:v>43529</c:v>
                </c:pt>
                <c:pt idx="9" c:formatCode="m&quot;月&quot;d&quot;日&quot;;@">
                  <c:v>43536</c:v>
                </c:pt>
                <c:pt idx="10" c:formatCode="m&quot;月&quot;d&quot;日&quot;;@">
                  <c:v>43543</c:v>
                </c:pt>
                <c:pt idx="11" c:formatCode="m&quot;月&quot;d&quot;日&quot;;@">
                  <c:v>43550</c:v>
                </c:pt>
                <c:pt idx="12" c:formatCode="m&quot;月&quot;d&quot;日&quot;;@">
                  <c:v>43557</c:v>
                </c:pt>
                <c:pt idx="13" c:formatCode="m&quot;月&quot;d&quot;日&quot;;@">
                  <c:v>43564</c:v>
                </c:pt>
                <c:pt idx="14" c:formatCode="m&quot;月&quot;d&quot;日&quot;;@">
                  <c:v>43571</c:v>
                </c:pt>
                <c:pt idx="15" c:formatCode="m&quot;月&quot;d&quot;日&quot;;@">
                  <c:v>43578</c:v>
                </c:pt>
                <c:pt idx="16" c:formatCode="m&quot;月&quot;d&quot;日&quot;;@">
                  <c:v>43585</c:v>
                </c:pt>
                <c:pt idx="17" c:formatCode="m&quot;月&quot;d&quot;日&quot;;@">
                  <c:v>43592</c:v>
                </c:pt>
                <c:pt idx="18" c:formatCode="m&quot;月&quot;d&quot;日&quot;;@">
                  <c:v>43599</c:v>
                </c:pt>
                <c:pt idx="19" c:formatCode="m&quot;月&quot;d&quot;日&quot;;@">
                  <c:v>43606</c:v>
                </c:pt>
                <c:pt idx="20" c:formatCode="m&quot;月&quot;d&quot;日&quot;;@">
                  <c:v>43613</c:v>
                </c:pt>
                <c:pt idx="21" c:formatCode="m&quot;月&quot;d&quot;日&quot;;@">
                  <c:v>43620</c:v>
                </c:pt>
                <c:pt idx="22" c:formatCode="m&quot;月&quot;d&quot;日&quot;;@">
                  <c:v>43627</c:v>
                </c:pt>
                <c:pt idx="23" c:formatCode="m&quot;月&quot;d&quot;日&quot;;@">
                  <c:v>43634</c:v>
                </c:pt>
                <c:pt idx="24" c:formatCode="m&quot;月&quot;d&quot;日&quot;;@">
                  <c:v>43641</c:v>
                </c:pt>
                <c:pt idx="25" c:formatCode="m&quot;月&quot;d&quot;日&quot;;@">
                  <c:v>43648</c:v>
                </c:pt>
                <c:pt idx="26" c:formatCode="m&quot;月&quot;d&quot;日&quot;;@">
                  <c:v>43655</c:v>
                </c:pt>
                <c:pt idx="27" c:formatCode="m&quot;月&quot;d&quot;日&quot;;@">
                  <c:v>43662</c:v>
                </c:pt>
                <c:pt idx="28" c:formatCode="m&quot;月&quot;d&quot;日&quot;;@">
                  <c:v>43669</c:v>
                </c:pt>
                <c:pt idx="29" c:formatCode="m&quot;月&quot;d&quot;日&quot;;@">
                  <c:v>43676</c:v>
                </c:pt>
                <c:pt idx="30" c:formatCode="m&quot;月&quot;d&quot;日&quot;;@">
                  <c:v>43683</c:v>
                </c:pt>
                <c:pt idx="31" c:formatCode="m&quot;月&quot;d&quot;日&quot;;@">
                  <c:v>43690</c:v>
                </c:pt>
                <c:pt idx="32" c:formatCode="m&quot;月&quot;d&quot;日&quot;;@">
                  <c:v>43697</c:v>
                </c:pt>
                <c:pt idx="33" c:formatCode="m&quot;月&quot;d&quot;日&quot;;@">
                  <c:v>43704</c:v>
                </c:pt>
                <c:pt idx="34" c:formatCode="m&quot;月&quot;d&quot;日&quot;;@">
                  <c:v>43711</c:v>
                </c:pt>
                <c:pt idx="35" c:formatCode="m&quot;月&quot;d&quot;日&quot;;@">
                  <c:v>43718</c:v>
                </c:pt>
                <c:pt idx="36" c:formatCode="m&quot;月&quot;d&quot;日&quot;;@">
                  <c:v>43725</c:v>
                </c:pt>
                <c:pt idx="37" c:formatCode="m&quot;月&quot;d&quot;日&quot;;@">
                  <c:v>43732</c:v>
                </c:pt>
                <c:pt idx="38" c:formatCode="m&quot;月&quot;d&quot;日&quot;;@">
                  <c:v>43740</c:v>
                </c:pt>
                <c:pt idx="39" c:formatCode="m&quot;月&quot;d&quot;日&quot;;@">
                  <c:v>43747</c:v>
                </c:pt>
                <c:pt idx="40" c:formatCode="m&quot;月&quot;d&quot;日&quot;;@">
                  <c:v>43754</c:v>
                </c:pt>
                <c:pt idx="41" c:formatCode="m&quot;月&quot;d&quot;日&quot;;@">
                  <c:v>43761</c:v>
                </c:pt>
                <c:pt idx="42" c:formatCode="m&quot;月&quot;d&quot;日&quot;;@">
                  <c:v>43768</c:v>
                </c:pt>
                <c:pt idx="43" c:formatCode="m&quot;月&quot;d&quot;日&quot;;@">
                  <c:v>43775</c:v>
                </c:pt>
                <c:pt idx="44" c:formatCode="m&quot;月&quot;d&quot;日&quot;;@">
                  <c:v>43782</c:v>
                </c:pt>
                <c:pt idx="45" c:formatCode="m&quot;月&quot;d&quot;日&quot;;@">
                  <c:v>43789</c:v>
                </c:pt>
                <c:pt idx="46" c:formatCode="m&quot;月&quot;d&quot;日&quot;;@">
                  <c:v>43796</c:v>
                </c:pt>
                <c:pt idx="47" c:formatCode="m&quot;月&quot;d&quot;日&quot;;@">
                  <c:v>43803</c:v>
                </c:pt>
                <c:pt idx="48" c:formatCode="m&quot;月&quot;d&quot;日&quot;;@">
                  <c:v>43810</c:v>
                </c:pt>
                <c:pt idx="49" c:formatCode="m&quot;月&quot;d&quot;日&quot;;@">
                  <c:v>43817</c:v>
                </c:pt>
                <c:pt idx="50" c:formatCode="m&quot;月&quot;d&quot;日&quot;;@">
                  <c:v>43824</c:v>
                </c:pt>
              </c:numCache>
            </c:numRef>
          </c:cat>
          <c:val>
            <c:numRef>
              <c:f>出栏价!$I$3:$I$53</c:f>
              <c:numCache>
                <c:formatCode>0.00_);[Red]\(0.00\)</c:formatCode>
                <c:ptCount val="51"/>
                <c:pt idx="0">
                  <c:v>15.47</c:v>
                </c:pt>
                <c:pt idx="1">
                  <c:v>14.76</c:v>
                </c:pt>
                <c:pt idx="2">
                  <c:v>14.28</c:v>
                </c:pt>
                <c:pt idx="3">
                  <c:v>14.07</c:v>
                </c:pt>
                <c:pt idx="4">
                  <c:v>14.59</c:v>
                </c:pt>
                <c:pt idx="5">
                  <c:v>15.49</c:v>
                </c:pt>
                <c:pt idx="6">
                  <c:v>15.83</c:v>
                </c:pt>
                <c:pt idx="7">
                  <c:v>15.7</c:v>
                </c:pt>
                <c:pt idx="8">
                  <c:v>15.14</c:v>
                </c:pt>
                <c:pt idx="9">
                  <c:v>15.12</c:v>
                </c:pt>
                <c:pt idx="10">
                  <c:v>14.88</c:v>
                </c:pt>
                <c:pt idx="11">
                  <c:v>14.55</c:v>
                </c:pt>
                <c:pt idx="12">
                  <c:v>14.28</c:v>
                </c:pt>
                <c:pt idx="13">
                  <c:v>14.05</c:v>
                </c:pt>
                <c:pt idx="14">
                  <c:v>14.74</c:v>
                </c:pt>
                <c:pt idx="15">
                  <c:v>14.62</c:v>
                </c:pt>
                <c:pt idx="16">
                  <c:v>14.34</c:v>
                </c:pt>
                <c:pt idx="17">
                  <c:v>14.21</c:v>
                </c:pt>
                <c:pt idx="18">
                  <c:v>14.18</c:v>
                </c:pt>
                <c:pt idx="19">
                  <c:v>14.44</c:v>
                </c:pt>
                <c:pt idx="20">
                  <c:v>14.33</c:v>
                </c:pt>
                <c:pt idx="21">
                  <c:v>14.27</c:v>
                </c:pt>
                <c:pt idx="22">
                  <c:v>14.37</c:v>
                </c:pt>
                <c:pt idx="23">
                  <c:v>13.92</c:v>
                </c:pt>
                <c:pt idx="24">
                  <c:v>13.94</c:v>
                </c:pt>
                <c:pt idx="25">
                  <c:v>14</c:v>
                </c:pt>
                <c:pt idx="26">
                  <c:v>13.98</c:v>
                </c:pt>
                <c:pt idx="27">
                  <c:v>14.68</c:v>
                </c:pt>
                <c:pt idx="28">
                  <c:v>16.48</c:v>
                </c:pt>
                <c:pt idx="29">
                  <c:v>17.37</c:v>
                </c:pt>
                <c:pt idx="30">
                  <c:v>17.1</c:v>
                </c:pt>
                <c:pt idx="31">
                  <c:v>17.03</c:v>
                </c:pt>
                <c:pt idx="32">
                  <c:v>17.12</c:v>
                </c:pt>
                <c:pt idx="33">
                  <c:v>16.76</c:v>
                </c:pt>
                <c:pt idx="34">
                  <c:v>16.49</c:v>
                </c:pt>
                <c:pt idx="35">
                  <c:v>16.37</c:v>
                </c:pt>
                <c:pt idx="36">
                  <c:v>16.07</c:v>
                </c:pt>
                <c:pt idx="37">
                  <c:v>15.86</c:v>
                </c:pt>
                <c:pt idx="38">
                  <c:v>15.45</c:v>
                </c:pt>
                <c:pt idx="39">
                  <c:v>15.46</c:v>
                </c:pt>
                <c:pt idx="40">
                  <c:v>15.11</c:v>
                </c:pt>
                <c:pt idx="41">
                  <c:v>14.5</c:v>
                </c:pt>
                <c:pt idx="42">
                  <c:v>14.74</c:v>
                </c:pt>
                <c:pt idx="43">
                  <c:v>14.37</c:v>
                </c:pt>
                <c:pt idx="44">
                  <c:v>14.83</c:v>
                </c:pt>
                <c:pt idx="45">
                  <c:v>14.38</c:v>
                </c:pt>
                <c:pt idx="46">
                  <c:v>14.17</c:v>
                </c:pt>
                <c:pt idx="47">
                  <c:v>14.12</c:v>
                </c:pt>
                <c:pt idx="48">
                  <c:v>14.67</c:v>
                </c:pt>
                <c:pt idx="49">
                  <c:v>14.44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出栏价!$J$2</c:f>
              <c:strCache>
                <c:ptCount val="1"/>
                <c:pt idx="0">
                  <c:v>2024年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出栏价!$D$3:$D$53</c:f>
              <c:numCache>
                <c:formatCode>m"月"d"日";@</c:formatCode>
                <c:ptCount val="51"/>
                <c:pt idx="0" c:formatCode="m&quot;月&quot;d&quot;日&quot;;@">
                  <c:v>43467</c:v>
                </c:pt>
                <c:pt idx="1" c:formatCode="m&quot;月&quot;d&quot;日&quot;;@">
                  <c:v>43474</c:v>
                </c:pt>
                <c:pt idx="2" c:formatCode="m&quot;月&quot;d&quot;日&quot;;@">
                  <c:v>43481</c:v>
                </c:pt>
                <c:pt idx="3" c:formatCode="m&quot;月&quot;d&quot;日&quot;;@">
                  <c:v>43488</c:v>
                </c:pt>
                <c:pt idx="4" c:formatCode="m&quot;月&quot;d&quot;日&quot;;@">
                  <c:v>43494</c:v>
                </c:pt>
                <c:pt idx="5" c:formatCode="m&quot;月&quot;d&quot;日&quot;;@">
                  <c:v>43501</c:v>
                </c:pt>
                <c:pt idx="6" c:formatCode="m&quot;月&quot;d&quot;日&quot;;@">
                  <c:v>43508</c:v>
                </c:pt>
                <c:pt idx="7" c:formatCode="m&quot;月&quot;d&quot;日&quot;;@">
                  <c:v>43522</c:v>
                </c:pt>
                <c:pt idx="8" c:formatCode="m&quot;月&quot;d&quot;日&quot;;@">
                  <c:v>43529</c:v>
                </c:pt>
                <c:pt idx="9" c:formatCode="m&quot;月&quot;d&quot;日&quot;;@">
                  <c:v>43536</c:v>
                </c:pt>
                <c:pt idx="10" c:formatCode="m&quot;月&quot;d&quot;日&quot;;@">
                  <c:v>43543</c:v>
                </c:pt>
                <c:pt idx="11" c:formatCode="m&quot;月&quot;d&quot;日&quot;;@">
                  <c:v>43550</c:v>
                </c:pt>
                <c:pt idx="12" c:formatCode="m&quot;月&quot;d&quot;日&quot;;@">
                  <c:v>43557</c:v>
                </c:pt>
                <c:pt idx="13" c:formatCode="m&quot;月&quot;d&quot;日&quot;;@">
                  <c:v>43564</c:v>
                </c:pt>
                <c:pt idx="14" c:formatCode="m&quot;月&quot;d&quot;日&quot;;@">
                  <c:v>43571</c:v>
                </c:pt>
                <c:pt idx="15" c:formatCode="m&quot;月&quot;d&quot;日&quot;;@">
                  <c:v>43578</c:v>
                </c:pt>
                <c:pt idx="16" c:formatCode="m&quot;月&quot;d&quot;日&quot;;@">
                  <c:v>43585</c:v>
                </c:pt>
                <c:pt idx="17" c:formatCode="m&quot;月&quot;d&quot;日&quot;;@">
                  <c:v>43592</c:v>
                </c:pt>
                <c:pt idx="18" c:formatCode="m&quot;月&quot;d&quot;日&quot;;@">
                  <c:v>43599</c:v>
                </c:pt>
                <c:pt idx="19" c:formatCode="m&quot;月&quot;d&quot;日&quot;;@">
                  <c:v>43606</c:v>
                </c:pt>
                <c:pt idx="20" c:formatCode="m&quot;月&quot;d&quot;日&quot;;@">
                  <c:v>43613</c:v>
                </c:pt>
                <c:pt idx="21" c:formatCode="m&quot;月&quot;d&quot;日&quot;;@">
                  <c:v>43620</c:v>
                </c:pt>
                <c:pt idx="22" c:formatCode="m&quot;月&quot;d&quot;日&quot;;@">
                  <c:v>43627</c:v>
                </c:pt>
                <c:pt idx="23" c:formatCode="m&quot;月&quot;d&quot;日&quot;;@">
                  <c:v>43634</c:v>
                </c:pt>
                <c:pt idx="24" c:formatCode="m&quot;月&quot;d&quot;日&quot;;@">
                  <c:v>43641</c:v>
                </c:pt>
                <c:pt idx="25" c:formatCode="m&quot;月&quot;d&quot;日&quot;;@">
                  <c:v>43648</c:v>
                </c:pt>
                <c:pt idx="26" c:formatCode="m&quot;月&quot;d&quot;日&quot;;@">
                  <c:v>43655</c:v>
                </c:pt>
                <c:pt idx="27" c:formatCode="m&quot;月&quot;d&quot;日&quot;;@">
                  <c:v>43662</c:v>
                </c:pt>
                <c:pt idx="28" c:formatCode="m&quot;月&quot;d&quot;日&quot;;@">
                  <c:v>43669</c:v>
                </c:pt>
                <c:pt idx="29" c:formatCode="m&quot;月&quot;d&quot;日&quot;;@">
                  <c:v>43676</c:v>
                </c:pt>
                <c:pt idx="30" c:formatCode="m&quot;月&quot;d&quot;日&quot;;@">
                  <c:v>43683</c:v>
                </c:pt>
                <c:pt idx="31" c:formatCode="m&quot;月&quot;d&quot;日&quot;;@">
                  <c:v>43690</c:v>
                </c:pt>
                <c:pt idx="32" c:formatCode="m&quot;月&quot;d&quot;日&quot;;@">
                  <c:v>43697</c:v>
                </c:pt>
                <c:pt idx="33" c:formatCode="m&quot;月&quot;d&quot;日&quot;;@">
                  <c:v>43704</c:v>
                </c:pt>
                <c:pt idx="34" c:formatCode="m&quot;月&quot;d&quot;日&quot;;@">
                  <c:v>43711</c:v>
                </c:pt>
                <c:pt idx="35" c:formatCode="m&quot;月&quot;d&quot;日&quot;;@">
                  <c:v>43718</c:v>
                </c:pt>
                <c:pt idx="36" c:formatCode="m&quot;月&quot;d&quot;日&quot;;@">
                  <c:v>43725</c:v>
                </c:pt>
                <c:pt idx="37" c:formatCode="m&quot;月&quot;d&quot;日&quot;;@">
                  <c:v>43732</c:v>
                </c:pt>
                <c:pt idx="38" c:formatCode="m&quot;月&quot;d&quot;日&quot;;@">
                  <c:v>43740</c:v>
                </c:pt>
                <c:pt idx="39" c:formatCode="m&quot;月&quot;d&quot;日&quot;;@">
                  <c:v>43747</c:v>
                </c:pt>
                <c:pt idx="40" c:formatCode="m&quot;月&quot;d&quot;日&quot;;@">
                  <c:v>43754</c:v>
                </c:pt>
                <c:pt idx="41" c:formatCode="m&quot;月&quot;d&quot;日&quot;;@">
                  <c:v>43761</c:v>
                </c:pt>
                <c:pt idx="42" c:formatCode="m&quot;月&quot;d&quot;日&quot;;@">
                  <c:v>43768</c:v>
                </c:pt>
                <c:pt idx="43" c:formatCode="m&quot;月&quot;d&quot;日&quot;;@">
                  <c:v>43775</c:v>
                </c:pt>
                <c:pt idx="44" c:formatCode="m&quot;月&quot;d&quot;日&quot;;@">
                  <c:v>43782</c:v>
                </c:pt>
                <c:pt idx="45" c:formatCode="m&quot;月&quot;d&quot;日&quot;;@">
                  <c:v>43789</c:v>
                </c:pt>
                <c:pt idx="46" c:formatCode="m&quot;月&quot;d&quot;日&quot;;@">
                  <c:v>43796</c:v>
                </c:pt>
                <c:pt idx="47" c:formatCode="m&quot;月&quot;d&quot;日&quot;;@">
                  <c:v>43803</c:v>
                </c:pt>
                <c:pt idx="48" c:formatCode="m&quot;月&quot;d&quot;日&quot;;@">
                  <c:v>43810</c:v>
                </c:pt>
                <c:pt idx="49" c:formatCode="m&quot;月&quot;d&quot;日&quot;;@">
                  <c:v>43817</c:v>
                </c:pt>
                <c:pt idx="50" c:formatCode="m&quot;月&quot;d&quot;日&quot;;@">
                  <c:v>43824</c:v>
                </c:pt>
              </c:numCache>
            </c:numRef>
          </c:cat>
          <c:val>
            <c:numRef>
              <c:f>出栏价!$J$3:$J$53</c:f>
              <c:numCache>
                <c:formatCode>0.00_);[Red]\(0.00\)</c:formatCode>
                <c:ptCount val="51"/>
                <c:pt idx="0">
                  <c:v>14.23</c:v>
                </c:pt>
                <c:pt idx="1">
                  <c:v>13.81</c:v>
                </c:pt>
                <c:pt idx="2">
                  <c:v>13.69</c:v>
                </c:pt>
                <c:pt idx="3">
                  <c:v>14.27</c:v>
                </c:pt>
                <c:pt idx="4">
                  <c:v>15.6</c:v>
                </c:pt>
                <c:pt idx="6">
                  <c:v>14.22</c:v>
                </c:pt>
                <c:pt idx="7">
                  <c:v>13.77</c:v>
                </c:pt>
                <c:pt idx="8">
                  <c:v>14.19</c:v>
                </c:pt>
                <c:pt idx="9">
                  <c:v>14.46</c:v>
                </c:pt>
                <c:pt idx="10">
                  <c:v>14.77</c:v>
                </c:pt>
                <c:pt idx="11">
                  <c:v>15.13</c:v>
                </c:pt>
                <c:pt idx="12">
                  <c:v>15.19</c:v>
                </c:pt>
                <c:pt idx="13">
                  <c:v>15.18</c:v>
                </c:pt>
                <c:pt idx="14">
                  <c:v>15.11</c:v>
                </c:pt>
                <c:pt idx="15">
                  <c:v>15.05</c:v>
                </c:pt>
                <c:pt idx="16">
                  <c:v>14.89</c:v>
                </c:pt>
                <c:pt idx="17">
                  <c:v>14.96</c:v>
                </c:pt>
                <c:pt idx="18">
                  <c:v>15.19</c:v>
                </c:pt>
                <c:pt idx="19">
                  <c:v>15.88</c:v>
                </c:pt>
                <c:pt idx="20">
                  <c:v>17.11</c:v>
                </c:pt>
                <c:pt idx="21">
                  <c:v>18.16</c:v>
                </c:pt>
                <c:pt idx="22">
                  <c:v>18.83</c:v>
                </c:pt>
                <c:pt idx="23">
                  <c:v>18.56</c:v>
                </c:pt>
                <c:pt idx="24">
                  <c:v>17.68</c:v>
                </c:pt>
                <c:pt idx="25">
                  <c:v>18.05</c:v>
                </c:pt>
                <c:pt idx="26">
                  <c:v>18.62</c:v>
                </c:pt>
                <c:pt idx="27">
                  <c:v>19.02</c:v>
                </c:pt>
                <c:pt idx="28">
                  <c:v>19.24</c:v>
                </c:pt>
                <c:pt idx="29">
                  <c:v>19.46</c:v>
                </c:pt>
                <c:pt idx="30">
                  <c:v>20.33</c:v>
                </c:pt>
                <c:pt idx="31">
                  <c:v>21.07</c:v>
                </c:pt>
                <c:pt idx="32">
                  <c:v>20.58</c:v>
                </c:pt>
                <c:pt idx="33">
                  <c:v>19.72</c:v>
                </c:pt>
                <c:pt idx="34">
                  <c:v>19.79</c:v>
                </c:pt>
                <c:pt idx="35">
                  <c:v>19.68</c:v>
                </c:pt>
                <c:pt idx="36">
                  <c:v>19.01</c:v>
                </c:pt>
                <c:pt idx="37">
                  <c:v>18.2</c:v>
                </c:pt>
                <c:pt idx="39">
                  <c:v>17.64</c:v>
                </c:pt>
                <c:pt idx="40">
                  <c:v>17.99</c:v>
                </c:pt>
                <c:pt idx="41">
                  <c:v>17.41</c:v>
                </c:pt>
                <c:pt idx="42">
                  <c:v>17.35</c:v>
                </c:pt>
                <c:pt idx="43">
                  <c:v>17.13</c:v>
                </c:pt>
                <c:pt idx="44">
                  <c:v>16.63</c:v>
                </c:pt>
                <c:pt idx="45">
                  <c:v>16.15</c:v>
                </c:pt>
                <c:pt idx="46">
                  <c:v>16.49</c:v>
                </c:pt>
                <c:pt idx="47">
                  <c:v>16.17</c:v>
                </c:pt>
                <c:pt idx="48">
                  <c:v>15.69</c:v>
                </c:pt>
                <c:pt idx="49">
                  <c:v>15.76</c:v>
                </c:pt>
                <c:pt idx="50">
                  <c:v>15.42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出栏价!$K$2</c:f>
              <c:strCache>
                <c:ptCount val="1"/>
                <c:pt idx="0">
                  <c:v>2025年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出栏价!$D$3:$D$53</c:f>
              <c:numCache>
                <c:formatCode>m"月"d"日";@</c:formatCode>
                <c:ptCount val="51"/>
                <c:pt idx="0" c:formatCode="m&quot;月&quot;d&quot;日&quot;;@">
                  <c:v>43467</c:v>
                </c:pt>
                <c:pt idx="1" c:formatCode="m&quot;月&quot;d&quot;日&quot;;@">
                  <c:v>43474</c:v>
                </c:pt>
                <c:pt idx="2" c:formatCode="m&quot;月&quot;d&quot;日&quot;;@">
                  <c:v>43481</c:v>
                </c:pt>
                <c:pt idx="3" c:formatCode="m&quot;月&quot;d&quot;日&quot;;@">
                  <c:v>43488</c:v>
                </c:pt>
                <c:pt idx="4" c:formatCode="m&quot;月&quot;d&quot;日&quot;;@">
                  <c:v>43494</c:v>
                </c:pt>
                <c:pt idx="5" c:formatCode="m&quot;月&quot;d&quot;日&quot;;@">
                  <c:v>43501</c:v>
                </c:pt>
                <c:pt idx="6" c:formatCode="m&quot;月&quot;d&quot;日&quot;;@">
                  <c:v>43508</c:v>
                </c:pt>
                <c:pt idx="7" c:formatCode="m&quot;月&quot;d&quot;日&quot;;@">
                  <c:v>43522</c:v>
                </c:pt>
                <c:pt idx="8" c:formatCode="m&quot;月&quot;d&quot;日&quot;;@">
                  <c:v>43529</c:v>
                </c:pt>
                <c:pt idx="9" c:formatCode="m&quot;月&quot;d&quot;日&quot;;@">
                  <c:v>43536</c:v>
                </c:pt>
                <c:pt idx="10" c:formatCode="m&quot;月&quot;d&quot;日&quot;;@">
                  <c:v>43543</c:v>
                </c:pt>
                <c:pt idx="11" c:formatCode="m&quot;月&quot;d&quot;日&quot;;@">
                  <c:v>43550</c:v>
                </c:pt>
                <c:pt idx="12" c:formatCode="m&quot;月&quot;d&quot;日&quot;;@">
                  <c:v>43557</c:v>
                </c:pt>
                <c:pt idx="13" c:formatCode="m&quot;月&quot;d&quot;日&quot;;@">
                  <c:v>43564</c:v>
                </c:pt>
                <c:pt idx="14" c:formatCode="m&quot;月&quot;d&quot;日&quot;;@">
                  <c:v>43571</c:v>
                </c:pt>
                <c:pt idx="15" c:formatCode="m&quot;月&quot;d&quot;日&quot;;@">
                  <c:v>43578</c:v>
                </c:pt>
                <c:pt idx="16" c:formatCode="m&quot;月&quot;d&quot;日&quot;;@">
                  <c:v>43585</c:v>
                </c:pt>
                <c:pt idx="17" c:formatCode="m&quot;月&quot;d&quot;日&quot;;@">
                  <c:v>43592</c:v>
                </c:pt>
                <c:pt idx="18" c:formatCode="m&quot;月&quot;d&quot;日&quot;;@">
                  <c:v>43599</c:v>
                </c:pt>
                <c:pt idx="19" c:formatCode="m&quot;月&quot;d&quot;日&quot;;@">
                  <c:v>43606</c:v>
                </c:pt>
                <c:pt idx="20" c:formatCode="m&quot;月&quot;d&quot;日&quot;;@">
                  <c:v>43613</c:v>
                </c:pt>
                <c:pt idx="21" c:formatCode="m&quot;月&quot;d&quot;日&quot;;@">
                  <c:v>43620</c:v>
                </c:pt>
                <c:pt idx="22" c:formatCode="m&quot;月&quot;d&quot;日&quot;;@">
                  <c:v>43627</c:v>
                </c:pt>
                <c:pt idx="23" c:formatCode="m&quot;月&quot;d&quot;日&quot;;@">
                  <c:v>43634</c:v>
                </c:pt>
                <c:pt idx="24" c:formatCode="m&quot;月&quot;d&quot;日&quot;;@">
                  <c:v>43641</c:v>
                </c:pt>
                <c:pt idx="25" c:formatCode="m&quot;月&quot;d&quot;日&quot;;@">
                  <c:v>43648</c:v>
                </c:pt>
                <c:pt idx="26" c:formatCode="m&quot;月&quot;d&quot;日&quot;;@">
                  <c:v>43655</c:v>
                </c:pt>
                <c:pt idx="27" c:formatCode="m&quot;月&quot;d&quot;日&quot;;@">
                  <c:v>43662</c:v>
                </c:pt>
                <c:pt idx="28" c:formatCode="m&quot;月&quot;d&quot;日&quot;;@">
                  <c:v>43669</c:v>
                </c:pt>
                <c:pt idx="29" c:formatCode="m&quot;月&quot;d&quot;日&quot;;@">
                  <c:v>43676</c:v>
                </c:pt>
                <c:pt idx="30" c:formatCode="m&quot;月&quot;d&quot;日&quot;;@">
                  <c:v>43683</c:v>
                </c:pt>
                <c:pt idx="31" c:formatCode="m&quot;月&quot;d&quot;日&quot;;@">
                  <c:v>43690</c:v>
                </c:pt>
                <c:pt idx="32" c:formatCode="m&quot;月&quot;d&quot;日&quot;;@">
                  <c:v>43697</c:v>
                </c:pt>
                <c:pt idx="33" c:formatCode="m&quot;月&quot;d&quot;日&quot;;@">
                  <c:v>43704</c:v>
                </c:pt>
                <c:pt idx="34" c:formatCode="m&quot;月&quot;d&quot;日&quot;;@">
                  <c:v>43711</c:v>
                </c:pt>
                <c:pt idx="35" c:formatCode="m&quot;月&quot;d&quot;日&quot;;@">
                  <c:v>43718</c:v>
                </c:pt>
                <c:pt idx="36" c:formatCode="m&quot;月&quot;d&quot;日&quot;;@">
                  <c:v>43725</c:v>
                </c:pt>
                <c:pt idx="37" c:formatCode="m&quot;月&quot;d&quot;日&quot;;@">
                  <c:v>43732</c:v>
                </c:pt>
                <c:pt idx="38" c:formatCode="m&quot;月&quot;d&quot;日&quot;;@">
                  <c:v>43740</c:v>
                </c:pt>
                <c:pt idx="39" c:formatCode="m&quot;月&quot;d&quot;日&quot;;@">
                  <c:v>43747</c:v>
                </c:pt>
                <c:pt idx="40" c:formatCode="m&quot;月&quot;d&quot;日&quot;;@">
                  <c:v>43754</c:v>
                </c:pt>
                <c:pt idx="41" c:formatCode="m&quot;月&quot;d&quot;日&quot;;@">
                  <c:v>43761</c:v>
                </c:pt>
                <c:pt idx="42" c:formatCode="m&quot;月&quot;d&quot;日&quot;;@">
                  <c:v>43768</c:v>
                </c:pt>
                <c:pt idx="43" c:formatCode="m&quot;月&quot;d&quot;日&quot;;@">
                  <c:v>43775</c:v>
                </c:pt>
                <c:pt idx="44" c:formatCode="m&quot;月&quot;d&quot;日&quot;;@">
                  <c:v>43782</c:v>
                </c:pt>
                <c:pt idx="45" c:formatCode="m&quot;月&quot;d&quot;日&quot;;@">
                  <c:v>43789</c:v>
                </c:pt>
                <c:pt idx="46" c:formatCode="m&quot;月&quot;d&quot;日&quot;;@">
                  <c:v>43796</c:v>
                </c:pt>
                <c:pt idx="47" c:formatCode="m&quot;月&quot;d&quot;日&quot;;@">
                  <c:v>43803</c:v>
                </c:pt>
                <c:pt idx="48" c:formatCode="m&quot;月&quot;d&quot;日&quot;;@">
                  <c:v>43810</c:v>
                </c:pt>
                <c:pt idx="49" c:formatCode="m&quot;月&quot;d&quot;日&quot;;@">
                  <c:v>43817</c:v>
                </c:pt>
                <c:pt idx="50" c:formatCode="m&quot;月&quot;d&quot;日&quot;;@">
                  <c:v>43824</c:v>
                </c:pt>
              </c:numCache>
            </c:numRef>
          </c:cat>
          <c:val>
            <c:numRef>
              <c:f>出栏价!$K$3:$K$53</c:f>
              <c:numCache>
                <c:formatCode>0.00_);[Red]\(0.00\)</c:formatCode>
                <c:ptCount val="51"/>
                <c:pt idx="0">
                  <c:v>15.8</c:v>
                </c:pt>
                <c:pt idx="1">
                  <c:v>16.14</c:v>
                </c:pt>
                <c:pt idx="2">
                  <c:v>15.73</c:v>
                </c:pt>
                <c:pt idx="3">
                  <c:v>15.4</c:v>
                </c:pt>
                <c:pt idx="4">
                  <c:v>15.62</c:v>
                </c:pt>
                <c:pt idx="5">
                  <c:v>14.61</c:v>
                </c:pt>
                <c:pt idx="6">
                  <c:v>14.81</c:v>
                </c:pt>
                <c:pt idx="7">
                  <c:v>14.7</c:v>
                </c:pt>
                <c:pt idx="8">
                  <c:v>14.56</c:v>
                </c:pt>
                <c:pt idx="9">
                  <c:v>14.57</c:v>
                </c:pt>
                <c:pt idx="10">
                  <c:v>14.65</c:v>
                </c:pt>
                <c:pt idx="11">
                  <c:v>14.66</c:v>
                </c:pt>
                <c:pt idx="12">
                  <c:v>14.6</c:v>
                </c:pt>
                <c:pt idx="13">
                  <c:v>14.6</c:v>
                </c:pt>
                <c:pt idx="14">
                  <c:v>14.83</c:v>
                </c:pt>
                <c:pt idx="15">
                  <c:v>14.96</c:v>
                </c:pt>
                <c:pt idx="16">
                  <c:v>14.79</c:v>
                </c:pt>
                <c:pt idx="17">
                  <c:v>14.81</c:v>
                </c:pt>
                <c:pt idx="18">
                  <c:v>14.77</c:v>
                </c:pt>
                <c:pt idx="19">
                  <c:v>14.51</c:v>
                </c:pt>
                <c:pt idx="20">
                  <c:v>14.41</c:v>
                </c:pt>
                <c:pt idx="21">
                  <c:v>14.38</c:v>
                </c:pt>
                <c:pt idx="22">
                  <c:v>14</c:v>
                </c:pt>
                <c:pt idx="23">
                  <c:v>14.17</c:v>
                </c:pt>
                <c:pt idx="24">
                  <c:v>14.4</c:v>
                </c:pt>
                <c:pt idx="25">
                  <c:v>15</c:v>
                </c:pt>
                <c:pt idx="26">
                  <c:v>15.02</c:v>
                </c:pt>
                <c:pt idx="27">
                  <c:v>14.6</c:v>
                </c:pt>
                <c:pt idx="28">
                  <c:v>14.31</c:v>
                </c:pt>
                <c:pt idx="29">
                  <c:v>14.08</c:v>
                </c:pt>
                <c:pt idx="30">
                  <c:v>14.02</c:v>
                </c:pt>
                <c:pt idx="31">
                  <c:v>13.74</c:v>
                </c:pt>
                <c:pt idx="32">
                  <c:v>13.71</c:v>
                </c:pt>
                <c:pt idx="33">
                  <c:v>13.7</c:v>
                </c:pt>
                <c:pt idx="34">
                  <c:v>13.87</c:v>
                </c:pt>
                <c:pt idx="35">
                  <c:v>13.52</c:v>
                </c:pt>
                <c:pt idx="36">
                  <c:v>13.15</c:v>
                </c:pt>
                <c:pt idx="37">
                  <c:v>12.67</c:v>
                </c:pt>
                <c:pt idx="39">
                  <c:v>11.89</c:v>
                </c:pt>
                <c:pt idx="40">
                  <c:v>11.02</c:v>
                </c:pt>
                <c:pt idx="41">
                  <c:v>11.41</c:v>
                </c:pt>
                <c:pt idx="42">
                  <c:v>12.22</c:v>
                </c:pt>
                <c:pt idx="43">
                  <c:v>12.16</c:v>
                </c:pt>
                <c:pt idx="44">
                  <c:v>11.85</c:v>
                </c:pt>
                <c:pt idx="45">
                  <c:v>11.6</c:v>
                </c:pt>
                <c:pt idx="46">
                  <c:v>11.48</c:v>
                </c:pt>
                <c:pt idx="47">
                  <c:v>11.3</c:v>
                </c:pt>
                <c:pt idx="48">
                  <c:v>11.27</c:v>
                </c:pt>
                <c:pt idx="49">
                  <c:v>11.53</c:v>
                </c:pt>
                <c:pt idx="50">
                  <c:v>11.5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出栏价!$L$2</c:f>
              <c:strCache>
                <c:ptCount val="1"/>
                <c:pt idx="0">
                  <c:v>2026年</c:v>
                </c:pt>
              </c:strCache>
            </c:strRef>
          </c:tx>
          <c:spPr>
            <a:ln w="28575" cap="rnd">
              <a:solidFill>
                <a:srgbClr val="E24D4E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出栏价!$D$3:$D$53</c:f>
              <c:numCache>
                <c:formatCode>m"月"d"日";@</c:formatCode>
                <c:ptCount val="51"/>
                <c:pt idx="0" c:formatCode="m&quot;月&quot;d&quot;日&quot;;@">
                  <c:v>43467</c:v>
                </c:pt>
                <c:pt idx="1" c:formatCode="m&quot;月&quot;d&quot;日&quot;;@">
                  <c:v>43474</c:v>
                </c:pt>
                <c:pt idx="2" c:formatCode="m&quot;月&quot;d&quot;日&quot;;@">
                  <c:v>43481</c:v>
                </c:pt>
                <c:pt idx="3" c:formatCode="m&quot;月&quot;d&quot;日&quot;;@">
                  <c:v>43488</c:v>
                </c:pt>
                <c:pt idx="4" c:formatCode="m&quot;月&quot;d&quot;日&quot;;@">
                  <c:v>43494</c:v>
                </c:pt>
                <c:pt idx="5" c:formatCode="m&quot;月&quot;d&quot;日&quot;;@">
                  <c:v>43501</c:v>
                </c:pt>
                <c:pt idx="6" c:formatCode="m&quot;月&quot;d&quot;日&quot;;@">
                  <c:v>43508</c:v>
                </c:pt>
                <c:pt idx="7" c:formatCode="m&quot;月&quot;d&quot;日&quot;;@">
                  <c:v>43522</c:v>
                </c:pt>
                <c:pt idx="8" c:formatCode="m&quot;月&quot;d&quot;日&quot;;@">
                  <c:v>43529</c:v>
                </c:pt>
                <c:pt idx="9" c:formatCode="m&quot;月&quot;d&quot;日&quot;;@">
                  <c:v>43536</c:v>
                </c:pt>
                <c:pt idx="10" c:formatCode="m&quot;月&quot;d&quot;日&quot;;@">
                  <c:v>43543</c:v>
                </c:pt>
                <c:pt idx="11" c:formatCode="m&quot;月&quot;d&quot;日&quot;;@">
                  <c:v>43550</c:v>
                </c:pt>
                <c:pt idx="12" c:formatCode="m&quot;月&quot;d&quot;日&quot;;@">
                  <c:v>43557</c:v>
                </c:pt>
                <c:pt idx="13" c:formatCode="m&quot;月&quot;d&quot;日&quot;;@">
                  <c:v>43564</c:v>
                </c:pt>
                <c:pt idx="14" c:formatCode="m&quot;月&quot;d&quot;日&quot;;@">
                  <c:v>43571</c:v>
                </c:pt>
                <c:pt idx="15" c:formatCode="m&quot;月&quot;d&quot;日&quot;;@">
                  <c:v>43578</c:v>
                </c:pt>
                <c:pt idx="16" c:formatCode="m&quot;月&quot;d&quot;日&quot;;@">
                  <c:v>43585</c:v>
                </c:pt>
                <c:pt idx="17" c:formatCode="m&quot;月&quot;d&quot;日&quot;;@">
                  <c:v>43592</c:v>
                </c:pt>
                <c:pt idx="18" c:formatCode="m&quot;月&quot;d&quot;日&quot;;@">
                  <c:v>43599</c:v>
                </c:pt>
                <c:pt idx="19" c:formatCode="m&quot;月&quot;d&quot;日&quot;;@">
                  <c:v>43606</c:v>
                </c:pt>
                <c:pt idx="20" c:formatCode="m&quot;月&quot;d&quot;日&quot;;@">
                  <c:v>43613</c:v>
                </c:pt>
                <c:pt idx="21" c:formatCode="m&quot;月&quot;d&quot;日&quot;;@">
                  <c:v>43620</c:v>
                </c:pt>
                <c:pt idx="22" c:formatCode="m&quot;月&quot;d&quot;日&quot;;@">
                  <c:v>43627</c:v>
                </c:pt>
                <c:pt idx="23" c:formatCode="m&quot;月&quot;d&quot;日&quot;;@">
                  <c:v>43634</c:v>
                </c:pt>
                <c:pt idx="24" c:formatCode="m&quot;月&quot;d&quot;日&quot;;@">
                  <c:v>43641</c:v>
                </c:pt>
                <c:pt idx="25" c:formatCode="m&quot;月&quot;d&quot;日&quot;;@">
                  <c:v>43648</c:v>
                </c:pt>
                <c:pt idx="26" c:formatCode="m&quot;月&quot;d&quot;日&quot;;@">
                  <c:v>43655</c:v>
                </c:pt>
                <c:pt idx="27" c:formatCode="m&quot;月&quot;d&quot;日&quot;;@">
                  <c:v>43662</c:v>
                </c:pt>
                <c:pt idx="28" c:formatCode="m&quot;月&quot;d&quot;日&quot;;@">
                  <c:v>43669</c:v>
                </c:pt>
                <c:pt idx="29" c:formatCode="m&quot;月&quot;d&quot;日&quot;;@">
                  <c:v>43676</c:v>
                </c:pt>
                <c:pt idx="30" c:formatCode="m&quot;月&quot;d&quot;日&quot;;@">
                  <c:v>43683</c:v>
                </c:pt>
                <c:pt idx="31" c:formatCode="m&quot;月&quot;d&quot;日&quot;;@">
                  <c:v>43690</c:v>
                </c:pt>
                <c:pt idx="32" c:formatCode="m&quot;月&quot;d&quot;日&quot;;@">
                  <c:v>43697</c:v>
                </c:pt>
                <c:pt idx="33" c:formatCode="m&quot;月&quot;d&quot;日&quot;;@">
                  <c:v>43704</c:v>
                </c:pt>
                <c:pt idx="34" c:formatCode="m&quot;月&quot;d&quot;日&quot;;@">
                  <c:v>43711</c:v>
                </c:pt>
                <c:pt idx="35" c:formatCode="m&quot;月&quot;d&quot;日&quot;;@">
                  <c:v>43718</c:v>
                </c:pt>
                <c:pt idx="36" c:formatCode="m&quot;月&quot;d&quot;日&quot;;@">
                  <c:v>43725</c:v>
                </c:pt>
                <c:pt idx="37" c:formatCode="m&quot;月&quot;d&quot;日&quot;;@">
                  <c:v>43732</c:v>
                </c:pt>
                <c:pt idx="38" c:formatCode="m&quot;月&quot;d&quot;日&quot;;@">
                  <c:v>43740</c:v>
                </c:pt>
                <c:pt idx="39" c:formatCode="m&quot;月&quot;d&quot;日&quot;;@">
                  <c:v>43747</c:v>
                </c:pt>
                <c:pt idx="40" c:formatCode="m&quot;月&quot;d&quot;日&quot;;@">
                  <c:v>43754</c:v>
                </c:pt>
                <c:pt idx="41" c:formatCode="m&quot;月&quot;d&quot;日&quot;;@">
                  <c:v>43761</c:v>
                </c:pt>
                <c:pt idx="42" c:formatCode="m&quot;月&quot;d&quot;日&quot;;@">
                  <c:v>43768</c:v>
                </c:pt>
                <c:pt idx="43" c:formatCode="m&quot;月&quot;d&quot;日&quot;;@">
                  <c:v>43775</c:v>
                </c:pt>
                <c:pt idx="44" c:formatCode="m&quot;月&quot;d&quot;日&quot;;@">
                  <c:v>43782</c:v>
                </c:pt>
                <c:pt idx="45" c:formatCode="m&quot;月&quot;d&quot;日&quot;;@">
                  <c:v>43789</c:v>
                </c:pt>
                <c:pt idx="46" c:formatCode="m&quot;月&quot;d&quot;日&quot;;@">
                  <c:v>43796</c:v>
                </c:pt>
                <c:pt idx="47" c:formatCode="m&quot;月&quot;d&quot;日&quot;;@">
                  <c:v>43803</c:v>
                </c:pt>
                <c:pt idx="48" c:formatCode="m&quot;月&quot;d&quot;日&quot;;@">
                  <c:v>43810</c:v>
                </c:pt>
                <c:pt idx="49" c:formatCode="m&quot;月&quot;d&quot;日&quot;;@">
                  <c:v>43817</c:v>
                </c:pt>
                <c:pt idx="50" c:formatCode="m&quot;月&quot;d&quot;日&quot;;@">
                  <c:v>43824</c:v>
                </c:pt>
              </c:numCache>
            </c:numRef>
          </c:cat>
          <c:val>
            <c:numRef>
              <c:f>出栏价!$L$3:$L$53</c:f>
              <c:numCache>
                <c:formatCode>0.00_);[Red]\(0.00\)</c:formatCode>
                <c:ptCount val="51"/>
                <c:pt idx="0">
                  <c:v>12.3</c:v>
                </c:pt>
                <c:pt idx="1">
                  <c:v>12.49</c:v>
                </c:pt>
                <c:pt idx="2">
                  <c:v>12.69</c:v>
                </c:pt>
                <c:pt idx="3">
                  <c:v>13.06</c:v>
                </c:pt>
                <c:pt idx="4">
                  <c:v>12.84</c:v>
                </c:pt>
                <c:pt idx="5">
                  <c:v>12.3</c:v>
                </c:pt>
                <c:pt idx="6">
                  <c:v>11.76</c:v>
                </c:pt>
                <c:pt idx="7">
                  <c:v>10.93</c:v>
                </c:pt>
                <c:pt idx="8">
                  <c:v>10.56</c:v>
                </c:pt>
                <c:pt idx="9">
                  <c:v>10.18</c:v>
                </c:pt>
                <c:pt idx="10">
                  <c:v>10.06</c:v>
                </c:pt>
                <c:pt idx="11">
                  <c:v>9.68</c:v>
                </c:pt>
                <c:pt idx="12">
                  <c:v>9.38</c:v>
                </c:pt>
                <c:pt idx="13">
                  <c:v>8.99</c:v>
                </c:pt>
                <c:pt idx="14">
                  <c:v>8.78</c:v>
                </c:pt>
                <c:pt idx="15">
                  <c:v>9.69</c:v>
                </c:pt>
                <c:pt idx="16">
                  <c:v>9.94</c:v>
                </c:pt>
                <c:pt idx="17">
                  <c:v>9.81</c:v>
                </c:pt>
                <c:pt idx="18">
                  <c:v>9.64</c:v>
                </c:pt>
                <c:pt idx="19">
                  <c:v>9.56</c:v>
                </c:pt>
                <c:pt idx="20">
                  <c:v>9.65</c:v>
                </c:pt>
                <c:pt idx="21">
                  <c:v>9.6</c:v>
                </c:pt>
                <c:pt idx="22">
                  <c:v>9.53</c:v>
                </c:pt>
                <c:pt idx="23">
                  <c:v>9.57</c:v>
                </c:pt>
                <c:pt idx="24">
                  <c:v>9.57</c:v>
                </c:pt>
                <c:pt idx="25">
                  <c:v>10</c:v>
                </c:pt>
                <c:pt idx="26">
                  <c:v>11.18</c:v>
                </c:pt>
                <c:pt idx="27">
                  <c:v>11.26</c:v>
                </c:pt>
                <c:pt idx="28">
                  <c:v>10.88</c:v>
                </c:pt>
                <c:pt idx="29">
                  <c:v>10.43</c:v>
                </c:pt>
                <c:pt idx="30">
                  <c:v>10.4</c:v>
                </c:pt>
                <c:pt idx="31">
                  <c:v>10.72</c:v>
                </c:pt>
                <c:pt idx="32">
                  <c:v>11.09</c:v>
                </c:pt>
                <c:pt idx="33">
                  <c:v>11.03</c:v>
                </c:pt>
                <c:pt idx="34">
                  <c:v>10.96</c:v>
                </c:pt>
                <c:pt idx="35">
                  <c:v>10.97</c:v>
                </c:pt>
                <c:pt idx="36">
                  <c:v>10.8</c:v>
                </c:pt>
                <c:pt idx="37">
                  <c:v>10.63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19965039"/>
        <c:axId val="279658812"/>
      </c:lineChart>
      <c:dateAx>
        <c:axId val="519965039"/>
        <c:scaling>
          <c:orientation val="minMax"/>
          <c:max val="43830"/>
          <c:min val="43466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279658812"/>
        <c:crosses val="autoZero"/>
        <c:auto val="1"/>
        <c:lblOffset val="100"/>
        <c:baseTimeUnit val="days"/>
        <c:majorUnit val="28"/>
        <c:majorTimeUnit val="days"/>
      </c:dateAx>
      <c:valAx>
        <c:axId val="279658812"/>
        <c:scaling>
          <c:orientation val="minMax"/>
          <c:max val="38"/>
          <c:min val="8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51996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ayout/>
      <c:overlay val="1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defRPr>
          </a:pPr>
        </a:p>
      </c:txPr>
    </c:legend>
    <c:plotVisOnly val="1"/>
    <c:dispBlanksAs val="span"/>
    <c:showDLblsOverMax val="0"/>
    <c:extLst>
      <c:ext uri="{0b15fc19-7d7d-44ad-8c2d-2c3a37ce22c3}">
        <chartProps xmlns="https://web.wps.cn/et/2018/main" chartId="{b721aada-5046-46bf-a529-1ef48958f936}"/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  <a:sym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r>
              <a:rPr lang="en-US" altLang="zh-CN"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2021-2026</a:t>
            </a:r>
            <a:r>
              <a:rPr altLang="en-US"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年生猪出栏体重走势图</a:t>
            </a:r>
            <a:endParaRPr lang="en-US" altLang="zh-CN" b="1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333333333333"/>
          <c:y val="0.278240740740741"/>
          <c:w val="0.863111111111111"/>
          <c:h val="0.495925925925926"/>
        </c:manualLayout>
      </c:layout>
      <c:lineChart>
        <c:grouping val="standard"/>
        <c:varyColors val="0"/>
        <c:ser>
          <c:idx val="2"/>
          <c:order val="1"/>
          <c:tx>
            <c:strRef>
              <c:f>体重!$E$2</c:f>
              <c:strCache>
                <c:ptCount val="1"/>
                <c:pt idx="0">
                  <c:v>2021年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体重!$A$3:$A$53</c:f>
              <c:numCache>
                <c:formatCode>m"月"d"日";@</c:formatCode>
                <c:ptCount val="51"/>
                <c:pt idx="0" c:formatCode="m&quot;月&quot;d&quot;日&quot;;@">
                  <c:v>43466</c:v>
                </c:pt>
                <c:pt idx="1" c:formatCode="m&quot;月&quot;d&quot;日&quot;;@">
                  <c:v>43473</c:v>
                </c:pt>
                <c:pt idx="2" c:formatCode="m&quot;月&quot;d&quot;日&quot;;@">
                  <c:v>43480</c:v>
                </c:pt>
                <c:pt idx="3" c:formatCode="m&quot;月&quot;d&quot;日&quot;;@">
                  <c:v>43487</c:v>
                </c:pt>
                <c:pt idx="4" c:formatCode="m&quot;月&quot;d&quot;日&quot;;@">
                  <c:v>43494</c:v>
                </c:pt>
                <c:pt idx="5" c:formatCode="m&quot;月&quot;d&quot;日&quot;;@">
                  <c:v>43501</c:v>
                </c:pt>
                <c:pt idx="6" c:formatCode="m&quot;月&quot;d&quot;日&quot;;@">
                  <c:v>43508</c:v>
                </c:pt>
                <c:pt idx="7" c:formatCode="m&quot;月&quot;d&quot;日&quot;;@">
                  <c:v>43522</c:v>
                </c:pt>
                <c:pt idx="8" c:formatCode="m&quot;月&quot;d&quot;日&quot;;@">
                  <c:v>43529</c:v>
                </c:pt>
                <c:pt idx="9" c:formatCode="m&quot;月&quot;d&quot;日&quot;;@">
                  <c:v>43536</c:v>
                </c:pt>
                <c:pt idx="10" c:formatCode="m&quot;月&quot;d&quot;日&quot;;@">
                  <c:v>43543</c:v>
                </c:pt>
                <c:pt idx="11" c:formatCode="m&quot;月&quot;d&quot;日&quot;;@">
                  <c:v>43550</c:v>
                </c:pt>
                <c:pt idx="12" c:formatCode="m&quot;月&quot;d&quot;日&quot;;@">
                  <c:v>43557</c:v>
                </c:pt>
                <c:pt idx="13" c:formatCode="m&quot;月&quot;d&quot;日&quot;;@">
                  <c:v>43564</c:v>
                </c:pt>
                <c:pt idx="14" c:formatCode="m&quot;月&quot;d&quot;日&quot;;@">
                  <c:v>43571</c:v>
                </c:pt>
                <c:pt idx="15" c:formatCode="m&quot;月&quot;d&quot;日&quot;;@">
                  <c:v>43578</c:v>
                </c:pt>
                <c:pt idx="16" c:formatCode="m&quot;月&quot;d&quot;日&quot;;@">
                  <c:v>43585</c:v>
                </c:pt>
                <c:pt idx="17" c:formatCode="m&quot;月&quot;d&quot;日&quot;;@">
                  <c:v>43592</c:v>
                </c:pt>
                <c:pt idx="18" c:formatCode="m&quot;月&quot;d&quot;日&quot;;@">
                  <c:v>43599</c:v>
                </c:pt>
                <c:pt idx="19" c:formatCode="m&quot;月&quot;d&quot;日&quot;;@">
                  <c:v>43606</c:v>
                </c:pt>
                <c:pt idx="20" c:formatCode="m&quot;月&quot;d&quot;日&quot;;@">
                  <c:v>43613</c:v>
                </c:pt>
                <c:pt idx="21" c:formatCode="m&quot;月&quot;d&quot;日&quot;;@">
                  <c:v>43620</c:v>
                </c:pt>
                <c:pt idx="22" c:formatCode="m&quot;月&quot;d&quot;日&quot;;@">
                  <c:v>43627</c:v>
                </c:pt>
                <c:pt idx="23" c:formatCode="m&quot;月&quot;d&quot;日&quot;;@">
                  <c:v>43634</c:v>
                </c:pt>
                <c:pt idx="24" c:formatCode="m&quot;月&quot;d&quot;日&quot;;@">
                  <c:v>43641</c:v>
                </c:pt>
                <c:pt idx="25" c:formatCode="m&quot;月&quot;d&quot;日&quot;;@">
                  <c:v>43648</c:v>
                </c:pt>
                <c:pt idx="26" c:formatCode="m&quot;月&quot;d&quot;日&quot;;@">
                  <c:v>43655</c:v>
                </c:pt>
                <c:pt idx="27" c:formatCode="m&quot;月&quot;d&quot;日&quot;;@">
                  <c:v>43662</c:v>
                </c:pt>
                <c:pt idx="28" c:formatCode="m&quot;月&quot;d&quot;日&quot;;@">
                  <c:v>43669</c:v>
                </c:pt>
                <c:pt idx="29" c:formatCode="m&quot;月&quot;d&quot;日&quot;;@">
                  <c:v>43676</c:v>
                </c:pt>
                <c:pt idx="30" c:formatCode="m&quot;月&quot;d&quot;日&quot;;@">
                  <c:v>43683</c:v>
                </c:pt>
                <c:pt idx="31" c:formatCode="m&quot;月&quot;d&quot;日&quot;;@">
                  <c:v>43690</c:v>
                </c:pt>
                <c:pt idx="32" c:formatCode="m&quot;月&quot;d&quot;日&quot;;@">
                  <c:v>43697</c:v>
                </c:pt>
                <c:pt idx="33" c:formatCode="m&quot;月&quot;d&quot;日&quot;;@">
                  <c:v>43704</c:v>
                </c:pt>
                <c:pt idx="34" c:formatCode="m&quot;月&quot;d&quot;日&quot;;@">
                  <c:v>43711</c:v>
                </c:pt>
                <c:pt idx="35" c:formatCode="m&quot;月&quot;d&quot;日&quot;;@">
                  <c:v>43718</c:v>
                </c:pt>
                <c:pt idx="36" c:formatCode="m&quot;月&quot;d&quot;日&quot;;@">
                  <c:v>43725</c:v>
                </c:pt>
                <c:pt idx="37" c:formatCode="m&quot;月&quot;d&quot;日&quot;;@">
                  <c:v>43732</c:v>
                </c:pt>
                <c:pt idx="38" c:formatCode="m&quot;月&quot;d&quot;日&quot;;@">
                  <c:v>43747</c:v>
                </c:pt>
                <c:pt idx="39" c:formatCode="m&quot;月&quot;d&quot;日&quot;;@">
                  <c:v>43754</c:v>
                </c:pt>
                <c:pt idx="40" c:formatCode="m&quot;月&quot;d&quot;日&quot;;@">
                  <c:v>43761</c:v>
                </c:pt>
                <c:pt idx="41" c:formatCode="m&quot;月&quot;d&quot;日&quot;;@">
                  <c:v>43768</c:v>
                </c:pt>
                <c:pt idx="42" c:formatCode="m&quot;月&quot;d&quot;日&quot;;@">
                  <c:v>43775</c:v>
                </c:pt>
                <c:pt idx="43" c:formatCode="m&quot;月&quot;d&quot;日&quot;;@">
                  <c:v>43782</c:v>
                </c:pt>
                <c:pt idx="44" c:formatCode="m&quot;月&quot;d&quot;日&quot;;@">
                  <c:v>43789</c:v>
                </c:pt>
                <c:pt idx="45" c:formatCode="m&quot;月&quot;d&quot;日&quot;;@">
                  <c:v>43796</c:v>
                </c:pt>
                <c:pt idx="46" c:formatCode="m&quot;月&quot;d&quot;日&quot;;@">
                  <c:v>43803</c:v>
                </c:pt>
                <c:pt idx="47" c:formatCode="m&quot;月&quot;d&quot;日&quot;;@">
                  <c:v>43810</c:v>
                </c:pt>
                <c:pt idx="48" c:formatCode="m&quot;月&quot;d&quot;日&quot;;@">
                  <c:v>43817</c:v>
                </c:pt>
                <c:pt idx="49" c:formatCode="m&quot;月&quot;d&quot;日&quot;;@">
                  <c:v>43824</c:v>
                </c:pt>
                <c:pt idx="50" c:formatCode="m&quot;月&quot;d&quot;日&quot;;@">
                  <c:v>43830</c:v>
                </c:pt>
              </c:numCache>
            </c:numRef>
          </c:cat>
          <c:val>
            <c:numRef>
              <c:f>体重!$E$3:$E$53</c:f>
              <c:numCache>
                <c:formatCode>0.00_);[Red]\(0.00\)</c:formatCode>
                <c:ptCount val="51"/>
                <c:pt idx="0">
                  <c:v>134.42</c:v>
                </c:pt>
                <c:pt idx="1">
                  <c:v>133.83</c:v>
                </c:pt>
                <c:pt idx="2">
                  <c:v>131.81</c:v>
                </c:pt>
                <c:pt idx="3">
                  <c:v>128.09</c:v>
                </c:pt>
                <c:pt idx="4">
                  <c:v>125.49</c:v>
                </c:pt>
                <c:pt idx="5">
                  <c:v>124.55</c:v>
                </c:pt>
                <c:pt idx="6">
                  <c:v>123.83</c:v>
                </c:pt>
                <c:pt idx="7">
                  <c:v>122.99</c:v>
                </c:pt>
                <c:pt idx="8">
                  <c:v>124.52</c:v>
                </c:pt>
                <c:pt idx="9">
                  <c:v>126.93</c:v>
                </c:pt>
                <c:pt idx="10">
                  <c:v>130.74</c:v>
                </c:pt>
                <c:pt idx="11">
                  <c:v>133.51</c:v>
                </c:pt>
                <c:pt idx="12">
                  <c:v>135.69</c:v>
                </c:pt>
                <c:pt idx="13">
                  <c:v>135.87</c:v>
                </c:pt>
                <c:pt idx="14">
                  <c:v>135.67</c:v>
                </c:pt>
                <c:pt idx="15">
                  <c:v>136.14</c:v>
                </c:pt>
                <c:pt idx="16">
                  <c:v>136.55</c:v>
                </c:pt>
                <c:pt idx="17">
                  <c:v>136.88</c:v>
                </c:pt>
                <c:pt idx="18">
                  <c:v>136.65</c:v>
                </c:pt>
                <c:pt idx="19">
                  <c:v>135.71</c:v>
                </c:pt>
                <c:pt idx="20">
                  <c:v>134.9</c:v>
                </c:pt>
                <c:pt idx="21">
                  <c:v>134.14</c:v>
                </c:pt>
                <c:pt idx="22">
                  <c:v>133.64</c:v>
                </c:pt>
                <c:pt idx="23">
                  <c:v>133.06</c:v>
                </c:pt>
                <c:pt idx="24">
                  <c:v>132.14</c:v>
                </c:pt>
                <c:pt idx="25">
                  <c:v>131.35</c:v>
                </c:pt>
                <c:pt idx="26">
                  <c:v>130.54</c:v>
                </c:pt>
                <c:pt idx="27">
                  <c:v>130.15</c:v>
                </c:pt>
                <c:pt idx="28">
                  <c:v>129.46</c:v>
                </c:pt>
                <c:pt idx="29">
                  <c:v>128.82</c:v>
                </c:pt>
                <c:pt idx="30">
                  <c:v>128.55</c:v>
                </c:pt>
                <c:pt idx="31">
                  <c:v>128.2</c:v>
                </c:pt>
                <c:pt idx="32">
                  <c:v>127.66</c:v>
                </c:pt>
                <c:pt idx="33">
                  <c:v>126.52</c:v>
                </c:pt>
                <c:pt idx="34">
                  <c:v>125.21</c:v>
                </c:pt>
                <c:pt idx="35">
                  <c:v>124.12</c:v>
                </c:pt>
                <c:pt idx="36">
                  <c:v>123.14</c:v>
                </c:pt>
                <c:pt idx="37">
                  <c:v>122.2</c:v>
                </c:pt>
                <c:pt idx="38">
                  <c:v>119.79</c:v>
                </c:pt>
                <c:pt idx="39">
                  <c:v>121.05</c:v>
                </c:pt>
                <c:pt idx="40">
                  <c:v>122.08</c:v>
                </c:pt>
                <c:pt idx="41">
                  <c:v>123.98</c:v>
                </c:pt>
                <c:pt idx="42">
                  <c:v>125.04</c:v>
                </c:pt>
                <c:pt idx="43">
                  <c:v>125.6</c:v>
                </c:pt>
                <c:pt idx="44">
                  <c:v>126.19</c:v>
                </c:pt>
                <c:pt idx="45">
                  <c:v>126.82</c:v>
                </c:pt>
                <c:pt idx="46">
                  <c:v>127.03</c:v>
                </c:pt>
                <c:pt idx="47">
                  <c:v>126.75</c:v>
                </c:pt>
                <c:pt idx="48">
                  <c:v>125.75</c:v>
                </c:pt>
                <c:pt idx="49">
                  <c:v>124.31</c:v>
                </c:pt>
                <c:pt idx="50">
                  <c:v>123.18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体重!$F$2</c:f>
              <c:strCache>
                <c:ptCount val="1"/>
                <c:pt idx="0">
                  <c:v>2022年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体重!$A$3:$A$53</c:f>
              <c:numCache>
                <c:formatCode>m"月"d"日";@</c:formatCode>
                <c:ptCount val="51"/>
                <c:pt idx="0" c:formatCode="m&quot;月&quot;d&quot;日&quot;;@">
                  <c:v>43466</c:v>
                </c:pt>
                <c:pt idx="1" c:formatCode="m&quot;月&quot;d&quot;日&quot;;@">
                  <c:v>43473</c:v>
                </c:pt>
                <c:pt idx="2" c:formatCode="m&quot;月&quot;d&quot;日&quot;;@">
                  <c:v>43480</c:v>
                </c:pt>
                <c:pt idx="3" c:formatCode="m&quot;月&quot;d&quot;日&quot;;@">
                  <c:v>43487</c:v>
                </c:pt>
                <c:pt idx="4" c:formatCode="m&quot;月&quot;d&quot;日&quot;;@">
                  <c:v>43494</c:v>
                </c:pt>
                <c:pt idx="5" c:formatCode="m&quot;月&quot;d&quot;日&quot;;@">
                  <c:v>43501</c:v>
                </c:pt>
                <c:pt idx="6" c:formatCode="m&quot;月&quot;d&quot;日&quot;;@">
                  <c:v>43508</c:v>
                </c:pt>
                <c:pt idx="7" c:formatCode="m&quot;月&quot;d&quot;日&quot;;@">
                  <c:v>43522</c:v>
                </c:pt>
                <c:pt idx="8" c:formatCode="m&quot;月&quot;d&quot;日&quot;;@">
                  <c:v>43529</c:v>
                </c:pt>
                <c:pt idx="9" c:formatCode="m&quot;月&quot;d&quot;日&quot;;@">
                  <c:v>43536</c:v>
                </c:pt>
                <c:pt idx="10" c:formatCode="m&quot;月&quot;d&quot;日&quot;;@">
                  <c:v>43543</c:v>
                </c:pt>
                <c:pt idx="11" c:formatCode="m&quot;月&quot;d&quot;日&quot;;@">
                  <c:v>43550</c:v>
                </c:pt>
                <c:pt idx="12" c:formatCode="m&quot;月&quot;d&quot;日&quot;;@">
                  <c:v>43557</c:v>
                </c:pt>
                <c:pt idx="13" c:formatCode="m&quot;月&quot;d&quot;日&quot;;@">
                  <c:v>43564</c:v>
                </c:pt>
                <c:pt idx="14" c:formatCode="m&quot;月&quot;d&quot;日&quot;;@">
                  <c:v>43571</c:v>
                </c:pt>
                <c:pt idx="15" c:formatCode="m&quot;月&quot;d&quot;日&quot;;@">
                  <c:v>43578</c:v>
                </c:pt>
                <c:pt idx="16" c:formatCode="m&quot;月&quot;d&quot;日&quot;;@">
                  <c:v>43585</c:v>
                </c:pt>
                <c:pt idx="17" c:formatCode="m&quot;月&quot;d&quot;日&quot;;@">
                  <c:v>43592</c:v>
                </c:pt>
                <c:pt idx="18" c:formatCode="m&quot;月&quot;d&quot;日&quot;;@">
                  <c:v>43599</c:v>
                </c:pt>
                <c:pt idx="19" c:formatCode="m&quot;月&quot;d&quot;日&quot;;@">
                  <c:v>43606</c:v>
                </c:pt>
                <c:pt idx="20" c:formatCode="m&quot;月&quot;d&quot;日&quot;;@">
                  <c:v>43613</c:v>
                </c:pt>
                <c:pt idx="21" c:formatCode="m&quot;月&quot;d&quot;日&quot;;@">
                  <c:v>43620</c:v>
                </c:pt>
                <c:pt idx="22" c:formatCode="m&quot;月&quot;d&quot;日&quot;;@">
                  <c:v>43627</c:v>
                </c:pt>
                <c:pt idx="23" c:formatCode="m&quot;月&quot;d&quot;日&quot;;@">
                  <c:v>43634</c:v>
                </c:pt>
                <c:pt idx="24" c:formatCode="m&quot;月&quot;d&quot;日&quot;;@">
                  <c:v>43641</c:v>
                </c:pt>
                <c:pt idx="25" c:formatCode="m&quot;月&quot;d&quot;日&quot;;@">
                  <c:v>43648</c:v>
                </c:pt>
                <c:pt idx="26" c:formatCode="m&quot;月&quot;d&quot;日&quot;;@">
                  <c:v>43655</c:v>
                </c:pt>
                <c:pt idx="27" c:formatCode="m&quot;月&quot;d&quot;日&quot;;@">
                  <c:v>43662</c:v>
                </c:pt>
                <c:pt idx="28" c:formatCode="m&quot;月&quot;d&quot;日&quot;;@">
                  <c:v>43669</c:v>
                </c:pt>
                <c:pt idx="29" c:formatCode="m&quot;月&quot;d&quot;日&quot;;@">
                  <c:v>43676</c:v>
                </c:pt>
                <c:pt idx="30" c:formatCode="m&quot;月&quot;d&quot;日&quot;;@">
                  <c:v>43683</c:v>
                </c:pt>
                <c:pt idx="31" c:formatCode="m&quot;月&quot;d&quot;日&quot;;@">
                  <c:v>43690</c:v>
                </c:pt>
                <c:pt idx="32" c:formatCode="m&quot;月&quot;d&quot;日&quot;;@">
                  <c:v>43697</c:v>
                </c:pt>
                <c:pt idx="33" c:formatCode="m&quot;月&quot;d&quot;日&quot;;@">
                  <c:v>43704</c:v>
                </c:pt>
                <c:pt idx="34" c:formatCode="m&quot;月&quot;d&quot;日&quot;;@">
                  <c:v>43711</c:v>
                </c:pt>
                <c:pt idx="35" c:formatCode="m&quot;月&quot;d&quot;日&quot;;@">
                  <c:v>43718</c:v>
                </c:pt>
                <c:pt idx="36" c:formatCode="m&quot;月&quot;d&quot;日&quot;;@">
                  <c:v>43725</c:v>
                </c:pt>
                <c:pt idx="37" c:formatCode="m&quot;月&quot;d&quot;日&quot;;@">
                  <c:v>43732</c:v>
                </c:pt>
                <c:pt idx="38" c:formatCode="m&quot;月&quot;d&quot;日&quot;;@">
                  <c:v>43747</c:v>
                </c:pt>
                <c:pt idx="39" c:formatCode="m&quot;月&quot;d&quot;日&quot;;@">
                  <c:v>43754</c:v>
                </c:pt>
                <c:pt idx="40" c:formatCode="m&quot;月&quot;d&quot;日&quot;;@">
                  <c:v>43761</c:v>
                </c:pt>
                <c:pt idx="41" c:formatCode="m&quot;月&quot;d&quot;日&quot;;@">
                  <c:v>43768</c:v>
                </c:pt>
                <c:pt idx="42" c:formatCode="m&quot;月&quot;d&quot;日&quot;;@">
                  <c:v>43775</c:v>
                </c:pt>
                <c:pt idx="43" c:formatCode="m&quot;月&quot;d&quot;日&quot;;@">
                  <c:v>43782</c:v>
                </c:pt>
                <c:pt idx="44" c:formatCode="m&quot;月&quot;d&quot;日&quot;;@">
                  <c:v>43789</c:v>
                </c:pt>
                <c:pt idx="45" c:formatCode="m&quot;月&quot;d&quot;日&quot;;@">
                  <c:v>43796</c:v>
                </c:pt>
                <c:pt idx="46" c:formatCode="m&quot;月&quot;d&quot;日&quot;;@">
                  <c:v>43803</c:v>
                </c:pt>
                <c:pt idx="47" c:formatCode="m&quot;月&quot;d&quot;日&quot;;@">
                  <c:v>43810</c:v>
                </c:pt>
                <c:pt idx="48" c:formatCode="m&quot;月&quot;d&quot;日&quot;;@">
                  <c:v>43817</c:v>
                </c:pt>
                <c:pt idx="49" c:formatCode="m&quot;月&quot;d&quot;日&quot;;@">
                  <c:v>43824</c:v>
                </c:pt>
                <c:pt idx="50" c:formatCode="m&quot;月&quot;d&quot;日&quot;;@">
                  <c:v>43830</c:v>
                </c:pt>
              </c:numCache>
            </c:numRef>
          </c:cat>
          <c:val>
            <c:numRef>
              <c:f>体重!$F$3:$F$53</c:f>
              <c:numCache>
                <c:formatCode>0.00_);[Red]\(0.00\)</c:formatCode>
                <c:ptCount val="51"/>
                <c:pt idx="0">
                  <c:v>122.15</c:v>
                </c:pt>
                <c:pt idx="1">
                  <c:v>120.25</c:v>
                </c:pt>
                <c:pt idx="2">
                  <c:v>118.89</c:v>
                </c:pt>
                <c:pt idx="3">
                  <c:v>117.89</c:v>
                </c:pt>
                <c:pt idx="4">
                  <c:v>116.49</c:v>
                </c:pt>
                <c:pt idx="5">
                  <c:v>116.29</c:v>
                </c:pt>
                <c:pt idx="6">
                  <c:v>116.36</c:v>
                </c:pt>
                <c:pt idx="7">
                  <c:v>116.92</c:v>
                </c:pt>
                <c:pt idx="8">
                  <c:v>117.23</c:v>
                </c:pt>
                <c:pt idx="9">
                  <c:v>117.05</c:v>
                </c:pt>
                <c:pt idx="10">
                  <c:v>116.79</c:v>
                </c:pt>
                <c:pt idx="11">
                  <c:v>116.65</c:v>
                </c:pt>
                <c:pt idx="12">
                  <c:v>116.55</c:v>
                </c:pt>
                <c:pt idx="13">
                  <c:v>116.51</c:v>
                </c:pt>
                <c:pt idx="14">
                  <c:v>116.69</c:v>
                </c:pt>
                <c:pt idx="15">
                  <c:v>116.59</c:v>
                </c:pt>
                <c:pt idx="16">
                  <c:v>117.21</c:v>
                </c:pt>
                <c:pt idx="17">
                  <c:v>117.55</c:v>
                </c:pt>
                <c:pt idx="18">
                  <c:v>119.16</c:v>
                </c:pt>
                <c:pt idx="19">
                  <c:v>120.21</c:v>
                </c:pt>
                <c:pt idx="20">
                  <c:v>121.81</c:v>
                </c:pt>
                <c:pt idx="21">
                  <c:v>122.92</c:v>
                </c:pt>
                <c:pt idx="22">
                  <c:v>124.53</c:v>
                </c:pt>
                <c:pt idx="23">
                  <c:v>125.41</c:v>
                </c:pt>
                <c:pt idx="24">
                  <c:v>125.29</c:v>
                </c:pt>
                <c:pt idx="25">
                  <c:v>125.16</c:v>
                </c:pt>
                <c:pt idx="26">
                  <c:v>125.26</c:v>
                </c:pt>
                <c:pt idx="27">
                  <c:v>125.71</c:v>
                </c:pt>
                <c:pt idx="28">
                  <c:v>126.44</c:v>
                </c:pt>
                <c:pt idx="29">
                  <c:v>126.32</c:v>
                </c:pt>
                <c:pt idx="30">
                  <c:v>126.45</c:v>
                </c:pt>
                <c:pt idx="31">
                  <c:v>126.39</c:v>
                </c:pt>
                <c:pt idx="32">
                  <c:v>126.01</c:v>
                </c:pt>
                <c:pt idx="33">
                  <c:v>126.61</c:v>
                </c:pt>
                <c:pt idx="34">
                  <c:v>127.26</c:v>
                </c:pt>
                <c:pt idx="35">
                  <c:v>127.26</c:v>
                </c:pt>
                <c:pt idx="36">
                  <c:v>127.68</c:v>
                </c:pt>
                <c:pt idx="37">
                  <c:v>127.95</c:v>
                </c:pt>
                <c:pt idx="38">
                  <c:v>128.07</c:v>
                </c:pt>
                <c:pt idx="39">
                  <c:v>128.68</c:v>
                </c:pt>
                <c:pt idx="40">
                  <c:v>129.06</c:v>
                </c:pt>
                <c:pt idx="41">
                  <c:v>129.32</c:v>
                </c:pt>
                <c:pt idx="42">
                  <c:v>129.58</c:v>
                </c:pt>
                <c:pt idx="43">
                  <c:v>130.05</c:v>
                </c:pt>
                <c:pt idx="44">
                  <c:v>130.19</c:v>
                </c:pt>
                <c:pt idx="45">
                  <c:v>130.54</c:v>
                </c:pt>
                <c:pt idx="46">
                  <c:v>130.62</c:v>
                </c:pt>
                <c:pt idx="47">
                  <c:v>129.85</c:v>
                </c:pt>
                <c:pt idx="48" c:formatCode="0.00_ ">
                  <c:v>129.07</c:v>
                </c:pt>
                <c:pt idx="49" c:formatCode="0.00_ ">
                  <c:v>128.28</c:v>
                </c:pt>
                <c:pt idx="50">
                  <c:v>127.3</c:v>
                </c:pt>
              </c:numCache>
            </c:numRef>
          </c:val>
          <c:smooth val="0"/>
        </c:ser>
        <c:ser>
          <c:idx val="4"/>
          <c:order val="3"/>
          <c:tx>
            <c:strRef>
              <c:f>体重!$G$2</c:f>
              <c:strCache>
                <c:ptCount val="1"/>
                <c:pt idx="0">
                  <c:v>2023年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体重!$A$3:$A$53</c:f>
              <c:numCache>
                <c:formatCode>m"月"d"日";@</c:formatCode>
                <c:ptCount val="51"/>
                <c:pt idx="0" c:formatCode="m&quot;月&quot;d&quot;日&quot;;@">
                  <c:v>43466</c:v>
                </c:pt>
                <c:pt idx="1" c:formatCode="m&quot;月&quot;d&quot;日&quot;;@">
                  <c:v>43473</c:v>
                </c:pt>
                <c:pt idx="2" c:formatCode="m&quot;月&quot;d&quot;日&quot;;@">
                  <c:v>43480</c:v>
                </c:pt>
                <c:pt idx="3" c:formatCode="m&quot;月&quot;d&quot;日&quot;;@">
                  <c:v>43487</c:v>
                </c:pt>
                <c:pt idx="4" c:formatCode="m&quot;月&quot;d&quot;日&quot;;@">
                  <c:v>43494</c:v>
                </c:pt>
                <c:pt idx="5" c:formatCode="m&quot;月&quot;d&quot;日&quot;;@">
                  <c:v>43501</c:v>
                </c:pt>
                <c:pt idx="6" c:formatCode="m&quot;月&quot;d&quot;日&quot;;@">
                  <c:v>43508</c:v>
                </c:pt>
                <c:pt idx="7" c:formatCode="m&quot;月&quot;d&quot;日&quot;;@">
                  <c:v>43522</c:v>
                </c:pt>
                <c:pt idx="8" c:formatCode="m&quot;月&quot;d&quot;日&quot;;@">
                  <c:v>43529</c:v>
                </c:pt>
                <c:pt idx="9" c:formatCode="m&quot;月&quot;d&quot;日&quot;;@">
                  <c:v>43536</c:v>
                </c:pt>
                <c:pt idx="10" c:formatCode="m&quot;月&quot;d&quot;日&quot;;@">
                  <c:v>43543</c:v>
                </c:pt>
                <c:pt idx="11" c:formatCode="m&quot;月&quot;d&quot;日&quot;;@">
                  <c:v>43550</c:v>
                </c:pt>
                <c:pt idx="12" c:formatCode="m&quot;月&quot;d&quot;日&quot;;@">
                  <c:v>43557</c:v>
                </c:pt>
                <c:pt idx="13" c:formatCode="m&quot;月&quot;d&quot;日&quot;;@">
                  <c:v>43564</c:v>
                </c:pt>
                <c:pt idx="14" c:formatCode="m&quot;月&quot;d&quot;日&quot;;@">
                  <c:v>43571</c:v>
                </c:pt>
                <c:pt idx="15" c:formatCode="m&quot;月&quot;d&quot;日&quot;;@">
                  <c:v>43578</c:v>
                </c:pt>
                <c:pt idx="16" c:formatCode="m&quot;月&quot;d&quot;日&quot;;@">
                  <c:v>43585</c:v>
                </c:pt>
                <c:pt idx="17" c:formatCode="m&quot;月&quot;d&quot;日&quot;;@">
                  <c:v>43592</c:v>
                </c:pt>
                <c:pt idx="18" c:formatCode="m&quot;月&quot;d&quot;日&quot;;@">
                  <c:v>43599</c:v>
                </c:pt>
                <c:pt idx="19" c:formatCode="m&quot;月&quot;d&quot;日&quot;;@">
                  <c:v>43606</c:v>
                </c:pt>
                <c:pt idx="20" c:formatCode="m&quot;月&quot;d&quot;日&quot;;@">
                  <c:v>43613</c:v>
                </c:pt>
                <c:pt idx="21" c:formatCode="m&quot;月&quot;d&quot;日&quot;;@">
                  <c:v>43620</c:v>
                </c:pt>
                <c:pt idx="22" c:formatCode="m&quot;月&quot;d&quot;日&quot;;@">
                  <c:v>43627</c:v>
                </c:pt>
                <c:pt idx="23" c:formatCode="m&quot;月&quot;d&quot;日&quot;;@">
                  <c:v>43634</c:v>
                </c:pt>
                <c:pt idx="24" c:formatCode="m&quot;月&quot;d&quot;日&quot;;@">
                  <c:v>43641</c:v>
                </c:pt>
                <c:pt idx="25" c:formatCode="m&quot;月&quot;d&quot;日&quot;;@">
                  <c:v>43648</c:v>
                </c:pt>
                <c:pt idx="26" c:formatCode="m&quot;月&quot;d&quot;日&quot;;@">
                  <c:v>43655</c:v>
                </c:pt>
                <c:pt idx="27" c:formatCode="m&quot;月&quot;d&quot;日&quot;;@">
                  <c:v>43662</c:v>
                </c:pt>
                <c:pt idx="28" c:formatCode="m&quot;月&quot;d&quot;日&quot;;@">
                  <c:v>43669</c:v>
                </c:pt>
                <c:pt idx="29" c:formatCode="m&quot;月&quot;d&quot;日&quot;;@">
                  <c:v>43676</c:v>
                </c:pt>
                <c:pt idx="30" c:formatCode="m&quot;月&quot;d&quot;日&quot;;@">
                  <c:v>43683</c:v>
                </c:pt>
                <c:pt idx="31" c:formatCode="m&quot;月&quot;d&quot;日&quot;;@">
                  <c:v>43690</c:v>
                </c:pt>
                <c:pt idx="32" c:formatCode="m&quot;月&quot;d&quot;日&quot;;@">
                  <c:v>43697</c:v>
                </c:pt>
                <c:pt idx="33" c:formatCode="m&quot;月&quot;d&quot;日&quot;;@">
                  <c:v>43704</c:v>
                </c:pt>
                <c:pt idx="34" c:formatCode="m&quot;月&quot;d&quot;日&quot;;@">
                  <c:v>43711</c:v>
                </c:pt>
                <c:pt idx="35" c:formatCode="m&quot;月&quot;d&quot;日&quot;;@">
                  <c:v>43718</c:v>
                </c:pt>
                <c:pt idx="36" c:formatCode="m&quot;月&quot;d&quot;日&quot;;@">
                  <c:v>43725</c:v>
                </c:pt>
                <c:pt idx="37" c:formatCode="m&quot;月&quot;d&quot;日&quot;;@">
                  <c:v>43732</c:v>
                </c:pt>
                <c:pt idx="38" c:formatCode="m&quot;月&quot;d&quot;日&quot;;@">
                  <c:v>43747</c:v>
                </c:pt>
                <c:pt idx="39" c:formatCode="m&quot;月&quot;d&quot;日&quot;;@">
                  <c:v>43754</c:v>
                </c:pt>
                <c:pt idx="40" c:formatCode="m&quot;月&quot;d&quot;日&quot;;@">
                  <c:v>43761</c:v>
                </c:pt>
                <c:pt idx="41" c:formatCode="m&quot;月&quot;d&quot;日&quot;;@">
                  <c:v>43768</c:v>
                </c:pt>
                <c:pt idx="42" c:formatCode="m&quot;月&quot;d&quot;日&quot;;@">
                  <c:v>43775</c:v>
                </c:pt>
                <c:pt idx="43" c:formatCode="m&quot;月&quot;d&quot;日&quot;;@">
                  <c:v>43782</c:v>
                </c:pt>
                <c:pt idx="44" c:formatCode="m&quot;月&quot;d&quot;日&quot;;@">
                  <c:v>43789</c:v>
                </c:pt>
                <c:pt idx="45" c:formatCode="m&quot;月&quot;d&quot;日&quot;;@">
                  <c:v>43796</c:v>
                </c:pt>
                <c:pt idx="46" c:formatCode="m&quot;月&quot;d&quot;日&quot;;@">
                  <c:v>43803</c:v>
                </c:pt>
                <c:pt idx="47" c:formatCode="m&quot;月&quot;d&quot;日&quot;;@">
                  <c:v>43810</c:v>
                </c:pt>
                <c:pt idx="48" c:formatCode="m&quot;月&quot;d&quot;日&quot;;@">
                  <c:v>43817</c:v>
                </c:pt>
                <c:pt idx="49" c:formatCode="m&quot;月&quot;d&quot;日&quot;;@">
                  <c:v>43824</c:v>
                </c:pt>
                <c:pt idx="50" c:formatCode="m&quot;月&quot;d&quot;日&quot;;@">
                  <c:v>43830</c:v>
                </c:pt>
              </c:numCache>
            </c:numRef>
          </c:cat>
          <c:val>
            <c:numRef>
              <c:f>体重!$G$3:$G$53</c:f>
              <c:numCache>
                <c:formatCode>0.00_ </c:formatCode>
                <c:ptCount val="51"/>
                <c:pt idx="0">
                  <c:v>126.06</c:v>
                </c:pt>
                <c:pt idx="1">
                  <c:v>124.54</c:v>
                </c:pt>
                <c:pt idx="2" c:formatCode="0.00_);[Red]\(0.00\)">
                  <c:v>122.97</c:v>
                </c:pt>
                <c:pt idx="3" c:formatCode="0.00_);[Red]\(0.00\)">
                  <c:v>119.87</c:v>
                </c:pt>
                <c:pt idx="4" c:formatCode="0.00_);[Red]\(0.00\)">
                  <c:v>120.87</c:v>
                </c:pt>
                <c:pt idx="5" c:formatCode="0.00_);[Red]\(0.00\)">
                  <c:v>121.17</c:v>
                </c:pt>
                <c:pt idx="6" c:formatCode="0.00_);[Red]\(0.00\)">
                  <c:v>121.45</c:v>
                </c:pt>
                <c:pt idx="7" c:formatCode="0.00_);[Red]\(0.00\)">
                  <c:v>120.23</c:v>
                </c:pt>
                <c:pt idx="8" c:formatCode="0.00_);[Red]\(0.00\)">
                  <c:v>120.76</c:v>
                </c:pt>
                <c:pt idx="9" c:formatCode="0.00_);[Red]\(0.00\)">
                  <c:v>121.11</c:v>
                </c:pt>
                <c:pt idx="10" c:formatCode="0.00_);[Red]\(0.00\)">
                  <c:v>122.05</c:v>
                </c:pt>
                <c:pt idx="11" c:formatCode="0.00_);[Red]\(0.00\)">
                  <c:v>122.32</c:v>
                </c:pt>
                <c:pt idx="12" c:formatCode="0.00_);[Red]\(0.00\)">
                  <c:v>122.56</c:v>
                </c:pt>
                <c:pt idx="13" c:formatCode="0.00_);[Red]\(0.00\)">
                  <c:v>122.78</c:v>
                </c:pt>
                <c:pt idx="14" c:formatCode="0.00_);[Red]\(0.00\)">
                  <c:v>122.86</c:v>
                </c:pt>
                <c:pt idx="15" c:formatCode="0.00_);[Red]\(0.00\)">
                  <c:v>122.74</c:v>
                </c:pt>
                <c:pt idx="16">
                  <c:v>122.64</c:v>
                </c:pt>
                <c:pt idx="17" c:formatCode="0.00_);[Red]\(0.00\)">
                  <c:v>122.67</c:v>
                </c:pt>
                <c:pt idx="18" c:formatCode="0.00_);[Red]\(0.00\)">
                  <c:v>122.59</c:v>
                </c:pt>
                <c:pt idx="19" c:formatCode="0.00_);[Red]\(0.00\)">
                  <c:v>122.28</c:v>
                </c:pt>
                <c:pt idx="20" c:formatCode="0.00_);[Red]\(0.00\)">
                  <c:v>121.86</c:v>
                </c:pt>
                <c:pt idx="21" c:formatCode="0.00_);[Red]\(0.00\)">
                  <c:v>121.58</c:v>
                </c:pt>
                <c:pt idx="22">
                  <c:v>121.38</c:v>
                </c:pt>
                <c:pt idx="23" c:formatCode="0.00_);[Red]\(0.00\)">
                  <c:v>121.27</c:v>
                </c:pt>
                <c:pt idx="24" c:formatCode="0.00_);[Red]\(0.00\)">
                  <c:v>120.89</c:v>
                </c:pt>
                <c:pt idx="25" c:formatCode="0.00_);[Red]\(0.00\)">
                  <c:v>120.56</c:v>
                </c:pt>
                <c:pt idx="26" c:formatCode="0.00_);[Red]\(0.00\)">
                  <c:v>120.34</c:v>
                </c:pt>
                <c:pt idx="27" c:formatCode="0.00_);[Red]\(0.00\)">
                  <c:v>120.21</c:v>
                </c:pt>
                <c:pt idx="28" c:formatCode="0.00_);[Red]\(0.00\)">
                  <c:v>120.11</c:v>
                </c:pt>
                <c:pt idx="29" c:formatCode="0.00_);[Red]\(0.00\)">
                  <c:v>120.06</c:v>
                </c:pt>
                <c:pt idx="30" c:formatCode="0.00_);[Red]\(0.00\)">
                  <c:v>120.36</c:v>
                </c:pt>
                <c:pt idx="31" c:formatCode="0.00_);[Red]\(0.00\)">
                  <c:v>121.33</c:v>
                </c:pt>
                <c:pt idx="32" c:formatCode="0.00_);[Red]\(0.00\)">
                  <c:v>121.51</c:v>
                </c:pt>
                <c:pt idx="33" c:formatCode="0.00_);[Red]\(0.00\)">
                  <c:v>122.24</c:v>
                </c:pt>
                <c:pt idx="34" c:formatCode="0.00_);[Red]\(0.00\)">
                  <c:v>122.49</c:v>
                </c:pt>
                <c:pt idx="35" c:formatCode="0.00_);[Red]\(0.00\)">
                  <c:v>122.83</c:v>
                </c:pt>
                <c:pt idx="36" c:formatCode="0.00_);[Red]\(0.00\)">
                  <c:v>122.81</c:v>
                </c:pt>
                <c:pt idx="37" c:formatCode="0.00_);[Red]\(0.00\)">
                  <c:v>123</c:v>
                </c:pt>
                <c:pt idx="38" c:formatCode="0.00_);[Red]\(0.00\)">
                  <c:v>123.45</c:v>
                </c:pt>
                <c:pt idx="39" c:formatCode="0.00_);[Red]\(0.00\)">
                  <c:v>123.22</c:v>
                </c:pt>
                <c:pt idx="40" c:formatCode="0.00_);[Red]\(0.00\)">
                  <c:v>123.02</c:v>
                </c:pt>
                <c:pt idx="41" c:formatCode="0.00_);[Red]\(0.00\)">
                  <c:v>122.59</c:v>
                </c:pt>
                <c:pt idx="42" c:formatCode="0.00_);[Red]\(0.00\)">
                  <c:v>121.88</c:v>
                </c:pt>
                <c:pt idx="43" c:formatCode="0.00_);[Red]\(0.00\)">
                  <c:v>122</c:v>
                </c:pt>
                <c:pt idx="44" c:formatCode="0.00_);[Red]\(0.00\)">
                  <c:v>123.21</c:v>
                </c:pt>
                <c:pt idx="45" c:formatCode="0.00_);[Red]\(0.00\)">
                  <c:v>123.79</c:v>
                </c:pt>
                <c:pt idx="46" c:formatCode="0.00_);[Red]\(0.00\)">
                  <c:v>124</c:v>
                </c:pt>
                <c:pt idx="47">
                  <c:v>123.38</c:v>
                </c:pt>
                <c:pt idx="48">
                  <c:v>123.64</c:v>
                </c:pt>
                <c:pt idx="49" c:formatCode="0.00_);[Red]\(0.00\)">
                  <c:v>123.93</c:v>
                </c:pt>
                <c:pt idx="50" c:formatCode="0.00_);[Red]\(0.00\)">
                  <c:v>124.24</c:v>
                </c:pt>
              </c:numCache>
            </c:numRef>
          </c:val>
          <c:smooth val="0"/>
        </c:ser>
        <c:ser>
          <c:idx val="5"/>
          <c:order val="4"/>
          <c:tx>
            <c:strRef>
              <c:f>体重!$H$2</c:f>
              <c:strCache>
                <c:ptCount val="1"/>
                <c:pt idx="0">
                  <c:v>2024年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体重!$A$3:$A$53</c:f>
              <c:numCache>
                <c:formatCode>m"月"d"日";@</c:formatCode>
                <c:ptCount val="51"/>
                <c:pt idx="0" c:formatCode="m&quot;月&quot;d&quot;日&quot;;@">
                  <c:v>43466</c:v>
                </c:pt>
                <c:pt idx="1" c:formatCode="m&quot;月&quot;d&quot;日&quot;;@">
                  <c:v>43473</c:v>
                </c:pt>
                <c:pt idx="2" c:formatCode="m&quot;月&quot;d&quot;日&quot;;@">
                  <c:v>43480</c:v>
                </c:pt>
                <c:pt idx="3" c:formatCode="m&quot;月&quot;d&quot;日&quot;;@">
                  <c:v>43487</c:v>
                </c:pt>
                <c:pt idx="4" c:formatCode="m&quot;月&quot;d&quot;日&quot;;@">
                  <c:v>43494</c:v>
                </c:pt>
                <c:pt idx="5" c:formatCode="m&quot;月&quot;d&quot;日&quot;;@">
                  <c:v>43501</c:v>
                </c:pt>
                <c:pt idx="6" c:formatCode="m&quot;月&quot;d&quot;日&quot;;@">
                  <c:v>43508</c:v>
                </c:pt>
                <c:pt idx="7" c:formatCode="m&quot;月&quot;d&quot;日&quot;;@">
                  <c:v>43522</c:v>
                </c:pt>
                <c:pt idx="8" c:formatCode="m&quot;月&quot;d&quot;日&quot;;@">
                  <c:v>43529</c:v>
                </c:pt>
                <c:pt idx="9" c:formatCode="m&quot;月&quot;d&quot;日&quot;;@">
                  <c:v>43536</c:v>
                </c:pt>
                <c:pt idx="10" c:formatCode="m&quot;月&quot;d&quot;日&quot;;@">
                  <c:v>43543</c:v>
                </c:pt>
                <c:pt idx="11" c:formatCode="m&quot;月&quot;d&quot;日&quot;;@">
                  <c:v>43550</c:v>
                </c:pt>
                <c:pt idx="12" c:formatCode="m&quot;月&quot;d&quot;日&quot;;@">
                  <c:v>43557</c:v>
                </c:pt>
                <c:pt idx="13" c:formatCode="m&quot;月&quot;d&quot;日&quot;;@">
                  <c:v>43564</c:v>
                </c:pt>
                <c:pt idx="14" c:formatCode="m&quot;月&quot;d&quot;日&quot;;@">
                  <c:v>43571</c:v>
                </c:pt>
                <c:pt idx="15" c:formatCode="m&quot;月&quot;d&quot;日&quot;;@">
                  <c:v>43578</c:v>
                </c:pt>
                <c:pt idx="16" c:formatCode="m&quot;月&quot;d&quot;日&quot;;@">
                  <c:v>43585</c:v>
                </c:pt>
                <c:pt idx="17" c:formatCode="m&quot;月&quot;d&quot;日&quot;;@">
                  <c:v>43592</c:v>
                </c:pt>
                <c:pt idx="18" c:formatCode="m&quot;月&quot;d&quot;日&quot;;@">
                  <c:v>43599</c:v>
                </c:pt>
                <c:pt idx="19" c:formatCode="m&quot;月&quot;d&quot;日&quot;;@">
                  <c:v>43606</c:v>
                </c:pt>
                <c:pt idx="20" c:formatCode="m&quot;月&quot;d&quot;日&quot;;@">
                  <c:v>43613</c:v>
                </c:pt>
                <c:pt idx="21" c:formatCode="m&quot;月&quot;d&quot;日&quot;;@">
                  <c:v>43620</c:v>
                </c:pt>
                <c:pt idx="22" c:formatCode="m&quot;月&quot;d&quot;日&quot;;@">
                  <c:v>43627</c:v>
                </c:pt>
                <c:pt idx="23" c:formatCode="m&quot;月&quot;d&quot;日&quot;;@">
                  <c:v>43634</c:v>
                </c:pt>
                <c:pt idx="24" c:formatCode="m&quot;月&quot;d&quot;日&quot;;@">
                  <c:v>43641</c:v>
                </c:pt>
                <c:pt idx="25" c:formatCode="m&quot;月&quot;d&quot;日&quot;;@">
                  <c:v>43648</c:v>
                </c:pt>
                <c:pt idx="26" c:formatCode="m&quot;月&quot;d&quot;日&quot;;@">
                  <c:v>43655</c:v>
                </c:pt>
                <c:pt idx="27" c:formatCode="m&quot;月&quot;d&quot;日&quot;;@">
                  <c:v>43662</c:v>
                </c:pt>
                <c:pt idx="28" c:formatCode="m&quot;月&quot;d&quot;日&quot;;@">
                  <c:v>43669</c:v>
                </c:pt>
                <c:pt idx="29" c:formatCode="m&quot;月&quot;d&quot;日&quot;;@">
                  <c:v>43676</c:v>
                </c:pt>
                <c:pt idx="30" c:formatCode="m&quot;月&quot;d&quot;日&quot;;@">
                  <c:v>43683</c:v>
                </c:pt>
                <c:pt idx="31" c:formatCode="m&quot;月&quot;d&quot;日&quot;;@">
                  <c:v>43690</c:v>
                </c:pt>
                <c:pt idx="32" c:formatCode="m&quot;月&quot;d&quot;日&quot;;@">
                  <c:v>43697</c:v>
                </c:pt>
                <c:pt idx="33" c:formatCode="m&quot;月&quot;d&quot;日&quot;;@">
                  <c:v>43704</c:v>
                </c:pt>
                <c:pt idx="34" c:formatCode="m&quot;月&quot;d&quot;日&quot;;@">
                  <c:v>43711</c:v>
                </c:pt>
                <c:pt idx="35" c:formatCode="m&quot;月&quot;d&quot;日&quot;;@">
                  <c:v>43718</c:v>
                </c:pt>
                <c:pt idx="36" c:formatCode="m&quot;月&quot;d&quot;日&quot;;@">
                  <c:v>43725</c:v>
                </c:pt>
                <c:pt idx="37" c:formatCode="m&quot;月&quot;d&quot;日&quot;;@">
                  <c:v>43732</c:v>
                </c:pt>
                <c:pt idx="38" c:formatCode="m&quot;月&quot;d&quot;日&quot;;@">
                  <c:v>43747</c:v>
                </c:pt>
                <c:pt idx="39" c:formatCode="m&quot;月&quot;d&quot;日&quot;;@">
                  <c:v>43754</c:v>
                </c:pt>
                <c:pt idx="40" c:formatCode="m&quot;月&quot;d&quot;日&quot;;@">
                  <c:v>43761</c:v>
                </c:pt>
                <c:pt idx="41" c:formatCode="m&quot;月&quot;d&quot;日&quot;;@">
                  <c:v>43768</c:v>
                </c:pt>
                <c:pt idx="42" c:formatCode="m&quot;月&quot;d&quot;日&quot;;@">
                  <c:v>43775</c:v>
                </c:pt>
                <c:pt idx="43" c:formatCode="m&quot;月&quot;d&quot;日&quot;;@">
                  <c:v>43782</c:v>
                </c:pt>
                <c:pt idx="44" c:formatCode="m&quot;月&quot;d&quot;日&quot;;@">
                  <c:v>43789</c:v>
                </c:pt>
                <c:pt idx="45" c:formatCode="m&quot;月&quot;d&quot;日&quot;;@">
                  <c:v>43796</c:v>
                </c:pt>
                <c:pt idx="46" c:formatCode="m&quot;月&quot;d&quot;日&quot;;@">
                  <c:v>43803</c:v>
                </c:pt>
                <c:pt idx="47" c:formatCode="m&quot;月&quot;d&quot;日&quot;;@">
                  <c:v>43810</c:v>
                </c:pt>
                <c:pt idx="48" c:formatCode="m&quot;月&quot;d&quot;日&quot;;@">
                  <c:v>43817</c:v>
                </c:pt>
                <c:pt idx="49" c:formatCode="m&quot;月&quot;d&quot;日&quot;;@">
                  <c:v>43824</c:v>
                </c:pt>
                <c:pt idx="50" c:formatCode="m&quot;月&quot;d&quot;日&quot;;@">
                  <c:v>43830</c:v>
                </c:pt>
              </c:numCache>
            </c:numRef>
          </c:cat>
          <c:val>
            <c:numRef>
              <c:f>体重!$H$3:$H$53</c:f>
              <c:numCache>
                <c:formatCode>0.00_ </c:formatCode>
                <c:ptCount val="51"/>
                <c:pt idx="0">
                  <c:v>124.3</c:v>
                </c:pt>
                <c:pt idx="1">
                  <c:v>123.51</c:v>
                </c:pt>
                <c:pt idx="2" c:formatCode="0.00_);[Red]\(0.00\)">
                  <c:v>122.96</c:v>
                </c:pt>
                <c:pt idx="3" c:formatCode="0.00_);[Red]\(0.00\)">
                  <c:v>122.47</c:v>
                </c:pt>
                <c:pt idx="4" c:formatCode="0.00_);[Red]\(0.00\)">
                  <c:v>120.67</c:v>
                </c:pt>
                <c:pt idx="6" c:formatCode="0.00_);[Red]\(0.00\)">
                  <c:v>121.43</c:v>
                </c:pt>
                <c:pt idx="7" c:formatCode="0.00_);[Red]\(0.00\)">
                  <c:v>121.72</c:v>
                </c:pt>
                <c:pt idx="8">
                  <c:v>122.77</c:v>
                </c:pt>
                <c:pt idx="9">
                  <c:v>123.5</c:v>
                </c:pt>
                <c:pt idx="10" c:formatCode="0.00_);[Red]\(0.00\)">
                  <c:v>124.03</c:v>
                </c:pt>
                <c:pt idx="11" c:formatCode="0.00_);[Red]\(0.00\)">
                  <c:v>124.67</c:v>
                </c:pt>
                <c:pt idx="12">
                  <c:v>125.36</c:v>
                </c:pt>
                <c:pt idx="13" c:formatCode="0.00_);[Red]\(0.00\)">
                  <c:v>126.03</c:v>
                </c:pt>
                <c:pt idx="14" c:formatCode="0.00_);[Red]\(0.00\)">
                  <c:v>126.67</c:v>
                </c:pt>
                <c:pt idx="15" c:formatCode="0.00_);[Red]\(0.00\)">
                  <c:v>126.25</c:v>
                </c:pt>
                <c:pt idx="16" c:formatCode="0.00_);[Red]\(0.00\)">
                  <c:v>125.84</c:v>
                </c:pt>
                <c:pt idx="17" c:formatCode="0.00_);[Red]\(0.00\)">
                  <c:v>125.41</c:v>
                </c:pt>
                <c:pt idx="18" c:formatCode="0.00_);[Red]\(0.00\)">
                  <c:v>125.3</c:v>
                </c:pt>
                <c:pt idx="19">
                  <c:v>125.72</c:v>
                </c:pt>
                <c:pt idx="20">
                  <c:v>125.92</c:v>
                </c:pt>
                <c:pt idx="21" c:formatCode="0.00_);[Red]\(0.00\)">
                  <c:v>126.13</c:v>
                </c:pt>
                <c:pt idx="22" c:formatCode="0.00_);[Red]\(0.00\)">
                  <c:v>126.28</c:v>
                </c:pt>
                <c:pt idx="23" c:formatCode="0.00_);[Red]\(0.00\)">
                  <c:v>126.29</c:v>
                </c:pt>
                <c:pt idx="24" c:formatCode="0.00_);[Red]\(0.00\)">
                  <c:v>125.99</c:v>
                </c:pt>
                <c:pt idx="25" c:formatCode="0.00_);[Red]\(0.00\)">
                  <c:v>125.71</c:v>
                </c:pt>
                <c:pt idx="26">
                  <c:v>125.66</c:v>
                </c:pt>
                <c:pt idx="27" c:formatCode="0.00_);[Red]\(0.00\)">
                  <c:v>125.37</c:v>
                </c:pt>
                <c:pt idx="28">
                  <c:v>125.39</c:v>
                </c:pt>
                <c:pt idx="29">
                  <c:v>125.46</c:v>
                </c:pt>
                <c:pt idx="30" c:formatCode="0.00_);[Red]\(0.00\)">
                  <c:v>125.83</c:v>
                </c:pt>
                <c:pt idx="31" c:formatCode="0.00_);[Red]\(0.00\)">
                  <c:v>126.17</c:v>
                </c:pt>
                <c:pt idx="32" c:formatCode="0.00_);[Red]\(0.00\)">
                  <c:v>126.47</c:v>
                </c:pt>
                <c:pt idx="33" c:formatCode="0.00_);[Red]\(0.00\)">
                  <c:v>126.73</c:v>
                </c:pt>
                <c:pt idx="34" c:formatCode="0.00_);[Red]\(0.00\)">
                  <c:v>126.27</c:v>
                </c:pt>
                <c:pt idx="35" c:formatCode="0.00_);[Red]\(0.00\)">
                  <c:v>125.96</c:v>
                </c:pt>
                <c:pt idx="36" c:formatCode="0.00_);[Red]\(0.00\)">
                  <c:v>125.97</c:v>
                </c:pt>
                <c:pt idx="37">
                  <c:v>125.68</c:v>
                </c:pt>
                <c:pt idx="38">
                  <c:v>125.87</c:v>
                </c:pt>
                <c:pt idx="39" c:formatCode="0.00_);[Red]\(0.00\)">
                  <c:v>126.34</c:v>
                </c:pt>
                <c:pt idx="40" c:formatCode="0.00_);[Red]\(0.00\)">
                  <c:v>126.07</c:v>
                </c:pt>
                <c:pt idx="41" c:formatCode="0.00_);[Red]\(0.00\)">
                  <c:v>125.5</c:v>
                </c:pt>
                <c:pt idx="42" c:formatCode="0.00_);[Red]\(0.00\)">
                  <c:v>125.9</c:v>
                </c:pt>
                <c:pt idx="43" c:formatCode="0.00_);[Red]\(0.00\)">
                  <c:v>126.46</c:v>
                </c:pt>
                <c:pt idx="44" c:formatCode="0.00_);[Red]\(0.00\)">
                  <c:v>126.73</c:v>
                </c:pt>
                <c:pt idx="45" c:formatCode="0.00_);[Red]\(0.00\)">
                  <c:v>127.35</c:v>
                </c:pt>
                <c:pt idx="46">
                  <c:v>128.33</c:v>
                </c:pt>
                <c:pt idx="47">
                  <c:v>130.27</c:v>
                </c:pt>
                <c:pt idx="48" c:formatCode="0.00_);[Red]\(0.00\)">
                  <c:v>130.68</c:v>
                </c:pt>
                <c:pt idx="49" c:formatCode="0.00_);[Red]\(0.00\)">
                  <c:v>127.76</c:v>
                </c:pt>
              </c:numCache>
            </c:numRef>
          </c:val>
          <c:smooth val="0"/>
        </c:ser>
        <c:ser>
          <c:idx val="0"/>
          <c:order val="5"/>
          <c:tx>
            <c:strRef>
              <c:f>体重!$I$2</c:f>
              <c:strCache>
                <c:ptCount val="1"/>
                <c:pt idx="0">
                  <c:v>2025年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体重!$A$3:$A$53</c:f>
              <c:numCache>
                <c:formatCode>m"月"d"日";@</c:formatCode>
                <c:ptCount val="51"/>
                <c:pt idx="0" c:formatCode="m&quot;月&quot;d&quot;日&quot;;@">
                  <c:v>43466</c:v>
                </c:pt>
                <c:pt idx="1" c:formatCode="m&quot;月&quot;d&quot;日&quot;;@">
                  <c:v>43473</c:v>
                </c:pt>
                <c:pt idx="2" c:formatCode="m&quot;月&quot;d&quot;日&quot;;@">
                  <c:v>43480</c:v>
                </c:pt>
                <c:pt idx="3" c:formatCode="m&quot;月&quot;d&quot;日&quot;;@">
                  <c:v>43487</c:v>
                </c:pt>
                <c:pt idx="4" c:formatCode="m&quot;月&quot;d&quot;日&quot;;@">
                  <c:v>43494</c:v>
                </c:pt>
                <c:pt idx="5" c:formatCode="m&quot;月&quot;d&quot;日&quot;;@">
                  <c:v>43501</c:v>
                </c:pt>
                <c:pt idx="6" c:formatCode="m&quot;月&quot;d&quot;日&quot;;@">
                  <c:v>43508</c:v>
                </c:pt>
                <c:pt idx="7" c:formatCode="m&quot;月&quot;d&quot;日&quot;;@">
                  <c:v>43522</c:v>
                </c:pt>
                <c:pt idx="8" c:formatCode="m&quot;月&quot;d&quot;日&quot;;@">
                  <c:v>43529</c:v>
                </c:pt>
                <c:pt idx="9" c:formatCode="m&quot;月&quot;d&quot;日&quot;;@">
                  <c:v>43536</c:v>
                </c:pt>
                <c:pt idx="10" c:formatCode="m&quot;月&quot;d&quot;日&quot;;@">
                  <c:v>43543</c:v>
                </c:pt>
                <c:pt idx="11" c:formatCode="m&quot;月&quot;d&quot;日&quot;;@">
                  <c:v>43550</c:v>
                </c:pt>
                <c:pt idx="12" c:formatCode="m&quot;月&quot;d&quot;日&quot;;@">
                  <c:v>43557</c:v>
                </c:pt>
                <c:pt idx="13" c:formatCode="m&quot;月&quot;d&quot;日&quot;;@">
                  <c:v>43564</c:v>
                </c:pt>
                <c:pt idx="14" c:formatCode="m&quot;月&quot;d&quot;日&quot;;@">
                  <c:v>43571</c:v>
                </c:pt>
                <c:pt idx="15" c:formatCode="m&quot;月&quot;d&quot;日&quot;;@">
                  <c:v>43578</c:v>
                </c:pt>
                <c:pt idx="16" c:formatCode="m&quot;月&quot;d&quot;日&quot;;@">
                  <c:v>43585</c:v>
                </c:pt>
                <c:pt idx="17" c:formatCode="m&quot;月&quot;d&quot;日&quot;;@">
                  <c:v>43592</c:v>
                </c:pt>
                <c:pt idx="18" c:formatCode="m&quot;月&quot;d&quot;日&quot;;@">
                  <c:v>43599</c:v>
                </c:pt>
                <c:pt idx="19" c:formatCode="m&quot;月&quot;d&quot;日&quot;;@">
                  <c:v>43606</c:v>
                </c:pt>
                <c:pt idx="20" c:formatCode="m&quot;月&quot;d&quot;日&quot;;@">
                  <c:v>43613</c:v>
                </c:pt>
                <c:pt idx="21" c:formatCode="m&quot;月&quot;d&quot;日&quot;;@">
                  <c:v>43620</c:v>
                </c:pt>
                <c:pt idx="22" c:formatCode="m&quot;月&quot;d&quot;日&quot;;@">
                  <c:v>43627</c:v>
                </c:pt>
                <c:pt idx="23" c:formatCode="m&quot;月&quot;d&quot;日&quot;;@">
                  <c:v>43634</c:v>
                </c:pt>
                <c:pt idx="24" c:formatCode="m&quot;月&quot;d&quot;日&quot;;@">
                  <c:v>43641</c:v>
                </c:pt>
                <c:pt idx="25" c:formatCode="m&quot;月&quot;d&quot;日&quot;;@">
                  <c:v>43648</c:v>
                </c:pt>
                <c:pt idx="26" c:formatCode="m&quot;月&quot;d&quot;日&quot;;@">
                  <c:v>43655</c:v>
                </c:pt>
                <c:pt idx="27" c:formatCode="m&quot;月&quot;d&quot;日&quot;;@">
                  <c:v>43662</c:v>
                </c:pt>
                <c:pt idx="28" c:formatCode="m&quot;月&quot;d&quot;日&quot;;@">
                  <c:v>43669</c:v>
                </c:pt>
                <c:pt idx="29" c:formatCode="m&quot;月&quot;d&quot;日&quot;;@">
                  <c:v>43676</c:v>
                </c:pt>
                <c:pt idx="30" c:formatCode="m&quot;月&quot;d&quot;日&quot;;@">
                  <c:v>43683</c:v>
                </c:pt>
                <c:pt idx="31" c:formatCode="m&quot;月&quot;d&quot;日&quot;;@">
                  <c:v>43690</c:v>
                </c:pt>
                <c:pt idx="32" c:formatCode="m&quot;月&quot;d&quot;日&quot;;@">
                  <c:v>43697</c:v>
                </c:pt>
                <c:pt idx="33" c:formatCode="m&quot;月&quot;d&quot;日&quot;;@">
                  <c:v>43704</c:v>
                </c:pt>
                <c:pt idx="34" c:formatCode="m&quot;月&quot;d&quot;日&quot;;@">
                  <c:v>43711</c:v>
                </c:pt>
                <c:pt idx="35" c:formatCode="m&quot;月&quot;d&quot;日&quot;;@">
                  <c:v>43718</c:v>
                </c:pt>
                <c:pt idx="36" c:formatCode="m&quot;月&quot;d&quot;日&quot;;@">
                  <c:v>43725</c:v>
                </c:pt>
                <c:pt idx="37" c:formatCode="m&quot;月&quot;d&quot;日&quot;;@">
                  <c:v>43732</c:v>
                </c:pt>
                <c:pt idx="38" c:formatCode="m&quot;月&quot;d&quot;日&quot;;@">
                  <c:v>43747</c:v>
                </c:pt>
                <c:pt idx="39" c:formatCode="m&quot;月&quot;d&quot;日&quot;;@">
                  <c:v>43754</c:v>
                </c:pt>
                <c:pt idx="40" c:formatCode="m&quot;月&quot;d&quot;日&quot;;@">
                  <c:v>43761</c:v>
                </c:pt>
                <c:pt idx="41" c:formatCode="m&quot;月&quot;d&quot;日&quot;;@">
                  <c:v>43768</c:v>
                </c:pt>
                <c:pt idx="42" c:formatCode="m&quot;月&quot;d&quot;日&quot;;@">
                  <c:v>43775</c:v>
                </c:pt>
                <c:pt idx="43" c:formatCode="m&quot;月&quot;d&quot;日&quot;;@">
                  <c:v>43782</c:v>
                </c:pt>
                <c:pt idx="44" c:formatCode="m&quot;月&quot;d&quot;日&quot;;@">
                  <c:v>43789</c:v>
                </c:pt>
                <c:pt idx="45" c:formatCode="m&quot;月&quot;d&quot;日&quot;;@">
                  <c:v>43796</c:v>
                </c:pt>
                <c:pt idx="46" c:formatCode="m&quot;月&quot;d&quot;日&quot;;@">
                  <c:v>43803</c:v>
                </c:pt>
                <c:pt idx="47" c:formatCode="m&quot;月&quot;d&quot;日&quot;;@">
                  <c:v>43810</c:v>
                </c:pt>
                <c:pt idx="48" c:formatCode="m&quot;月&quot;d&quot;日&quot;;@">
                  <c:v>43817</c:v>
                </c:pt>
                <c:pt idx="49" c:formatCode="m&quot;月&quot;d&quot;日&quot;;@">
                  <c:v>43824</c:v>
                </c:pt>
                <c:pt idx="50" c:formatCode="m&quot;月&quot;d&quot;日&quot;;@">
                  <c:v>43830</c:v>
                </c:pt>
              </c:numCache>
            </c:numRef>
          </c:cat>
          <c:val>
            <c:numRef>
              <c:f>体重!$I$3:$I$53</c:f>
              <c:numCache>
                <c:formatCode>0.00_ </c:formatCode>
                <c:ptCount val="51"/>
                <c:pt idx="0">
                  <c:v>126.06</c:v>
                </c:pt>
                <c:pt idx="1">
                  <c:v>124.1</c:v>
                </c:pt>
                <c:pt idx="2" c:formatCode="0.00_);[Red]\(0.00\)">
                  <c:v>122.96</c:v>
                </c:pt>
                <c:pt idx="3" c:formatCode="0.00_);[Red]\(0.00\)">
                  <c:v>121.51</c:v>
                </c:pt>
                <c:pt idx="4">
                  <c:v>124.18</c:v>
                </c:pt>
                <c:pt idx="5">
                  <c:v>125.04</c:v>
                </c:pt>
                <c:pt idx="6" c:formatCode="0.00_);[Red]\(0.00\)">
                  <c:v>125.68</c:v>
                </c:pt>
                <c:pt idx="7" c:formatCode="0.00_);[Red]\(0.00\)">
                  <c:v>126.52</c:v>
                </c:pt>
                <c:pt idx="8">
                  <c:v>127.06</c:v>
                </c:pt>
                <c:pt idx="9">
                  <c:v>127.92</c:v>
                </c:pt>
                <c:pt idx="10" c:formatCode="0.00_);[Red]\(0.00\)">
                  <c:v>128.4</c:v>
                </c:pt>
                <c:pt idx="11" c:formatCode="0.00_);[Red]\(0.00\)">
                  <c:v>128.64</c:v>
                </c:pt>
                <c:pt idx="12">
                  <c:v>128.89</c:v>
                </c:pt>
                <c:pt idx="13">
                  <c:v>128.81</c:v>
                </c:pt>
                <c:pt idx="14" c:formatCode="0.00_);[Red]\(0.00\)">
                  <c:v>128.57</c:v>
                </c:pt>
                <c:pt idx="15" c:formatCode="0.00_);[Red]\(0.00\)">
                  <c:v>128.94</c:v>
                </c:pt>
                <c:pt idx="16">
                  <c:v>129.22</c:v>
                </c:pt>
                <c:pt idx="17">
                  <c:v>129.71</c:v>
                </c:pt>
                <c:pt idx="18" c:formatCode="0.00_);[Red]\(0.00\)">
                  <c:v>129.71</c:v>
                </c:pt>
                <c:pt idx="19" c:formatCode="0.00_);[Red]\(0.00\)">
                  <c:v>129.38</c:v>
                </c:pt>
                <c:pt idx="20">
                  <c:v>129.18</c:v>
                </c:pt>
                <c:pt idx="21">
                  <c:v>129.17</c:v>
                </c:pt>
                <c:pt idx="22" c:formatCode="0.00_);[Red]\(0.00\)">
                  <c:v>128.82</c:v>
                </c:pt>
                <c:pt idx="23" c:formatCode="0.00_);[Red]\(0.00\)">
                  <c:v>128.28</c:v>
                </c:pt>
                <c:pt idx="24">
                  <c:v>128.14</c:v>
                </c:pt>
                <c:pt idx="25">
                  <c:v>128.64</c:v>
                </c:pt>
                <c:pt idx="26" c:formatCode="0.00_);[Red]\(0.00\)">
                  <c:v>129.03</c:v>
                </c:pt>
                <c:pt idx="27" c:formatCode="0.00_);[Red]\(0.00\)">
                  <c:v>128.83</c:v>
                </c:pt>
                <c:pt idx="28">
                  <c:v>128.48</c:v>
                </c:pt>
                <c:pt idx="29">
                  <c:v>127.98</c:v>
                </c:pt>
                <c:pt idx="30" c:formatCode="0.00_);[Red]\(0.00\)">
                  <c:v>127.8</c:v>
                </c:pt>
                <c:pt idx="31" c:formatCode="0.00_);[Red]\(0.00\)">
                  <c:v>127.82</c:v>
                </c:pt>
                <c:pt idx="32">
                  <c:v>127.98</c:v>
                </c:pt>
                <c:pt idx="33">
                  <c:v>127.83</c:v>
                </c:pt>
                <c:pt idx="34" c:formatCode="0.00_);[Red]\(0.00\)">
                  <c:v>128.23</c:v>
                </c:pt>
                <c:pt idx="35" c:formatCode="0.00_);[Red]\(0.00\)">
                  <c:v>128.32</c:v>
                </c:pt>
                <c:pt idx="36">
                  <c:v>128.45</c:v>
                </c:pt>
                <c:pt idx="37">
                  <c:v>128.55</c:v>
                </c:pt>
                <c:pt idx="38" c:formatCode="0.00_);[Red]\(0.00\)">
                  <c:v>128.48</c:v>
                </c:pt>
                <c:pt idx="39">
                  <c:v>128.25</c:v>
                </c:pt>
                <c:pt idx="40">
                  <c:v>127.9</c:v>
                </c:pt>
                <c:pt idx="41" c:formatCode="0.00_);[Red]\(0.00\)">
                  <c:v>127.69</c:v>
                </c:pt>
                <c:pt idx="42" c:formatCode="0.00_);[Red]\(0.00\)">
                  <c:v>128.3</c:v>
                </c:pt>
                <c:pt idx="43">
                  <c:v>128.48</c:v>
                </c:pt>
                <c:pt idx="44">
                  <c:v>128.81</c:v>
                </c:pt>
                <c:pt idx="45" c:formatCode="0.00_);[Red]\(0.00\)">
                  <c:v>129.22</c:v>
                </c:pt>
                <c:pt idx="46" c:formatCode="0.00_);[Red]\(0.00\)">
                  <c:v>129.82</c:v>
                </c:pt>
                <c:pt idx="47">
                  <c:v>129.63</c:v>
                </c:pt>
                <c:pt idx="48">
                  <c:v>130.18</c:v>
                </c:pt>
                <c:pt idx="49" c:formatCode="0.00_);[Red]\(0.00\)">
                  <c:v>129.7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体重!$J$2</c:f>
              <c:strCache>
                <c:ptCount val="1"/>
                <c:pt idx="0">
                  <c:v>2026年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体重!$A$3:$A$53</c:f>
              <c:numCache>
                <c:formatCode>m"月"d"日";@</c:formatCode>
                <c:ptCount val="51"/>
                <c:pt idx="0" c:formatCode="m&quot;月&quot;d&quot;日&quot;;@">
                  <c:v>43466</c:v>
                </c:pt>
                <c:pt idx="1" c:formatCode="m&quot;月&quot;d&quot;日&quot;;@">
                  <c:v>43473</c:v>
                </c:pt>
                <c:pt idx="2" c:formatCode="m&quot;月&quot;d&quot;日&quot;;@">
                  <c:v>43480</c:v>
                </c:pt>
                <c:pt idx="3" c:formatCode="m&quot;月&quot;d&quot;日&quot;;@">
                  <c:v>43487</c:v>
                </c:pt>
                <c:pt idx="4" c:formatCode="m&quot;月&quot;d&quot;日&quot;;@">
                  <c:v>43494</c:v>
                </c:pt>
                <c:pt idx="5" c:formatCode="m&quot;月&quot;d&quot;日&quot;;@">
                  <c:v>43501</c:v>
                </c:pt>
                <c:pt idx="6" c:formatCode="m&quot;月&quot;d&quot;日&quot;;@">
                  <c:v>43508</c:v>
                </c:pt>
                <c:pt idx="7" c:formatCode="m&quot;月&quot;d&quot;日&quot;;@">
                  <c:v>43522</c:v>
                </c:pt>
                <c:pt idx="8" c:formatCode="m&quot;月&quot;d&quot;日&quot;;@">
                  <c:v>43529</c:v>
                </c:pt>
                <c:pt idx="9" c:formatCode="m&quot;月&quot;d&quot;日&quot;;@">
                  <c:v>43536</c:v>
                </c:pt>
                <c:pt idx="10" c:formatCode="m&quot;月&quot;d&quot;日&quot;;@">
                  <c:v>43543</c:v>
                </c:pt>
                <c:pt idx="11" c:formatCode="m&quot;月&quot;d&quot;日&quot;;@">
                  <c:v>43550</c:v>
                </c:pt>
                <c:pt idx="12" c:formatCode="m&quot;月&quot;d&quot;日&quot;;@">
                  <c:v>43557</c:v>
                </c:pt>
                <c:pt idx="13" c:formatCode="m&quot;月&quot;d&quot;日&quot;;@">
                  <c:v>43564</c:v>
                </c:pt>
                <c:pt idx="14" c:formatCode="m&quot;月&quot;d&quot;日&quot;;@">
                  <c:v>43571</c:v>
                </c:pt>
                <c:pt idx="15" c:formatCode="m&quot;月&quot;d&quot;日&quot;;@">
                  <c:v>43578</c:v>
                </c:pt>
                <c:pt idx="16" c:formatCode="m&quot;月&quot;d&quot;日&quot;;@">
                  <c:v>43585</c:v>
                </c:pt>
                <c:pt idx="17" c:formatCode="m&quot;月&quot;d&quot;日&quot;;@">
                  <c:v>43592</c:v>
                </c:pt>
                <c:pt idx="18" c:formatCode="m&quot;月&quot;d&quot;日&quot;;@">
                  <c:v>43599</c:v>
                </c:pt>
                <c:pt idx="19" c:formatCode="m&quot;月&quot;d&quot;日&quot;;@">
                  <c:v>43606</c:v>
                </c:pt>
                <c:pt idx="20" c:formatCode="m&quot;月&quot;d&quot;日&quot;;@">
                  <c:v>43613</c:v>
                </c:pt>
                <c:pt idx="21" c:formatCode="m&quot;月&quot;d&quot;日&quot;;@">
                  <c:v>43620</c:v>
                </c:pt>
                <c:pt idx="22" c:formatCode="m&quot;月&quot;d&quot;日&quot;;@">
                  <c:v>43627</c:v>
                </c:pt>
                <c:pt idx="23" c:formatCode="m&quot;月&quot;d&quot;日&quot;;@">
                  <c:v>43634</c:v>
                </c:pt>
                <c:pt idx="24" c:formatCode="m&quot;月&quot;d&quot;日&quot;;@">
                  <c:v>43641</c:v>
                </c:pt>
                <c:pt idx="25" c:formatCode="m&quot;月&quot;d&quot;日&quot;;@">
                  <c:v>43648</c:v>
                </c:pt>
                <c:pt idx="26" c:formatCode="m&quot;月&quot;d&quot;日&quot;;@">
                  <c:v>43655</c:v>
                </c:pt>
                <c:pt idx="27" c:formatCode="m&quot;月&quot;d&quot;日&quot;;@">
                  <c:v>43662</c:v>
                </c:pt>
                <c:pt idx="28" c:formatCode="m&quot;月&quot;d&quot;日&quot;;@">
                  <c:v>43669</c:v>
                </c:pt>
                <c:pt idx="29" c:formatCode="m&quot;月&quot;d&quot;日&quot;;@">
                  <c:v>43676</c:v>
                </c:pt>
                <c:pt idx="30" c:formatCode="m&quot;月&quot;d&quot;日&quot;;@">
                  <c:v>43683</c:v>
                </c:pt>
                <c:pt idx="31" c:formatCode="m&quot;月&quot;d&quot;日&quot;;@">
                  <c:v>43690</c:v>
                </c:pt>
                <c:pt idx="32" c:formatCode="m&quot;月&quot;d&quot;日&quot;;@">
                  <c:v>43697</c:v>
                </c:pt>
                <c:pt idx="33" c:formatCode="m&quot;月&quot;d&quot;日&quot;;@">
                  <c:v>43704</c:v>
                </c:pt>
                <c:pt idx="34" c:formatCode="m&quot;月&quot;d&quot;日&quot;;@">
                  <c:v>43711</c:v>
                </c:pt>
                <c:pt idx="35" c:formatCode="m&quot;月&quot;d&quot;日&quot;;@">
                  <c:v>43718</c:v>
                </c:pt>
                <c:pt idx="36" c:formatCode="m&quot;月&quot;d&quot;日&quot;;@">
                  <c:v>43725</c:v>
                </c:pt>
                <c:pt idx="37" c:formatCode="m&quot;月&quot;d&quot;日&quot;;@">
                  <c:v>43732</c:v>
                </c:pt>
                <c:pt idx="38" c:formatCode="m&quot;月&quot;d&quot;日&quot;;@">
                  <c:v>43747</c:v>
                </c:pt>
                <c:pt idx="39" c:formatCode="m&quot;月&quot;d&quot;日&quot;;@">
                  <c:v>43754</c:v>
                </c:pt>
                <c:pt idx="40" c:formatCode="m&quot;月&quot;d&quot;日&quot;;@">
                  <c:v>43761</c:v>
                </c:pt>
                <c:pt idx="41" c:formatCode="m&quot;月&quot;d&quot;日&quot;;@">
                  <c:v>43768</c:v>
                </c:pt>
                <c:pt idx="42" c:formatCode="m&quot;月&quot;d&quot;日&quot;;@">
                  <c:v>43775</c:v>
                </c:pt>
                <c:pt idx="43" c:formatCode="m&quot;月&quot;d&quot;日&quot;;@">
                  <c:v>43782</c:v>
                </c:pt>
                <c:pt idx="44" c:formatCode="m&quot;月&quot;d&quot;日&quot;;@">
                  <c:v>43789</c:v>
                </c:pt>
                <c:pt idx="45" c:formatCode="m&quot;月&quot;d&quot;日&quot;;@">
                  <c:v>43796</c:v>
                </c:pt>
                <c:pt idx="46" c:formatCode="m&quot;月&quot;d&quot;日&quot;;@">
                  <c:v>43803</c:v>
                </c:pt>
                <c:pt idx="47" c:formatCode="m&quot;月&quot;d&quot;日&quot;;@">
                  <c:v>43810</c:v>
                </c:pt>
                <c:pt idx="48" c:formatCode="m&quot;月&quot;d&quot;日&quot;;@">
                  <c:v>43817</c:v>
                </c:pt>
                <c:pt idx="49" c:formatCode="m&quot;月&quot;d&quot;日&quot;;@">
                  <c:v>43824</c:v>
                </c:pt>
                <c:pt idx="50" c:formatCode="m&quot;月&quot;d&quot;日&quot;;@">
                  <c:v>43830</c:v>
                </c:pt>
              </c:numCache>
            </c:numRef>
          </c:cat>
          <c:val>
            <c:numRef>
              <c:f>体重!$J$3:$J$53</c:f>
              <c:numCache>
                <c:formatCode>0.00_ </c:formatCode>
                <c:ptCount val="51"/>
                <c:pt idx="0">
                  <c:v>128.66</c:v>
                </c:pt>
                <c:pt idx="1">
                  <c:v>128.54</c:v>
                </c:pt>
                <c:pt idx="2" c:formatCode="0.00_);[Red]\(0.00\)">
                  <c:v>128.85</c:v>
                </c:pt>
                <c:pt idx="3" c:formatCode="0.00_);[Red]\(0.00\)">
                  <c:v>128.89</c:v>
                </c:pt>
                <c:pt idx="4">
                  <c:v>127.86</c:v>
                </c:pt>
                <c:pt idx="5">
                  <c:v>127.4</c:v>
                </c:pt>
                <c:pt idx="6" c:formatCode="0.00_);[Red]\(0.00\)">
                  <c:v>126.05</c:v>
                </c:pt>
                <c:pt idx="7" c:formatCode="0.00_);[Red]\(0.00\)">
                  <c:v>127.73</c:v>
                </c:pt>
                <c:pt idx="8">
                  <c:v>128.15</c:v>
                </c:pt>
                <c:pt idx="9">
                  <c:v>128.55</c:v>
                </c:pt>
                <c:pt idx="10" c:formatCode="0.00_);[Red]\(0.00\)">
                  <c:v>128.62</c:v>
                </c:pt>
                <c:pt idx="11" c:formatCode="0.00_);[Red]\(0.00\)">
                  <c:v>128.71</c:v>
                </c:pt>
                <c:pt idx="12">
                  <c:v>128.81</c:v>
                </c:pt>
                <c:pt idx="13">
                  <c:v>128.61</c:v>
                </c:pt>
                <c:pt idx="14" c:formatCode="0.00_);[Red]\(0.00\)">
                  <c:v>128.46</c:v>
                </c:pt>
                <c:pt idx="15" c:formatCode="0.00_);[Red]\(0.00\)">
                  <c:v>128.51</c:v>
                </c:pt>
                <c:pt idx="16">
                  <c:v>128.68</c:v>
                </c:pt>
                <c:pt idx="17">
                  <c:v>128.85</c:v>
                </c:pt>
                <c:pt idx="18" c:formatCode="0.00_);[Red]\(0.00\)">
                  <c:v>128.8</c:v>
                </c:pt>
                <c:pt idx="19" c:formatCode="0.00_);[Red]\(0.00\)">
                  <c:v>128.79</c:v>
                </c:pt>
                <c:pt idx="20">
                  <c:v>128.8</c:v>
                </c:pt>
                <c:pt idx="21">
                  <c:v>129.08</c:v>
                </c:pt>
                <c:pt idx="22" c:formatCode="0.00_);[Red]\(0.00\)">
                  <c:v>129.32</c:v>
                </c:pt>
                <c:pt idx="23" c:formatCode="0.00_);[Red]\(0.00\)">
                  <c:v>129.27</c:v>
                </c:pt>
                <c:pt idx="24">
                  <c:v>128.26</c:v>
                </c:pt>
                <c:pt idx="25">
                  <c:v>127.99</c:v>
                </c:pt>
                <c:pt idx="26" c:formatCode="0.00_);[Red]\(0.00\)">
                  <c:v>128.03</c:v>
                </c:pt>
                <c:pt idx="27" c:formatCode="0.00_);[Red]\(0.00\)">
                  <c:v>128.1</c:v>
                </c:pt>
                <c:pt idx="28">
                  <c:v>128.15</c:v>
                </c:pt>
                <c:pt idx="29">
                  <c:v>128.04</c:v>
                </c:pt>
                <c:pt idx="30" c:formatCode="0.00_);[Red]\(0.00\)">
                  <c:v>128.1</c:v>
                </c:pt>
                <c:pt idx="31" c:formatCode="0.00_);[Red]\(0.00\)">
                  <c:v>128.1</c:v>
                </c:pt>
                <c:pt idx="32">
                  <c:v>128.37</c:v>
                </c:pt>
                <c:pt idx="33">
                  <c:v>128.76</c:v>
                </c:pt>
                <c:pt idx="34" c:formatCode="0.00_);[Red]\(0.00\)">
                  <c:v>129.19</c:v>
                </c:pt>
                <c:pt idx="35" c:formatCode="0.00_);[Red]\(0.00\)">
                  <c:v>129.32</c:v>
                </c:pt>
                <c:pt idx="36">
                  <c:v>129.25</c:v>
                </c:pt>
                <c:pt idx="37">
                  <c:v>128.82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76015018"/>
        <c:axId val="884638107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体重!$D$2</c15:sqref>
                        </c15:formulaRef>
                      </c:ext>
                    </c:extLst>
                    <c:strCache>
                      <c:ptCount val="1"/>
                      <c:pt idx="0">
                        <c:v>2020年</c:v>
                      </c:pt>
                    </c:strCache>
                  </c:strRef>
                </c:tx>
                <c:spPr>
                  <a:ln w="28575" cap="rnd">
                    <a:solidFill>
                      <a:srgbClr val="FFC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体重!$A$3:$A$53</c15:sqref>
                        </c15:formulaRef>
                      </c:ext>
                    </c:extLst>
                    <c:numCache>
                      <c:formatCode>m"月"d"日";@</c:formatCode>
                      <c:ptCount val="51"/>
                      <c:pt idx="0" c:formatCode="m&quot;月&quot;d&quot;日&quot;;@">
                        <c:v>43466</c:v>
                      </c:pt>
                      <c:pt idx="1" c:formatCode="m&quot;月&quot;d&quot;日&quot;;@">
                        <c:v>43473</c:v>
                      </c:pt>
                      <c:pt idx="2" c:formatCode="m&quot;月&quot;d&quot;日&quot;;@">
                        <c:v>43480</c:v>
                      </c:pt>
                      <c:pt idx="3" c:formatCode="m&quot;月&quot;d&quot;日&quot;;@">
                        <c:v>43487</c:v>
                      </c:pt>
                      <c:pt idx="4" c:formatCode="m&quot;月&quot;d&quot;日&quot;;@">
                        <c:v>43494</c:v>
                      </c:pt>
                      <c:pt idx="5" c:formatCode="m&quot;月&quot;d&quot;日&quot;;@">
                        <c:v>43501</c:v>
                      </c:pt>
                      <c:pt idx="6" c:formatCode="m&quot;月&quot;d&quot;日&quot;;@">
                        <c:v>43508</c:v>
                      </c:pt>
                      <c:pt idx="7" c:formatCode="m&quot;月&quot;d&quot;日&quot;;@">
                        <c:v>43522</c:v>
                      </c:pt>
                      <c:pt idx="8" c:formatCode="m&quot;月&quot;d&quot;日&quot;;@">
                        <c:v>43529</c:v>
                      </c:pt>
                      <c:pt idx="9" c:formatCode="m&quot;月&quot;d&quot;日&quot;;@">
                        <c:v>43536</c:v>
                      </c:pt>
                      <c:pt idx="10" c:formatCode="m&quot;月&quot;d&quot;日&quot;;@">
                        <c:v>43543</c:v>
                      </c:pt>
                      <c:pt idx="11" c:formatCode="m&quot;月&quot;d&quot;日&quot;;@">
                        <c:v>43550</c:v>
                      </c:pt>
                      <c:pt idx="12" c:formatCode="m&quot;月&quot;d&quot;日&quot;;@">
                        <c:v>43557</c:v>
                      </c:pt>
                      <c:pt idx="13" c:formatCode="m&quot;月&quot;d&quot;日&quot;;@">
                        <c:v>43564</c:v>
                      </c:pt>
                      <c:pt idx="14" c:formatCode="m&quot;月&quot;d&quot;日&quot;;@">
                        <c:v>43571</c:v>
                      </c:pt>
                      <c:pt idx="15" c:formatCode="m&quot;月&quot;d&quot;日&quot;;@">
                        <c:v>43578</c:v>
                      </c:pt>
                      <c:pt idx="16" c:formatCode="m&quot;月&quot;d&quot;日&quot;;@">
                        <c:v>43585</c:v>
                      </c:pt>
                      <c:pt idx="17" c:formatCode="m&quot;月&quot;d&quot;日&quot;;@">
                        <c:v>43592</c:v>
                      </c:pt>
                      <c:pt idx="18" c:formatCode="m&quot;月&quot;d&quot;日&quot;;@">
                        <c:v>43599</c:v>
                      </c:pt>
                      <c:pt idx="19" c:formatCode="m&quot;月&quot;d&quot;日&quot;;@">
                        <c:v>43606</c:v>
                      </c:pt>
                      <c:pt idx="20" c:formatCode="m&quot;月&quot;d&quot;日&quot;;@">
                        <c:v>43613</c:v>
                      </c:pt>
                      <c:pt idx="21" c:formatCode="m&quot;月&quot;d&quot;日&quot;;@">
                        <c:v>43620</c:v>
                      </c:pt>
                      <c:pt idx="22" c:formatCode="m&quot;月&quot;d&quot;日&quot;;@">
                        <c:v>43627</c:v>
                      </c:pt>
                      <c:pt idx="23" c:formatCode="m&quot;月&quot;d&quot;日&quot;;@">
                        <c:v>43634</c:v>
                      </c:pt>
                      <c:pt idx="24" c:formatCode="m&quot;月&quot;d&quot;日&quot;;@">
                        <c:v>43641</c:v>
                      </c:pt>
                      <c:pt idx="25" c:formatCode="m&quot;月&quot;d&quot;日&quot;;@">
                        <c:v>43648</c:v>
                      </c:pt>
                      <c:pt idx="26" c:formatCode="m&quot;月&quot;d&quot;日&quot;;@">
                        <c:v>43655</c:v>
                      </c:pt>
                      <c:pt idx="27" c:formatCode="m&quot;月&quot;d&quot;日&quot;;@">
                        <c:v>43662</c:v>
                      </c:pt>
                      <c:pt idx="28" c:formatCode="m&quot;月&quot;d&quot;日&quot;;@">
                        <c:v>43669</c:v>
                      </c:pt>
                      <c:pt idx="29" c:formatCode="m&quot;月&quot;d&quot;日&quot;;@">
                        <c:v>43676</c:v>
                      </c:pt>
                      <c:pt idx="30" c:formatCode="m&quot;月&quot;d&quot;日&quot;;@">
                        <c:v>43683</c:v>
                      </c:pt>
                      <c:pt idx="31" c:formatCode="m&quot;月&quot;d&quot;日&quot;;@">
                        <c:v>43690</c:v>
                      </c:pt>
                      <c:pt idx="32" c:formatCode="m&quot;月&quot;d&quot;日&quot;;@">
                        <c:v>43697</c:v>
                      </c:pt>
                      <c:pt idx="33" c:formatCode="m&quot;月&quot;d&quot;日&quot;;@">
                        <c:v>43704</c:v>
                      </c:pt>
                      <c:pt idx="34" c:formatCode="m&quot;月&quot;d&quot;日&quot;;@">
                        <c:v>43711</c:v>
                      </c:pt>
                      <c:pt idx="35" c:formatCode="m&quot;月&quot;d&quot;日&quot;;@">
                        <c:v>43718</c:v>
                      </c:pt>
                      <c:pt idx="36" c:formatCode="m&quot;月&quot;d&quot;日&quot;;@">
                        <c:v>43725</c:v>
                      </c:pt>
                      <c:pt idx="37" c:formatCode="m&quot;月&quot;d&quot;日&quot;;@">
                        <c:v>43732</c:v>
                      </c:pt>
                      <c:pt idx="38" c:formatCode="m&quot;月&quot;d&quot;日&quot;;@">
                        <c:v>43747</c:v>
                      </c:pt>
                      <c:pt idx="39" c:formatCode="m&quot;月&quot;d&quot;日&quot;;@">
                        <c:v>43754</c:v>
                      </c:pt>
                      <c:pt idx="40" c:formatCode="m&quot;月&quot;d&quot;日&quot;;@">
                        <c:v>43761</c:v>
                      </c:pt>
                      <c:pt idx="41" c:formatCode="m&quot;月&quot;d&quot;日&quot;;@">
                        <c:v>43768</c:v>
                      </c:pt>
                      <c:pt idx="42" c:formatCode="m&quot;月&quot;d&quot;日&quot;;@">
                        <c:v>43775</c:v>
                      </c:pt>
                      <c:pt idx="43" c:formatCode="m&quot;月&quot;d&quot;日&quot;;@">
                        <c:v>43782</c:v>
                      </c:pt>
                      <c:pt idx="44" c:formatCode="m&quot;月&quot;d&quot;日&quot;;@">
                        <c:v>43789</c:v>
                      </c:pt>
                      <c:pt idx="45" c:formatCode="m&quot;月&quot;d&quot;日&quot;;@">
                        <c:v>43796</c:v>
                      </c:pt>
                      <c:pt idx="46" c:formatCode="m&quot;月&quot;d&quot;日&quot;;@">
                        <c:v>43803</c:v>
                      </c:pt>
                      <c:pt idx="47" c:formatCode="m&quot;月&quot;d&quot;日&quot;;@">
                        <c:v>43810</c:v>
                      </c:pt>
                      <c:pt idx="48" c:formatCode="m&quot;月&quot;d&quot;日&quot;;@">
                        <c:v>43817</c:v>
                      </c:pt>
                      <c:pt idx="49" c:formatCode="m&quot;月&quot;d&quot;日&quot;;@">
                        <c:v>43824</c:v>
                      </c:pt>
                      <c:pt idx="50" c:formatCode="m&quot;月&quot;d&quot;日&quot;;@">
                        <c:v>43830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体重!$D$3:$D$53</c15:sqref>
                        </c15:formulaRef>
                      </c:ext>
                    </c:extLst>
                    <c:numCache>
                      <c:formatCode>0.00_);[Red]\(0.00\)</c:formatCode>
                      <c:ptCount val="51"/>
                      <c:pt idx="0">
                        <c:v>128.51</c:v>
                      </c:pt>
                      <c:pt idx="1">
                        <c:v>124.38</c:v>
                      </c:pt>
                      <c:pt idx="2">
                        <c:v>122.52</c:v>
                      </c:pt>
                      <c:pt idx="3">
                        <c:v>119.84</c:v>
                      </c:pt>
                      <c:pt idx="4">
                        <c:v>121.75</c:v>
                      </c:pt>
                      <c:pt idx="5">
                        <c:v>122.43</c:v>
                      </c:pt>
                      <c:pt idx="6">
                        <c:v>123.28</c:v>
                      </c:pt>
                      <c:pt idx="7">
                        <c:v>125.03</c:v>
                      </c:pt>
                      <c:pt idx="8">
                        <c:v>126.58</c:v>
                      </c:pt>
                      <c:pt idx="9">
                        <c:v>129.65</c:v>
                      </c:pt>
                      <c:pt idx="10">
                        <c:v>132.6</c:v>
                      </c:pt>
                      <c:pt idx="11">
                        <c:v>132.71</c:v>
                      </c:pt>
                      <c:pt idx="12">
                        <c:v>133.13</c:v>
                      </c:pt>
                      <c:pt idx="13">
                        <c:v>134.48</c:v>
                      </c:pt>
                      <c:pt idx="14">
                        <c:v>134.79</c:v>
                      </c:pt>
                      <c:pt idx="15">
                        <c:v>136.09</c:v>
                      </c:pt>
                      <c:pt idx="16">
                        <c:v>135.32</c:v>
                      </c:pt>
                      <c:pt idx="17">
                        <c:v>134.61</c:v>
                      </c:pt>
                      <c:pt idx="18">
                        <c:v>133.24</c:v>
                      </c:pt>
                      <c:pt idx="19">
                        <c:v>132.41</c:v>
                      </c:pt>
                      <c:pt idx="20">
                        <c:v>132.16</c:v>
                      </c:pt>
                      <c:pt idx="21">
                        <c:v>132.08</c:v>
                      </c:pt>
                      <c:pt idx="22">
                        <c:v>131.788235294118</c:v>
                      </c:pt>
                      <c:pt idx="23">
                        <c:v>130.97</c:v>
                      </c:pt>
                      <c:pt idx="24">
                        <c:v>130.39</c:v>
                      </c:pt>
                      <c:pt idx="25">
                        <c:v>129.86</c:v>
                      </c:pt>
                      <c:pt idx="26">
                        <c:v>129.49</c:v>
                      </c:pt>
                      <c:pt idx="27">
                        <c:v>127.51</c:v>
                      </c:pt>
                      <c:pt idx="28">
                        <c:v>126.92</c:v>
                      </c:pt>
                      <c:pt idx="29">
                        <c:v>126.37</c:v>
                      </c:pt>
                      <c:pt idx="30">
                        <c:v>126.694117647059</c:v>
                      </c:pt>
                      <c:pt idx="31">
                        <c:v>126.58</c:v>
                      </c:pt>
                      <c:pt idx="32">
                        <c:v>126.53</c:v>
                      </c:pt>
                      <c:pt idx="33">
                        <c:v>126.84</c:v>
                      </c:pt>
                      <c:pt idx="34">
                        <c:v>126.78</c:v>
                      </c:pt>
                      <c:pt idx="35">
                        <c:v>126.61</c:v>
                      </c:pt>
                      <c:pt idx="36">
                        <c:v>126.26</c:v>
                      </c:pt>
                      <c:pt idx="37">
                        <c:v>126.34</c:v>
                      </c:pt>
                      <c:pt idx="38">
                        <c:v>126.61</c:v>
                      </c:pt>
                      <c:pt idx="39">
                        <c:v>126.44</c:v>
                      </c:pt>
                      <c:pt idx="40">
                        <c:v>126.08</c:v>
                      </c:pt>
                      <c:pt idx="41">
                        <c:v>126.09</c:v>
                      </c:pt>
                      <c:pt idx="42">
                        <c:v>125.79</c:v>
                      </c:pt>
                      <c:pt idx="43">
                        <c:v>125.83</c:v>
                      </c:pt>
                      <c:pt idx="44">
                        <c:v>125.85</c:v>
                      </c:pt>
                      <c:pt idx="45">
                        <c:v>126.6</c:v>
                      </c:pt>
                      <c:pt idx="46">
                        <c:v>126.95</c:v>
                      </c:pt>
                      <c:pt idx="47">
                        <c:v>127.55</c:v>
                      </c:pt>
                      <c:pt idx="48">
                        <c:v>128.75</c:v>
                      </c:pt>
                      <c:pt idx="49">
                        <c:v>130.79</c:v>
                      </c:pt>
                      <c:pt idx="50">
                        <c:v>132.7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176015018"/>
        <c:scaling>
          <c:orientation val="minMax"/>
          <c:min val="43466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27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884638107"/>
        <c:crosses val="autoZero"/>
        <c:auto val="1"/>
        <c:lblOffset val="100"/>
        <c:baseTimeUnit val="days"/>
        <c:majorUnit val="28"/>
        <c:majorTimeUnit val="days"/>
      </c:dateAx>
      <c:valAx>
        <c:axId val="884638107"/>
        <c:scaling>
          <c:orientation val="minMax"/>
          <c:max val="140"/>
          <c:min val="110"/>
        </c:scaling>
        <c:delete val="0"/>
        <c:axPos val="l"/>
        <c:numFmt formatCode="0.00_);[Red]\(0.00\)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176015018"/>
        <c:crossesAt val="1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defRPr>
          </a:pPr>
        </a:p>
      </c:txPr>
    </c:legend>
    <c:plotVisOnly val="1"/>
    <c:dispBlanksAs val="span"/>
    <c:showDLblsOverMax val="0"/>
    <c:extLst>
      <c:ext uri="{0b15fc19-7d7d-44ad-8c2d-2c3a37ce22c3}">
        <chartProps xmlns="https://web.wps.cn/et/2018/main" chartId="{ee24f0ef-0def-4ef7-a4ac-aa9c542e2e0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  <a:sym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r>
              <a:rPr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90kg与150kg大猪出栏占比走势图</a:t>
            </a:r>
            <a:endParaRPr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'90kg与150kg大猪出栏占比'!$B$1</c:f>
              <c:strCache>
                <c:ptCount val="1"/>
                <c:pt idx="0">
                  <c:v>90kg以下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'90kg与150kg大猪出栏占比'!$A$160:$A$3008</c:f>
              <c:numCache>
                <c:formatCode>yyyy/m/d;@</c:formatCode>
                <c:ptCount val="2849"/>
                <c:pt idx="0" c:formatCode="yyyy/m/d;@">
                  <c:v>44931</c:v>
                </c:pt>
                <c:pt idx="1" c:formatCode="yyyy/m/d;@">
                  <c:v>44938</c:v>
                </c:pt>
                <c:pt idx="2" c:formatCode="yyyy/m/d;@">
                  <c:v>44942</c:v>
                </c:pt>
                <c:pt idx="3" c:formatCode="yyyy/m/d;@">
                  <c:v>44955</c:v>
                </c:pt>
                <c:pt idx="4" c:formatCode="yyyy/m/d;@">
                  <c:v>44959</c:v>
                </c:pt>
                <c:pt idx="5" c:formatCode="yyyy/m/d;@">
                  <c:v>44966</c:v>
                </c:pt>
                <c:pt idx="6" c:formatCode="yyyy/m/d;@">
                  <c:v>44973</c:v>
                </c:pt>
                <c:pt idx="7" c:formatCode="yyyy/m/d;@">
                  <c:v>44980</c:v>
                </c:pt>
                <c:pt idx="8" c:formatCode="yyyy/m/d;@">
                  <c:v>44987</c:v>
                </c:pt>
                <c:pt idx="9" c:formatCode="yyyy/m/d;@">
                  <c:v>44994</c:v>
                </c:pt>
                <c:pt idx="10" c:formatCode="yyyy/m/d;@">
                  <c:v>45001</c:v>
                </c:pt>
                <c:pt idx="11" c:formatCode="yyyy/m/d;@">
                  <c:v>45008</c:v>
                </c:pt>
                <c:pt idx="12" c:formatCode="yyyy/m/d;@">
                  <c:v>45015</c:v>
                </c:pt>
                <c:pt idx="13" c:formatCode="yyyy/m/d;@">
                  <c:v>45022</c:v>
                </c:pt>
                <c:pt idx="14" c:formatCode="yyyy/m/d;@">
                  <c:v>45029</c:v>
                </c:pt>
                <c:pt idx="15" c:formatCode="yyyy/m/d;@">
                  <c:v>45036</c:v>
                </c:pt>
                <c:pt idx="16" c:formatCode="yyyy/m/d;@">
                  <c:v>45043</c:v>
                </c:pt>
                <c:pt idx="17" c:formatCode="yyyy/m/d;@">
                  <c:v>45050</c:v>
                </c:pt>
                <c:pt idx="18" c:formatCode="yyyy/m/d;@">
                  <c:v>45057</c:v>
                </c:pt>
                <c:pt idx="19" c:formatCode="yyyy/m/d;@">
                  <c:v>45064</c:v>
                </c:pt>
                <c:pt idx="20" c:formatCode="yyyy/m/d;@">
                  <c:v>45071</c:v>
                </c:pt>
                <c:pt idx="21" c:formatCode="yyyy/m/d;@">
                  <c:v>45078</c:v>
                </c:pt>
                <c:pt idx="22" c:formatCode="yyyy/m/d;@">
                  <c:v>45085</c:v>
                </c:pt>
                <c:pt idx="23" c:formatCode="yyyy/m/d;@">
                  <c:v>45092</c:v>
                </c:pt>
                <c:pt idx="24" c:formatCode="yyyy/m/d;@">
                  <c:v>45098</c:v>
                </c:pt>
                <c:pt idx="25" c:formatCode="yyyy/m/d;@">
                  <c:v>45106</c:v>
                </c:pt>
                <c:pt idx="26" c:formatCode="yyyy/m/d;@">
                  <c:v>45113</c:v>
                </c:pt>
                <c:pt idx="27" c:formatCode="yyyy/m/d;@">
                  <c:v>45120</c:v>
                </c:pt>
                <c:pt idx="28" c:formatCode="yyyy/m/d;@">
                  <c:v>45127</c:v>
                </c:pt>
                <c:pt idx="29" c:formatCode="yyyy/m/d;@">
                  <c:v>45134</c:v>
                </c:pt>
                <c:pt idx="30" c:formatCode="yyyy/m/d;@">
                  <c:v>45141</c:v>
                </c:pt>
                <c:pt idx="31" c:formatCode="yyyy/m/d;@">
                  <c:v>45148</c:v>
                </c:pt>
                <c:pt idx="32" c:formatCode="yyyy/m/d;@">
                  <c:v>45155</c:v>
                </c:pt>
                <c:pt idx="33" c:formatCode="yyyy/m/d;@">
                  <c:v>45162</c:v>
                </c:pt>
                <c:pt idx="34" c:formatCode="yyyy/m/d;@">
                  <c:v>45169</c:v>
                </c:pt>
                <c:pt idx="35" c:formatCode="yyyy/m/d;@">
                  <c:v>45176</c:v>
                </c:pt>
                <c:pt idx="36" c:formatCode="yyyy/m/d;@">
                  <c:v>45183</c:v>
                </c:pt>
                <c:pt idx="37" c:formatCode="yyyy/m/d;@">
                  <c:v>45190</c:v>
                </c:pt>
                <c:pt idx="38" c:formatCode="yyyy/m/d;@">
                  <c:v>45197</c:v>
                </c:pt>
                <c:pt idx="39" c:formatCode="yyyy/m/d;@">
                  <c:v>45205</c:v>
                </c:pt>
                <c:pt idx="40" c:formatCode="yyyy/m/d;@">
                  <c:v>45211</c:v>
                </c:pt>
                <c:pt idx="41" c:formatCode="yyyy/m/d;@">
                  <c:v>45218</c:v>
                </c:pt>
                <c:pt idx="42" c:formatCode="yyyy/m/d;@">
                  <c:v>45225</c:v>
                </c:pt>
                <c:pt idx="43" c:formatCode="yyyy/m/d;@">
                  <c:v>45232</c:v>
                </c:pt>
                <c:pt idx="44" c:formatCode="yyyy/m/d;@">
                  <c:v>45239</c:v>
                </c:pt>
                <c:pt idx="45" c:formatCode="yyyy/m/d;@">
                  <c:v>45246</c:v>
                </c:pt>
                <c:pt idx="46" c:formatCode="yyyy/m/d;@">
                  <c:v>45253</c:v>
                </c:pt>
                <c:pt idx="47" c:formatCode="yyyy/m/d;@">
                  <c:v>45260</c:v>
                </c:pt>
                <c:pt idx="48" c:formatCode="yyyy/m/d;@">
                  <c:v>45267</c:v>
                </c:pt>
                <c:pt idx="49" c:formatCode="yyyy/m/d;@">
                  <c:v>45274</c:v>
                </c:pt>
                <c:pt idx="50" c:formatCode="yyyy/m/d;@">
                  <c:v>45281</c:v>
                </c:pt>
                <c:pt idx="51" c:formatCode="yyyy/m/d;@">
                  <c:v>45288</c:v>
                </c:pt>
                <c:pt idx="52" c:formatCode="yyyy/m/d;@">
                  <c:v>45295</c:v>
                </c:pt>
                <c:pt idx="53" c:formatCode="yyyy/m/d;@">
                  <c:v>45302</c:v>
                </c:pt>
                <c:pt idx="54" c:formatCode="yyyy/m/d;@">
                  <c:v>45309</c:v>
                </c:pt>
                <c:pt idx="55" c:formatCode="yyyy/m/d;@">
                  <c:v>45316</c:v>
                </c:pt>
                <c:pt idx="56" c:formatCode="yyyy/m/d;@">
                  <c:v>45323</c:v>
                </c:pt>
                <c:pt idx="57" c:formatCode="yyyy/m/d;@">
                  <c:v>45344</c:v>
                </c:pt>
                <c:pt idx="58" c:formatCode="yyyy/m/d;@">
                  <c:v>45351</c:v>
                </c:pt>
                <c:pt idx="59" c:formatCode="yyyy/m/d;@">
                  <c:v>45358</c:v>
                </c:pt>
                <c:pt idx="60" c:formatCode="yyyy/m/d;@">
                  <c:v>45365</c:v>
                </c:pt>
                <c:pt idx="61" c:formatCode="yyyy/m/d;@">
                  <c:v>45372</c:v>
                </c:pt>
                <c:pt idx="62" c:formatCode="yyyy/m/d;@">
                  <c:v>45379</c:v>
                </c:pt>
                <c:pt idx="63" c:formatCode="yyyy/m/d;@">
                  <c:v>45385</c:v>
                </c:pt>
                <c:pt idx="64" c:formatCode="yyyy/m/d;@">
                  <c:v>45393</c:v>
                </c:pt>
                <c:pt idx="65" c:formatCode="yyyy/m/d;@">
                  <c:v>45400</c:v>
                </c:pt>
                <c:pt idx="66" c:formatCode="yyyy/m/d;@">
                  <c:v>45407</c:v>
                </c:pt>
                <c:pt idx="67" c:formatCode="yyyy/m/d;@">
                  <c:v>45414</c:v>
                </c:pt>
                <c:pt idx="68" c:formatCode="yyyy/m/d;@">
                  <c:v>45421</c:v>
                </c:pt>
                <c:pt idx="69" c:formatCode="yyyy/m/d;@">
                  <c:v>45428</c:v>
                </c:pt>
                <c:pt idx="70" c:formatCode="yyyy/m/d;@">
                  <c:v>45435</c:v>
                </c:pt>
                <c:pt idx="71" c:formatCode="yyyy/m/d;@">
                  <c:v>45442</c:v>
                </c:pt>
                <c:pt idx="72" c:formatCode="yyyy/m/d;@">
                  <c:v>45449</c:v>
                </c:pt>
                <c:pt idx="73" c:formatCode="yyyy/m/d;@">
                  <c:v>45456</c:v>
                </c:pt>
                <c:pt idx="74" c:formatCode="yyyy/m/d;@">
                  <c:v>45463</c:v>
                </c:pt>
                <c:pt idx="75" c:formatCode="yyyy/m/d;@">
                  <c:v>45470</c:v>
                </c:pt>
                <c:pt idx="76" c:formatCode="yyyy/m/d;@">
                  <c:v>45477</c:v>
                </c:pt>
                <c:pt idx="77" c:formatCode="yyyy/m/d;@">
                  <c:v>45484</c:v>
                </c:pt>
                <c:pt idx="78" c:formatCode="yyyy/m/d;@">
                  <c:v>45491</c:v>
                </c:pt>
                <c:pt idx="79" c:formatCode="yyyy/m/d;@">
                  <c:v>45498</c:v>
                </c:pt>
                <c:pt idx="80" c:formatCode="yyyy/m/d;@">
                  <c:v>45505</c:v>
                </c:pt>
                <c:pt idx="81" c:formatCode="yyyy/m/d;@">
                  <c:v>45512</c:v>
                </c:pt>
                <c:pt idx="82" c:formatCode="yyyy/m/d;@">
                  <c:v>45519</c:v>
                </c:pt>
                <c:pt idx="83" c:formatCode="yyyy/m/d;@">
                  <c:v>45526</c:v>
                </c:pt>
                <c:pt idx="84" c:formatCode="yyyy/m/d;@">
                  <c:v>45533</c:v>
                </c:pt>
                <c:pt idx="85" c:formatCode="yyyy/m/d;@">
                  <c:v>45540</c:v>
                </c:pt>
                <c:pt idx="86" c:formatCode="yyyy/m/d;@">
                  <c:v>45547</c:v>
                </c:pt>
                <c:pt idx="87" c:formatCode="yyyy/m/d;@">
                  <c:v>45554</c:v>
                </c:pt>
                <c:pt idx="88" c:formatCode="yyyy/m/d;@">
                  <c:v>45561</c:v>
                </c:pt>
                <c:pt idx="89" c:formatCode="yyyy/m/d;@">
                  <c:v>45575</c:v>
                </c:pt>
                <c:pt idx="90" c:formatCode="yyyy/m/d;@">
                  <c:v>45582</c:v>
                </c:pt>
                <c:pt idx="91" c:formatCode="yyyy/m/d;@">
                  <c:v>45589</c:v>
                </c:pt>
                <c:pt idx="92" c:formatCode="yyyy/m/d;@">
                  <c:v>45596</c:v>
                </c:pt>
                <c:pt idx="93" c:formatCode="yyyy/m/d;@">
                  <c:v>45603</c:v>
                </c:pt>
                <c:pt idx="94" c:formatCode="yyyy/m/d;@">
                  <c:v>45610</c:v>
                </c:pt>
                <c:pt idx="95" c:formatCode="yyyy/m/d;@">
                  <c:v>45617</c:v>
                </c:pt>
                <c:pt idx="96" c:formatCode="yyyy/m/d;@">
                  <c:v>45624</c:v>
                </c:pt>
                <c:pt idx="97" c:formatCode="yyyy/m/d;@">
                  <c:v>45631</c:v>
                </c:pt>
                <c:pt idx="98" c:formatCode="yyyy/m/d;@">
                  <c:v>45638</c:v>
                </c:pt>
                <c:pt idx="99" c:formatCode="yyyy/m/d;@">
                  <c:v>45645</c:v>
                </c:pt>
                <c:pt idx="100" c:formatCode="yyyy/m/d;@">
                  <c:v>45652</c:v>
                </c:pt>
                <c:pt idx="101" c:formatCode="yyyy/m/d;@">
                  <c:v>45659</c:v>
                </c:pt>
                <c:pt idx="102" c:formatCode="yyyy/m/d;@">
                  <c:v>45666</c:v>
                </c:pt>
                <c:pt idx="103" c:formatCode="yyyy/m/d;@">
                  <c:v>45673</c:v>
                </c:pt>
                <c:pt idx="104" c:formatCode="yyyy/m/d;@">
                  <c:v>45680</c:v>
                </c:pt>
                <c:pt idx="105" c:formatCode="yyyy/m/d;@">
                  <c:v>45694</c:v>
                </c:pt>
                <c:pt idx="106" c:formatCode="yyyy/m/d;@">
                  <c:v>45701</c:v>
                </c:pt>
                <c:pt idx="107" c:formatCode="yyyy/m/d;@">
                  <c:v>45708</c:v>
                </c:pt>
                <c:pt idx="108" c:formatCode="yyyy/m/d;@">
                  <c:v>45715</c:v>
                </c:pt>
                <c:pt idx="109" c:formatCode="yyyy/m/d;@">
                  <c:v>45722</c:v>
                </c:pt>
                <c:pt idx="110" c:formatCode="yyyy/m/d;@">
                  <c:v>45729</c:v>
                </c:pt>
                <c:pt idx="111" c:formatCode="yyyy/m/d;@">
                  <c:v>45736</c:v>
                </c:pt>
                <c:pt idx="112" c:formatCode="yyyy/m/d;@">
                  <c:v>45743</c:v>
                </c:pt>
                <c:pt idx="113" c:formatCode="yyyy/m/d;@">
                  <c:v>45750</c:v>
                </c:pt>
                <c:pt idx="114" c:formatCode="yyyy/m/d;@">
                  <c:v>45757</c:v>
                </c:pt>
                <c:pt idx="115" c:formatCode="yyyy/m/d;@">
                  <c:v>45764</c:v>
                </c:pt>
                <c:pt idx="116" c:formatCode="yyyy/m/d;@">
                  <c:v>45771</c:v>
                </c:pt>
                <c:pt idx="117" c:formatCode="yyyy/m/d;@">
                  <c:v>45777</c:v>
                </c:pt>
                <c:pt idx="118" c:formatCode="yyyy/m/d;@">
                  <c:v>45785</c:v>
                </c:pt>
                <c:pt idx="119" c:formatCode="yyyy/m/d;@">
                  <c:v>45792</c:v>
                </c:pt>
                <c:pt idx="120" c:formatCode="yyyy/m/d;@">
                  <c:v>45799</c:v>
                </c:pt>
                <c:pt idx="121" c:formatCode="yyyy/m/d;@">
                  <c:v>45806</c:v>
                </c:pt>
                <c:pt idx="122" c:formatCode="yyyy/m/d;@">
                  <c:v>45813</c:v>
                </c:pt>
                <c:pt idx="123" c:formatCode="yyyy/m/d;@">
                  <c:v>45820</c:v>
                </c:pt>
                <c:pt idx="124" c:formatCode="yyyy/m/d;@">
                  <c:v>45827</c:v>
                </c:pt>
                <c:pt idx="125" c:formatCode="yyyy/m/d;@">
                  <c:v>45834</c:v>
                </c:pt>
                <c:pt idx="126" c:formatCode="yyyy/m/d;@">
                  <c:v>45841</c:v>
                </c:pt>
                <c:pt idx="127" c:formatCode="yyyy/m/d;@">
                  <c:v>45848</c:v>
                </c:pt>
                <c:pt idx="128" c:formatCode="yyyy/m/d;@">
                  <c:v>45855</c:v>
                </c:pt>
                <c:pt idx="129" c:formatCode="yyyy/m/d;@">
                  <c:v>45862</c:v>
                </c:pt>
                <c:pt idx="130" c:formatCode="yyyy/m/d;@">
                  <c:v>45869</c:v>
                </c:pt>
                <c:pt idx="131" c:formatCode="yyyy/m/d;@">
                  <c:v>45876</c:v>
                </c:pt>
                <c:pt idx="132" c:formatCode="yyyy/m/d;@">
                  <c:v>45883</c:v>
                </c:pt>
                <c:pt idx="133" c:formatCode="yyyy/m/d;@">
                  <c:v>45890</c:v>
                </c:pt>
                <c:pt idx="134" c:formatCode="yyyy/m/d;@">
                  <c:v>45897</c:v>
                </c:pt>
                <c:pt idx="135" c:formatCode="yyyy/m/d;@">
                  <c:v>45904</c:v>
                </c:pt>
                <c:pt idx="136" c:formatCode="yyyy/m/d;@">
                  <c:v>45911</c:v>
                </c:pt>
                <c:pt idx="137" c:formatCode="yyyy/m/d;@">
                  <c:v>45918</c:v>
                </c:pt>
                <c:pt idx="138" c:formatCode="yyyy/m/d;@">
                  <c:v>45925</c:v>
                </c:pt>
                <c:pt idx="139" c:formatCode="yyyy/m/d;@">
                  <c:v>45939</c:v>
                </c:pt>
                <c:pt idx="140" c:formatCode="yyyy/m/d;@">
                  <c:v>45946</c:v>
                </c:pt>
                <c:pt idx="141" c:formatCode="yyyy/m/d;@">
                  <c:v>45953</c:v>
                </c:pt>
                <c:pt idx="142" c:formatCode="yyyy/m/d;@">
                  <c:v>45960</c:v>
                </c:pt>
                <c:pt idx="143" c:formatCode="yyyy/m/d;@">
                  <c:v>45967</c:v>
                </c:pt>
                <c:pt idx="144" c:formatCode="yyyy/m/d;@">
                  <c:v>45974</c:v>
                </c:pt>
                <c:pt idx="145" c:formatCode="yyyy/m/d;@">
                  <c:v>45981</c:v>
                </c:pt>
                <c:pt idx="146" c:formatCode="yyyy/m/d;@">
                  <c:v>45988</c:v>
                </c:pt>
                <c:pt idx="147" c:formatCode="yyyy/m/d;@">
                  <c:v>45995</c:v>
                </c:pt>
                <c:pt idx="148" c:formatCode="yyyy/m/d;@">
                  <c:v>46002</c:v>
                </c:pt>
                <c:pt idx="149" c:formatCode="yyyy/m/d;@">
                  <c:v>46009</c:v>
                </c:pt>
                <c:pt idx="150" c:formatCode="yyyy/m/d;@">
                  <c:v>46016</c:v>
                </c:pt>
                <c:pt idx="151" c:formatCode="yyyy/m/d;@">
                  <c:v>46023</c:v>
                </c:pt>
                <c:pt idx="152" c:formatCode="yyyy/m/d;@">
                  <c:v>46030</c:v>
                </c:pt>
                <c:pt idx="153" c:formatCode="yyyy/m/d;@">
                  <c:v>46037</c:v>
                </c:pt>
                <c:pt idx="154" c:formatCode="yyyy/m/d;@">
                  <c:v>46044</c:v>
                </c:pt>
                <c:pt idx="155" c:formatCode="yyyy/m/d;@">
                  <c:v>46051</c:v>
                </c:pt>
                <c:pt idx="156" c:formatCode="yyyy/m/d;@">
                  <c:v>46058</c:v>
                </c:pt>
                <c:pt idx="157" c:formatCode="yyyy/m/d;@">
                  <c:v>46065</c:v>
                </c:pt>
                <c:pt idx="158" c:formatCode="yyyy/m/d;@">
                  <c:v>46079</c:v>
                </c:pt>
                <c:pt idx="159" c:formatCode="yyyy/m/d;@">
                  <c:v>46086</c:v>
                </c:pt>
                <c:pt idx="160" c:formatCode="yyyy/m/d;@">
                  <c:v>46093</c:v>
                </c:pt>
                <c:pt idx="161" c:formatCode="yyyy/m/d;@">
                  <c:v>46100</c:v>
                </c:pt>
                <c:pt idx="162" c:formatCode="yyyy/m/d;@">
                  <c:v>46107</c:v>
                </c:pt>
                <c:pt idx="163" c:formatCode="yyyy/m/d;@">
                  <c:v>46114</c:v>
                </c:pt>
                <c:pt idx="164" c:formatCode="yyyy/m/d;@">
                  <c:v>46121</c:v>
                </c:pt>
                <c:pt idx="165" c:formatCode="yyyy/m/d;@">
                  <c:v>46128</c:v>
                </c:pt>
                <c:pt idx="166" c:formatCode="yyyy/m/d;@">
                  <c:v>46135</c:v>
                </c:pt>
                <c:pt idx="167" c:formatCode="yyyy/m/d;@">
                  <c:v>46142</c:v>
                </c:pt>
                <c:pt idx="168" c:formatCode="yyyy/m/d;@">
                  <c:v>46149</c:v>
                </c:pt>
                <c:pt idx="169" c:formatCode="yyyy/m/d;@">
                  <c:v>46156</c:v>
                </c:pt>
                <c:pt idx="170" c:formatCode="yyyy/m/d;@">
                  <c:v>46163</c:v>
                </c:pt>
                <c:pt idx="171" c:formatCode="yyyy/m/d;@">
                  <c:v>46170</c:v>
                </c:pt>
                <c:pt idx="172" c:formatCode="yyyy/m/d;@">
                  <c:v>46177</c:v>
                </c:pt>
                <c:pt idx="173" c:formatCode="yyyy/m/d;@">
                  <c:v>46184</c:v>
                </c:pt>
                <c:pt idx="174" c:formatCode="yyyy/m/d;@">
                  <c:v>46191</c:v>
                </c:pt>
                <c:pt idx="175" c:formatCode="yyyy/m/d;@">
                  <c:v>46198</c:v>
                </c:pt>
                <c:pt idx="176" c:formatCode="yyyy/m/d;@">
                  <c:v>46205</c:v>
                </c:pt>
                <c:pt idx="177" c:formatCode="yyyy/m/d;@">
                  <c:v>46212</c:v>
                </c:pt>
                <c:pt idx="178" c:formatCode="yyyy/m/d;@">
                  <c:v>46219</c:v>
                </c:pt>
                <c:pt idx="179" c:formatCode="yyyy/m/d;@">
                  <c:v>46226</c:v>
                </c:pt>
                <c:pt idx="180" c:formatCode="yyyy/m/d;@">
                  <c:v>46233</c:v>
                </c:pt>
                <c:pt idx="181" c:formatCode="yyyy/m/d;@">
                  <c:v>46240</c:v>
                </c:pt>
                <c:pt idx="182" c:formatCode="yyyy/m/d;@">
                  <c:v>46247</c:v>
                </c:pt>
                <c:pt idx="183" c:formatCode="yyyy/m/d;@">
                  <c:v>46254</c:v>
                </c:pt>
                <c:pt idx="184" c:formatCode="yyyy/m/d;@">
                  <c:v>46261</c:v>
                </c:pt>
                <c:pt idx="185" c:formatCode="yyyy/m/d;@">
                  <c:v>46268</c:v>
                </c:pt>
                <c:pt idx="186" c:formatCode="yyyy/m/d;@">
                  <c:v>46275</c:v>
                </c:pt>
                <c:pt idx="187" c:formatCode="yyyy/m/d;@">
                  <c:v>46282</c:v>
                </c:pt>
                <c:pt idx="188" c:formatCode="yyyy/m/d;@">
                  <c:v>46289</c:v>
                </c:pt>
              </c:numCache>
            </c:numRef>
          </c:cat>
          <c:val>
            <c:numRef>
              <c:f>'90kg与150kg大猪出栏占比'!$B$160:$B$3008</c:f>
              <c:numCache>
                <c:formatCode>0.00%</c:formatCode>
                <c:ptCount val="2849"/>
                <c:pt idx="0">
                  <c:v>0.0571</c:v>
                </c:pt>
                <c:pt idx="1">
                  <c:v>0.0606</c:v>
                </c:pt>
                <c:pt idx="2">
                  <c:v>0.0682</c:v>
                </c:pt>
                <c:pt idx="3">
                  <c:v>0.0771</c:v>
                </c:pt>
                <c:pt idx="4">
                  <c:v>0.0794</c:v>
                </c:pt>
                <c:pt idx="5">
                  <c:v>0.0753</c:v>
                </c:pt>
                <c:pt idx="6">
                  <c:v>0.0747</c:v>
                </c:pt>
                <c:pt idx="7">
                  <c:v>0.0818</c:v>
                </c:pt>
                <c:pt idx="8">
                  <c:v>0.0782</c:v>
                </c:pt>
                <c:pt idx="9">
                  <c:v>0.0771</c:v>
                </c:pt>
                <c:pt idx="10">
                  <c:v>0.0729</c:v>
                </c:pt>
                <c:pt idx="11">
                  <c:v>0.0706</c:v>
                </c:pt>
                <c:pt idx="12">
                  <c:v>0.0682352941176471</c:v>
                </c:pt>
                <c:pt idx="13">
                  <c:v>0.0641</c:v>
                </c:pt>
                <c:pt idx="14">
                  <c:v>0.0629</c:v>
                </c:pt>
                <c:pt idx="15">
                  <c:v>0.0541</c:v>
                </c:pt>
                <c:pt idx="16">
                  <c:v>0.0524</c:v>
                </c:pt>
                <c:pt idx="17">
                  <c:v>0.0518</c:v>
                </c:pt>
                <c:pt idx="18">
                  <c:v>0.0494</c:v>
                </c:pt>
                <c:pt idx="19">
                  <c:v>0.0488</c:v>
                </c:pt>
                <c:pt idx="20">
                  <c:v>0.0488</c:v>
                </c:pt>
                <c:pt idx="21">
                  <c:v>0.0488</c:v>
                </c:pt>
                <c:pt idx="22">
                  <c:v>0.0459</c:v>
                </c:pt>
                <c:pt idx="23">
                  <c:v>0.0435</c:v>
                </c:pt>
                <c:pt idx="24">
                  <c:v>0.0435</c:v>
                </c:pt>
                <c:pt idx="25">
                  <c:v>0.0471</c:v>
                </c:pt>
                <c:pt idx="26">
                  <c:v>0.0494</c:v>
                </c:pt>
                <c:pt idx="27">
                  <c:v>0.05</c:v>
                </c:pt>
                <c:pt idx="28">
                  <c:v>0.05</c:v>
                </c:pt>
                <c:pt idx="29">
                  <c:v>0.0506</c:v>
                </c:pt>
                <c:pt idx="30">
                  <c:v>0.0506</c:v>
                </c:pt>
                <c:pt idx="31">
                  <c:v>0.0512</c:v>
                </c:pt>
                <c:pt idx="32">
                  <c:v>0.0512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0.0505</c:v>
                </c:pt>
                <c:pt idx="37">
                  <c:v>0.0494</c:v>
                </c:pt>
                <c:pt idx="38">
                  <c:v>0.0465</c:v>
                </c:pt>
                <c:pt idx="39">
                  <c:v>0.0468</c:v>
                </c:pt>
                <c:pt idx="40">
                  <c:v>0.0495</c:v>
                </c:pt>
                <c:pt idx="41">
                  <c:v>0.0641</c:v>
                </c:pt>
                <c:pt idx="42">
                  <c:v>0.0729</c:v>
                </c:pt>
                <c:pt idx="43">
                  <c:v>0.0641</c:v>
                </c:pt>
                <c:pt idx="44">
                  <c:v>0.0616</c:v>
                </c:pt>
                <c:pt idx="45">
                  <c:v>0.0584</c:v>
                </c:pt>
                <c:pt idx="46">
                  <c:v>0.0584</c:v>
                </c:pt>
                <c:pt idx="47">
                  <c:v>0.0605</c:v>
                </c:pt>
                <c:pt idx="48">
                  <c:v>0.0711</c:v>
                </c:pt>
                <c:pt idx="49">
                  <c:v>0.0647</c:v>
                </c:pt>
                <c:pt idx="50">
                  <c:v>0.0626</c:v>
                </c:pt>
                <c:pt idx="51">
                  <c:v>0.0621</c:v>
                </c:pt>
                <c:pt idx="52">
                  <c:v>0.06</c:v>
                </c:pt>
                <c:pt idx="53">
                  <c:v>0.0563</c:v>
                </c:pt>
                <c:pt idx="54">
                  <c:v>0.0542</c:v>
                </c:pt>
                <c:pt idx="55">
                  <c:v>0.0511</c:v>
                </c:pt>
                <c:pt idx="56">
                  <c:v>0.0495</c:v>
                </c:pt>
                <c:pt idx="57">
                  <c:v>0.0432</c:v>
                </c:pt>
                <c:pt idx="58">
                  <c:v>0.0405</c:v>
                </c:pt>
                <c:pt idx="59">
                  <c:v>0.04</c:v>
                </c:pt>
                <c:pt idx="60">
                  <c:v>0.0395</c:v>
                </c:pt>
                <c:pt idx="61">
                  <c:v>0.0395</c:v>
                </c:pt>
                <c:pt idx="62">
                  <c:v>0.04</c:v>
                </c:pt>
                <c:pt idx="63">
                  <c:v>0.04</c:v>
                </c:pt>
                <c:pt idx="64">
                  <c:v>0.0368</c:v>
                </c:pt>
                <c:pt idx="65">
                  <c:v>0.0342</c:v>
                </c:pt>
                <c:pt idx="66">
                  <c:v>0.0353</c:v>
                </c:pt>
                <c:pt idx="67">
                  <c:v>0.0358</c:v>
                </c:pt>
                <c:pt idx="68">
                  <c:v>0.0363</c:v>
                </c:pt>
                <c:pt idx="69">
                  <c:v>0.0358</c:v>
                </c:pt>
                <c:pt idx="70">
                  <c:v>0.0353</c:v>
                </c:pt>
                <c:pt idx="71">
                  <c:v>0.0353</c:v>
                </c:pt>
                <c:pt idx="72">
                  <c:v>0.0363</c:v>
                </c:pt>
                <c:pt idx="73">
                  <c:v>0.0363</c:v>
                </c:pt>
                <c:pt idx="74">
                  <c:v>0.0389</c:v>
                </c:pt>
                <c:pt idx="75">
                  <c:v>0.0405</c:v>
                </c:pt>
                <c:pt idx="76">
                  <c:v>0.04</c:v>
                </c:pt>
                <c:pt idx="77">
                  <c:v>0.0405</c:v>
                </c:pt>
                <c:pt idx="78">
                  <c:v>0.0447</c:v>
                </c:pt>
                <c:pt idx="79">
                  <c:v>0.0458</c:v>
                </c:pt>
                <c:pt idx="80">
                  <c:v>0.0426</c:v>
                </c:pt>
                <c:pt idx="81">
                  <c:v>0.0416</c:v>
                </c:pt>
                <c:pt idx="82">
                  <c:v>0.0416</c:v>
                </c:pt>
                <c:pt idx="83">
                  <c:v>0.0421</c:v>
                </c:pt>
                <c:pt idx="84">
                  <c:v>0.0416</c:v>
                </c:pt>
                <c:pt idx="85">
                  <c:v>0.0411</c:v>
                </c:pt>
                <c:pt idx="86">
                  <c:v>0.0395</c:v>
                </c:pt>
                <c:pt idx="87">
                  <c:v>0.0395</c:v>
                </c:pt>
                <c:pt idx="88">
                  <c:v>0.0404</c:v>
                </c:pt>
                <c:pt idx="89">
                  <c:v>0.042</c:v>
                </c:pt>
                <c:pt idx="90">
                  <c:v>0.042</c:v>
                </c:pt>
                <c:pt idx="91">
                  <c:v>0.0445</c:v>
                </c:pt>
                <c:pt idx="92">
                  <c:v>0.0448</c:v>
                </c:pt>
                <c:pt idx="93">
                  <c:v>0.046</c:v>
                </c:pt>
                <c:pt idx="94">
                  <c:v>0.0453</c:v>
                </c:pt>
                <c:pt idx="95">
                  <c:v>0.0446</c:v>
                </c:pt>
                <c:pt idx="96">
                  <c:v>0.0447</c:v>
                </c:pt>
                <c:pt idx="97">
                  <c:v>0.0456</c:v>
                </c:pt>
                <c:pt idx="98">
                  <c:v>0.0461</c:v>
                </c:pt>
                <c:pt idx="99">
                  <c:v>0.0463</c:v>
                </c:pt>
                <c:pt idx="100">
                  <c:v>0.04678</c:v>
                </c:pt>
                <c:pt idx="101">
                  <c:v>0.0473</c:v>
                </c:pt>
                <c:pt idx="102">
                  <c:v>0.0464</c:v>
                </c:pt>
                <c:pt idx="103">
                  <c:v>0.0465</c:v>
                </c:pt>
                <c:pt idx="104">
                  <c:v>0.0443</c:v>
                </c:pt>
                <c:pt idx="105">
                  <c:v>0.0458</c:v>
                </c:pt>
                <c:pt idx="106">
                  <c:v>0.0447</c:v>
                </c:pt>
                <c:pt idx="107">
                  <c:v>0.0434</c:v>
                </c:pt>
                <c:pt idx="108">
                  <c:v>0.0422</c:v>
                </c:pt>
                <c:pt idx="109">
                  <c:v>0.0415</c:v>
                </c:pt>
                <c:pt idx="110">
                  <c:v>0.0408</c:v>
                </c:pt>
                <c:pt idx="111">
                  <c:v>0.0404</c:v>
                </c:pt>
                <c:pt idx="112">
                  <c:v>0.0401</c:v>
                </c:pt>
                <c:pt idx="113">
                  <c:v>0.0393</c:v>
                </c:pt>
                <c:pt idx="114">
                  <c:v>0.0385</c:v>
                </c:pt>
                <c:pt idx="115">
                  <c:v>0.0371</c:v>
                </c:pt>
                <c:pt idx="116">
                  <c:v>0.0369</c:v>
                </c:pt>
                <c:pt idx="117">
                  <c:v>0.036</c:v>
                </c:pt>
                <c:pt idx="118">
                  <c:v>0.0349</c:v>
                </c:pt>
                <c:pt idx="119">
                  <c:v>0.0344</c:v>
                </c:pt>
                <c:pt idx="120">
                  <c:v>0.0343</c:v>
                </c:pt>
                <c:pt idx="121">
                  <c:v>0.0337</c:v>
                </c:pt>
                <c:pt idx="122">
                  <c:v>0.0333</c:v>
                </c:pt>
                <c:pt idx="123">
                  <c:v>0.0327</c:v>
                </c:pt>
                <c:pt idx="124">
                  <c:v>0.0325</c:v>
                </c:pt>
                <c:pt idx="125">
                  <c:v>0.0324</c:v>
                </c:pt>
                <c:pt idx="126">
                  <c:v>0.0325</c:v>
                </c:pt>
                <c:pt idx="127">
                  <c:v>0.0328</c:v>
                </c:pt>
                <c:pt idx="128">
                  <c:v>0.0336</c:v>
                </c:pt>
                <c:pt idx="129">
                  <c:v>0.0338</c:v>
                </c:pt>
                <c:pt idx="130">
                  <c:v>0.0347</c:v>
                </c:pt>
                <c:pt idx="131">
                  <c:v>0.0351</c:v>
                </c:pt>
                <c:pt idx="132">
                  <c:v>0.0377</c:v>
                </c:pt>
                <c:pt idx="133">
                  <c:v>0.0379</c:v>
                </c:pt>
                <c:pt idx="134">
                  <c:v>0.0382</c:v>
                </c:pt>
                <c:pt idx="135">
                  <c:v>0.0385</c:v>
                </c:pt>
                <c:pt idx="136">
                  <c:v>0.0388</c:v>
                </c:pt>
                <c:pt idx="137">
                  <c:v>0.0389</c:v>
                </c:pt>
                <c:pt idx="138">
                  <c:v>0.0386</c:v>
                </c:pt>
                <c:pt idx="139">
                  <c:v>0.0381</c:v>
                </c:pt>
                <c:pt idx="140">
                  <c:v>0.0382</c:v>
                </c:pt>
                <c:pt idx="141">
                  <c:v>0.0387</c:v>
                </c:pt>
                <c:pt idx="142">
                  <c:v>0.0394</c:v>
                </c:pt>
                <c:pt idx="143">
                  <c:v>0.0405</c:v>
                </c:pt>
                <c:pt idx="144">
                  <c:v>0.0432</c:v>
                </c:pt>
                <c:pt idx="145">
                  <c:v>0.0448</c:v>
                </c:pt>
                <c:pt idx="146">
                  <c:v>0.0483</c:v>
                </c:pt>
                <c:pt idx="147">
                  <c:v>0.0505</c:v>
                </c:pt>
                <c:pt idx="148">
                  <c:v>0.0543</c:v>
                </c:pt>
                <c:pt idx="149">
                  <c:v>0.0564</c:v>
                </c:pt>
                <c:pt idx="150">
                  <c:v>0.0551</c:v>
                </c:pt>
                <c:pt idx="151">
                  <c:v>0.0544</c:v>
                </c:pt>
                <c:pt idx="152">
                  <c:v>0.0516</c:v>
                </c:pt>
                <c:pt idx="153">
                  <c:v>0.0487</c:v>
                </c:pt>
                <c:pt idx="154">
                  <c:v>0.0468</c:v>
                </c:pt>
                <c:pt idx="155">
                  <c:v>0.0448</c:v>
                </c:pt>
                <c:pt idx="156">
                  <c:v>0.0439</c:v>
                </c:pt>
                <c:pt idx="157">
                  <c:v>0.0428</c:v>
                </c:pt>
                <c:pt idx="158">
                  <c:v>0.0408</c:v>
                </c:pt>
                <c:pt idx="159">
                  <c:v>0.0396</c:v>
                </c:pt>
                <c:pt idx="160">
                  <c:v>0.0386</c:v>
                </c:pt>
                <c:pt idx="161">
                  <c:v>0.0379</c:v>
                </c:pt>
                <c:pt idx="162">
                  <c:v>0.036</c:v>
                </c:pt>
                <c:pt idx="163">
                  <c:v>0.0349</c:v>
                </c:pt>
                <c:pt idx="164">
                  <c:v>0.0337</c:v>
                </c:pt>
                <c:pt idx="165">
                  <c:v>0.0332</c:v>
                </c:pt>
                <c:pt idx="166">
                  <c:v>0.0325</c:v>
                </c:pt>
                <c:pt idx="167">
                  <c:v>0.0319</c:v>
                </c:pt>
                <c:pt idx="168">
                  <c:v>0.0312</c:v>
                </c:pt>
                <c:pt idx="169">
                  <c:v>0.0305</c:v>
                </c:pt>
                <c:pt idx="170">
                  <c:v>0.0302</c:v>
                </c:pt>
                <c:pt idx="171">
                  <c:v>0.0303</c:v>
                </c:pt>
                <c:pt idx="172">
                  <c:v>0.0302</c:v>
                </c:pt>
                <c:pt idx="173">
                  <c:v>0.0301</c:v>
                </c:pt>
                <c:pt idx="174">
                  <c:v>0.0313</c:v>
                </c:pt>
                <c:pt idx="175">
                  <c:v>0.0324</c:v>
                </c:pt>
                <c:pt idx="176">
                  <c:v>0.0332</c:v>
                </c:pt>
                <c:pt idx="177">
                  <c:v>0.0341</c:v>
                </c:pt>
                <c:pt idx="178">
                  <c:v>0.0356</c:v>
                </c:pt>
                <c:pt idx="179">
                  <c:v>0.0365</c:v>
                </c:pt>
                <c:pt idx="180">
                  <c:v>0.0383</c:v>
                </c:pt>
                <c:pt idx="181">
                  <c:v>0.0388</c:v>
                </c:pt>
                <c:pt idx="182">
                  <c:v>0.0402</c:v>
                </c:pt>
                <c:pt idx="183">
                  <c:v>0.041</c:v>
                </c:pt>
                <c:pt idx="184">
                  <c:v>0.0414</c:v>
                </c:pt>
                <c:pt idx="185">
                  <c:v>0.0416</c:v>
                </c:pt>
                <c:pt idx="186">
                  <c:v>0.0419</c:v>
                </c:pt>
                <c:pt idx="187">
                  <c:v>0.0444</c:v>
                </c:pt>
                <c:pt idx="188">
                  <c:v>0.0443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'90kg与150kg大猪出栏占比'!$C$1</c:f>
              <c:strCache>
                <c:ptCount val="1"/>
                <c:pt idx="0">
                  <c:v>150kg以上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'90kg与150kg大猪出栏占比'!$A$160:$A$3008</c:f>
              <c:numCache>
                <c:formatCode>yyyy/m/d;@</c:formatCode>
                <c:ptCount val="2849"/>
                <c:pt idx="0" c:formatCode="yyyy/m/d;@">
                  <c:v>44931</c:v>
                </c:pt>
                <c:pt idx="1" c:formatCode="yyyy/m/d;@">
                  <c:v>44938</c:v>
                </c:pt>
                <c:pt idx="2" c:formatCode="yyyy/m/d;@">
                  <c:v>44942</c:v>
                </c:pt>
                <c:pt idx="3" c:formatCode="yyyy/m/d;@">
                  <c:v>44955</c:v>
                </c:pt>
                <c:pt idx="4" c:formatCode="yyyy/m/d;@">
                  <c:v>44959</c:v>
                </c:pt>
                <c:pt idx="5" c:formatCode="yyyy/m/d;@">
                  <c:v>44966</c:v>
                </c:pt>
                <c:pt idx="6" c:formatCode="yyyy/m/d;@">
                  <c:v>44973</c:v>
                </c:pt>
                <c:pt idx="7" c:formatCode="yyyy/m/d;@">
                  <c:v>44980</c:v>
                </c:pt>
                <c:pt idx="8" c:formatCode="yyyy/m/d;@">
                  <c:v>44987</c:v>
                </c:pt>
                <c:pt idx="9" c:formatCode="yyyy/m/d;@">
                  <c:v>44994</c:v>
                </c:pt>
                <c:pt idx="10" c:formatCode="yyyy/m/d;@">
                  <c:v>45001</c:v>
                </c:pt>
                <c:pt idx="11" c:formatCode="yyyy/m/d;@">
                  <c:v>45008</c:v>
                </c:pt>
                <c:pt idx="12" c:formatCode="yyyy/m/d;@">
                  <c:v>45015</c:v>
                </c:pt>
                <c:pt idx="13" c:formatCode="yyyy/m/d;@">
                  <c:v>45022</c:v>
                </c:pt>
                <c:pt idx="14" c:formatCode="yyyy/m/d;@">
                  <c:v>45029</c:v>
                </c:pt>
                <c:pt idx="15" c:formatCode="yyyy/m/d;@">
                  <c:v>45036</c:v>
                </c:pt>
                <c:pt idx="16" c:formatCode="yyyy/m/d;@">
                  <c:v>45043</c:v>
                </c:pt>
                <c:pt idx="17" c:formatCode="yyyy/m/d;@">
                  <c:v>45050</c:v>
                </c:pt>
                <c:pt idx="18" c:formatCode="yyyy/m/d;@">
                  <c:v>45057</c:v>
                </c:pt>
                <c:pt idx="19" c:formatCode="yyyy/m/d;@">
                  <c:v>45064</c:v>
                </c:pt>
                <c:pt idx="20" c:formatCode="yyyy/m/d;@">
                  <c:v>45071</c:v>
                </c:pt>
                <c:pt idx="21" c:formatCode="yyyy/m/d;@">
                  <c:v>45078</c:v>
                </c:pt>
                <c:pt idx="22" c:formatCode="yyyy/m/d;@">
                  <c:v>45085</c:v>
                </c:pt>
                <c:pt idx="23" c:formatCode="yyyy/m/d;@">
                  <c:v>45092</c:v>
                </c:pt>
                <c:pt idx="24" c:formatCode="yyyy/m/d;@">
                  <c:v>45098</c:v>
                </c:pt>
                <c:pt idx="25" c:formatCode="yyyy/m/d;@">
                  <c:v>45106</c:v>
                </c:pt>
                <c:pt idx="26" c:formatCode="yyyy/m/d;@">
                  <c:v>45113</c:v>
                </c:pt>
                <c:pt idx="27" c:formatCode="yyyy/m/d;@">
                  <c:v>45120</c:v>
                </c:pt>
                <c:pt idx="28" c:formatCode="yyyy/m/d;@">
                  <c:v>45127</c:v>
                </c:pt>
                <c:pt idx="29" c:formatCode="yyyy/m/d;@">
                  <c:v>45134</c:v>
                </c:pt>
                <c:pt idx="30" c:formatCode="yyyy/m/d;@">
                  <c:v>45141</c:v>
                </c:pt>
                <c:pt idx="31" c:formatCode="yyyy/m/d;@">
                  <c:v>45148</c:v>
                </c:pt>
                <c:pt idx="32" c:formatCode="yyyy/m/d;@">
                  <c:v>45155</c:v>
                </c:pt>
                <c:pt idx="33" c:formatCode="yyyy/m/d;@">
                  <c:v>45162</c:v>
                </c:pt>
                <c:pt idx="34" c:formatCode="yyyy/m/d;@">
                  <c:v>45169</c:v>
                </c:pt>
                <c:pt idx="35" c:formatCode="yyyy/m/d;@">
                  <c:v>45176</c:v>
                </c:pt>
                <c:pt idx="36" c:formatCode="yyyy/m/d;@">
                  <c:v>45183</c:v>
                </c:pt>
                <c:pt idx="37" c:formatCode="yyyy/m/d;@">
                  <c:v>45190</c:v>
                </c:pt>
                <c:pt idx="38" c:formatCode="yyyy/m/d;@">
                  <c:v>45197</c:v>
                </c:pt>
                <c:pt idx="39" c:formatCode="yyyy/m/d;@">
                  <c:v>45205</c:v>
                </c:pt>
                <c:pt idx="40" c:formatCode="yyyy/m/d;@">
                  <c:v>45211</c:v>
                </c:pt>
                <c:pt idx="41" c:formatCode="yyyy/m/d;@">
                  <c:v>45218</c:v>
                </c:pt>
                <c:pt idx="42" c:formatCode="yyyy/m/d;@">
                  <c:v>45225</c:v>
                </c:pt>
                <c:pt idx="43" c:formatCode="yyyy/m/d;@">
                  <c:v>45232</c:v>
                </c:pt>
                <c:pt idx="44" c:formatCode="yyyy/m/d;@">
                  <c:v>45239</c:v>
                </c:pt>
                <c:pt idx="45" c:formatCode="yyyy/m/d;@">
                  <c:v>45246</c:v>
                </c:pt>
                <c:pt idx="46" c:formatCode="yyyy/m/d;@">
                  <c:v>45253</c:v>
                </c:pt>
                <c:pt idx="47" c:formatCode="yyyy/m/d;@">
                  <c:v>45260</c:v>
                </c:pt>
                <c:pt idx="48" c:formatCode="yyyy/m/d;@">
                  <c:v>45267</c:v>
                </c:pt>
                <c:pt idx="49" c:formatCode="yyyy/m/d;@">
                  <c:v>45274</c:v>
                </c:pt>
                <c:pt idx="50" c:formatCode="yyyy/m/d;@">
                  <c:v>45281</c:v>
                </c:pt>
                <c:pt idx="51" c:formatCode="yyyy/m/d;@">
                  <c:v>45288</c:v>
                </c:pt>
                <c:pt idx="52" c:formatCode="yyyy/m/d;@">
                  <c:v>45295</c:v>
                </c:pt>
                <c:pt idx="53" c:formatCode="yyyy/m/d;@">
                  <c:v>45302</c:v>
                </c:pt>
                <c:pt idx="54" c:formatCode="yyyy/m/d;@">
                  <c:v>45309</c:v>
                </c:pt>
                <c:pt idx="55" c:formatCode="yyyy/m/d;@">
                  <c:v>45316</c:v>
                </c:pt>
                <c:pt idx="56" c:formatCode="yyyy/m/d;@">
                  <c:v>45323</c:v>
                </c:pt>
                <c:pt idx="57" c:formatCode="yyyy/m/d;@">
                  <c:v>45344</c:v>
                </c:pt>
                <c:pt idx="58" c:formatCode="yyyy/m/d;@">
                  <c:v>45351</c:v>
                </c:pt>
                <c:pt idx="59" c:formatCode="yyyy/m/d;@">
                  <c:v>45358</c:v>
                </c:pt>
                <c:pt idx="60" c:formatCode="yyyy/m/d;@">
                  <c:v>45365</c:v>
                </c:pt>
                <c:pt idx="61" c:formatCode="yyyy/m/d;@">
                  <c:v>45372</c:v>
                </c:pt>
                <c:pt idx="62" c:formatCode="yyyy/m/d;@">
                  <c:v>45379</c:v>
                </c:pt>
                <c:pt idx="63" c:formatCode="yyyy/m/d;@">
                  <c:v>45385</c:v>
                </c:pt>
                <c:pt idx="64" c:formatCode="yyyy/m/d;@">
                  <c:v>45393</c:v>
                </c:pt>
                <c:pt idx="65" c:formatCode="yyyy/m/d;@">
                  <c:v>45400</c:v>
                </c:pt>
                <c:pt idx="66" c:formatCode="yyyy/m/d;@">
                  <c:v>45407</c:v>
                </c:pt>
                <c:pt idx="67" c:formatCode="yyyy/m/d;@">
                  <c:v>45414</c:v>
                </c:pt>
                <c:pt idx="68" c:formatCode="yyyy/m/d;@">
                  <c:v>45421</c:v>
                </c:pt>
                <c:pt idx="69" c:formatCode="yyyy/m/d;@">
                  <c:v>45428</c:v>
                </c:pt>
                <c:pt idx="70" c:formatCode="yyyy/m/d;@">
                  <c:v>45435</c:v>
                </c:pt>
                <c:pt idx="71" c:formatCode="yyyy/m/d;@">
                  <c:v>45442</c:v>
                </c:pt>
                <c:pt idx="72" c:formatCode="yyyy/m/d;@">
                  <c:v>45449</c:v>
                </c:pt>
                <c:pt idx="73" c:formatCode="yyyy/m/d;@">
                  <c:v>45456</c:v>
                </c:pt>
                <c:pt idx="74" c:formatCode="yyyy/m/d;@">
                  <c:v>45463</c:v>
                </c:pt>
                <c:pt idx="75" c:formatCode="yyyy/m/d;@">
                  <c:v>45470</c:v>
                </c:pt>
                <c:pt idx="76" c:formatCode="yyyy/m/d;@">
                  <c:v>45477</c:v>
                </c:pt>
                <c:pt idx="77" c:formatCode="yyyy/m/d;@">
                  <c:v>45484</c:v>
                </c:pt>
                <c:pt idx="78" c:formatCode="yyyy/m/d;@">
                  <c:v>45491</c:v>
                </c:pt>
                <c:pt idx="79" c:formatCode="yyyy/m/d;@">
                  <c:v>45498</c:v>
                </c:pt>
                <c:pt idx="80" c:formatCode="yyyy/m/d;@">
                  <c:v>45505</c:v>
                </c:pt>
                <c:pt idx="81" c:formatCode="yyyy/m/d;@">
                  <c:v>45512</c:v>
                </c:pt>
                <c:pt idx="82" c:formatCode="yyyy/m/d;@">
                  <c:v>45519</c:v>
                </c:pt>
                <c:pt idx="83" c:formatCode="yyyy/m/d;@">
                  <c:v>45526</c:v>
                </c:pt>
                <c:pt idx="84" c:formatCode="yyyy/m/d;@">
                  <c:v>45533</c:v>
                </c:pt>
                <c:pt idx="85" c:formatCode="yyyy/m/d;@">
                  <c:v>45540</c:v>
                </c:pt>
                <c:pt idx="86" c:formatCode="yyyy/m/d;@">
                  <c:v>45547</c:v>
                </c:pt>
                <c:pt idx="87" c:formatCode="yyyy/m/d;@">
                  <c:v>45554</c:v>
                </c:pt>
                <c:pt idx="88" c:formatCode="yyyy/m/d;@">
                  <c:v>45561</c:v>
                </c:pt>
                <c:pt idx="89" c:formatCode="yyyy/m/d;@">
                  <c:v>45575</c:v>
                </c:pt>
                <c:pt idx="90" c:formatCode="yyyy/m/d;@">
                  <c:v>45582</c:v>
                </c:pt>
                <c:pt idx="91" c:formatCode="yyyy/m/d;@">
                  <c:v>45589</c:v>
                </c:pt>
                <c:pt idx="92" c:formatCode="yyyy/m/d;@">
                  <c:v>45596</c:v>
                </c:pt>
                <c:pt idx="93" c:formatCode="yyyy/m/d;@">
                  <c:v>45603</c:v>
                </c:pt>
                <c:pt idx="94" c:formatCode="yyyy/m/d;@">
                  <c:v>45610</c:v>
                </c:pt>
                <c:pt idx="95" c:formatCode="yyyy/m/d;@">
                  <c:v>45617</c:v>
                </c:pt>
                <c:pt idx="96" c:formatCode="yyyy/m/d;@">
                  <c:v>45624</c:v>
                </c:pt>
                <c:pt idx="97" c:formatCode="yyyy/m/d;@">
                  <c:v>45631</c:v>
                </c:pt>
                <c:pt idx="98" c:formatCode="yyyy/m/d;@">
                  <c:v>45638</c:v>
                </c:pt>
                <c:pt idx="99" c:formatCode="yyyy/m/d;@">
                  <c:v>45645</c:v>
                </c:pt>
                <c:pt idx="100" c:formatCode="yyyy/m/d;@">
                  <c:v>45652</c:v>
                </c:pt>
                <c:pt idx="101" c:formatCode="yyyy/m/d;@">
                  <c:v>45659</c:v>
                </c:pt>
                <c:pt idx="102" c:formatCode="yyyy/m/d;@">
                  <c:v>45666</c:v>
                </c:pt>
                <c:pt idx="103" c:formatCode="yyyy/m/d;@">
                  <c:v>45673</c:v>
                </c:pt>
                <c:pt idx="104" c:formatCode="yyyy/m/d;@">
                  <c:v>45680</c:v>
                </c:pt>
                <c:pt idx="105" c:formatCode="yyyy/m/d;@">
                  <c:v>45694</c:v>
                </c:pt>
                <c:pt idx="106" c:formatCode="yyyy/m/d;@">
                  <c:v>45701</c:v>
                </c:pt>
                <c:pt idx="107" c:formatCode="yyyy/m/d;@">
                  <c:v>45708</c:v>
                </c:pt>
                <c:pt idx="108" c:formatCode="yyyy/m/d;@">
                  <c:v>45715</c:v>
                </c:pt>
                <c:pt idx="109" c:formatCode="yyyy/m/d;@">
                  <c:v>45722</c:v>
                </c:pt>
                <c:pt idx="110" c:formatCode="yyyy/m/d;@">
                  <c:v>45729</c:v>
                </c:pt>
                <c:pt idx="111" c:formatCode="yyyy/m/d;@">
                  <c:v>45736</c:v>
                </c:pt>
                <c:pt idx="112" c:formatCode="yyyy/m/d;@">
                  <c:v>45743</c:v>
                </c:pt>
                <c:pt idx="113" c:formatCode="yyyy/m/d;@">
                  <c:v>45750</c:v>
                </c:pt>
                <c:pt idx="114" c:formatCode="yyyy/m/d;@">
                  <c:v>45757</c:v>
                </c:pt>
                <c:pt idx="115" c:formatCode="yyyy/m/d;@">
                  <c:v>45764</c:v>
                </c:pt>
                <c:pt idx="116" c:formatCode="yyyy/m/d;@">
                  <c:v>45771</c:v>
                </c:pt>
                <c:pt idx="117" c:formatCode="yyyy/m/d;@">
                  <c:v>45777</c:v>
                </c:pt>
                <c:pt idx="118" c:formatCode="yyyy/m/d;@">
                  <c:v>45785</c:v>
                </c:pt>
                <c:pt idx="119" c:formatCode="yyyy/m/d;@">
                  <c:v>45792</c:v>
                </c:pt>
                <c:pt idx="120" c:formatCode="yyyy/m/d;@">
                  <c:v>45799</c:v>
                </c:pt>
                <c:pt idx="121" c:formatCode="yyyy/m/d;@">
                  <c:v>45806</c:v>
                </c:pt>
                <c:pt idx="122" c:formatCode="yyyy/m/d;@">
                  <c:v>45813</c:v>
                </c:pt>
                <c:pt idx="123" c:formatCode="yyyy/m/d;@">
                  <c:v>45820</c:v>
                </c:pt>
                <c:pt idx="124" c:formatCode="yyyy/m/d;@">
                  <c:v>45827</c:v>
                </c:pt>
                <c:pt idx="125" c:formatCode="yyyy/m/d;@">
                  <c:v>45834</c:v>
                </c:pt>
                <c:pt idx="126" c:formatCode="yyyy/m/d;@">
                  <c:v>45841</c:v>
                </c:pt>
                <c:pt idx="127" c:formatCode="yyyy/m/d;@">
                  <c:v>45848</c:v>
                </c:pt>
                <c:pt idx="128" c:formatCode="yyyy/m/d;@">
                  <c:v>45855</c:v>
                </c:pt>
                <c:pt idx="129" c:formatCode="yyyy/m/d;@">
                  <c:v>45862</c:v>
                </c:pt>
                <c:pt idx="130" c:formatCode="yyyy/m/d;@">
                  <c:v>45869</c:v>
                </c:pt>
                <c:pt idx="131" c:formatCode="yyyy/m/d;@">
                  <c:v>45876</c:v>
                </c:pt>
                <c:pt idx="132" c:formatCode="yyyy/m/d;@">
                  <c:v>45883</c:v>
                </c:pt>
                <c:pt idx="133" c:formatCode="yyyy/m/d;@">
                  <c:v>45890</c:v>
                </c:pt>
                <c:pt idx="134" c:formatCode="yyyy/m/d;@">
                  <c:v>45897</c:v>
                </c:pt>
                <c:pt idx="135" c:formatCode="yyyy/m/d;@">
                  <c:v>45904</c:v>
                </c:pt>
                <c:pt idx="136" c:formatCode="yyyy/m/d;@">
                  <c:v>45911</c:v>
                </c:pt>
                <c:pt idx="137" c:formatCode="yyyy/m/d;@">
                  <c:v>45918</c:v>
                </c:pt>
                <c:pt idx="138" c:formatCode="yyyy/m/d;@">
                  <c:v>45925</c:v>
                </c:pt>
                <c:pt idx="139" c:formatCode="yyyy/m/d;@">
                  <c:v>45939</c:v>
                </c:pt>
                <c:pt idx="140" c:formatCode="yyyy/m/d;@">
                  <c:v>45946</c:v>
                </c:pt>
                <c:pt idx="141" c:formatCode="yyyy/m/d;@">
                  <c:v>45953</c:v>
                </c:pt>
                <c:pt idx="142" c:formatCode="yyyy/m/d;@">
                  <c:v>45960</c:v>
                </c:pt>
                <c:pt idx="143" c:formatCode="yyyy/m/d;@">
                  <c:v>45967</c:v>
                </c:pt>
                <c:pt idx="144" c:formatCode="yyyy/m/d;@">
                  <c:v>45974</c:v>
                </c:pt>
                <c:pt idx="145" c:formatCode="yyyy/m/d;@">
                  <c:v>45981</c:v>
                </c:pt>
                <c:pt idx="146" c:formatCode="yyyy/m/d;@">
                  <c:v>45988</c:v>
                </c:pt>
                <c:pt idx="147" c:formatCode="yyyy/m/d;@">
                  <c:v>45995</c:v>
                </c:pt>
                <c:pt idx="148" c:formatCode="yyyy/m/d;@">
                  <c:v>46002</c:v>
                </c:pt>
                <c:pt idx="149" c:formatCode="yyyy/m/d;@">
                  <c:v>46009</c:v>
                </c:pt>
                <c:pt idx="150" c:formatCode="yyyy/m/d;@">
                  <c:v>46016</c:v>
                </c:pt>
                <c:pt idx="151" c:formatCode="yyyy/m/d;@">
                  <c:v>46023</c:v>
                </c:pt>
                <c:pt idx="152" c:formatCode="yyyy/m/d;@">
                  <c:v>46030</c:v>
                </c:pt>
                <c:pt idx="153" c:formatCode="yyyy/m/d;@">
                  <c:v>46037</c:v>
                </c:pt>
                <c:pt idx="154" c:formatCode="yyyy/m/d;@">
                  <c:v>46044</c:v>
                </c:pt>
                <c:pt idx="155" c:formatCode="yyyy/m/d;@">
                  <c:v>46051</c:v>
                </c:pt>
                <c:pt idx="156" c:formatCode="yyyy/m/d;@">
                  <c:v>46058</c:v>
                </c:pt>
                <c:pt idx="157" c:formatCode="yyyy/m/d;@">
                  <c:v>46065</c:v>
                </c:pt>
                <c:pt idx="158" c:formatCode="yyyy/m/d;@">
                  <c:v>46079</c:v>
                </c:pt>
                <c:pt idx="159" c:formatCode="yyyy/m/d;@">
                  <c:v>46086</c:v>
                </c:pt>
                <c:pt idx="160" c:formatCode="yyyy/m/d;@">
                  <c:v>46093</c:v>
                </c:pt>
                <c:pt idx="161" c:formatCode="yyyy/m/d;@">
                  <c:v>46100</c:v>
                </c:pt>
                <c:pt idx="162" c:formatCode="yyyy/m/d;@">
                  <c:v>46107</c:v>
                </c:pt>
                <c:pt idx="163" c:formatCode="yyyy/m/d;@">
                  <c:v>46114</c:v>
                </c:pt>
                <c:pt idx="164" c:formatCode="yyyy/m/d;@">
                  <c:v>46121</c:v>
                </c:pt>
                <c:pt idx="165" c:formatCode="yyyy/m/d;@">
                  <c:v>46128</c:v>
                </c:pt>
                <c:pt idx="166" c:formatCode="yyyy/m/d;@">
                  <c:v>46135</c:v>
                </c:pt>
                <c:pt idx="167" c:formatCode="yyyy/m/d;@">
                  <c:v>46142</c:v>
                </c:pt>
                <c:pt idx="168" c:formatCode="yyyy/m/d;@">
                  <c:v>46149</c:v>
                </c:pt>
                <c:pt idx="169" c:formatCode="yyyy/m/d;@">
                  <c:v>46156</c:v>
                </c:pt>
                <c:pt idx="170" c:formatCode="yyyy/m/d;@">
                  <c:v>46163</c:v>
                </c:pt>
                <c:pt idx="171" c:formatCode="yyyy/m/d;@">
                  <c:v>46170</c:v>
                </c:pt>
                <c:pt idx="172" c:formatCode="yyyy/m/d;@">
                  <c:v>46177</c:v>
                </c:pt>
                <c:pt idx="173" c:formatCode="yyyy/m/d;@">
                  <c:v>46184</c:v>
                </c:pt>
                <c:pt idx="174" c:formatCode="yyyy/m/d;@">
                  <c:v>46191</c:v>
                </c:pt>
                <c:pt idx="175" c:formatCode="yyyy/m/d;@">
                  <c:v>46198</c:v>
                </c:pt>
                <c:pt idx="176" c:formatCode="yyyy/m/d;@">
                  <c:v>46205</c:v>
                </c:pt>
                <c:pt idx="177" c:formatCode="yyyy/m/d;@">
                  <c:v>46212</c:v>
                </c:pt>
                <c:pt idx="178" c:formatCode="yyyy/m/d;@">
                  <c:v>46219</c:v>
                </c:pt>
                <c:pt idx="179" c:formatCode="yyyy/m/d;@">
                  <c:v>46226</c:v>
                </c:pt>
                <c:pt idx="180" c:formatCode="yyyy/m/d;@">
                  <c:v>46233</c:v>
                </c:pt>
                <c:pt idx="181" c:formatCode="yyyy/m/d;@">
                  <c:v>46240</c:v>
                </c:pt>
                <c:pt idx="182" c:formatCode="yyyy/m/d;@">
                  <c:v>46247</c:v>
                </c:pt>
                <c:pt idx="183" c:formatCode="yyyy/m/d;@">
                  <c:v>46254</c:v>
                </c:pt>
                <c:pt idx="184" c:formatCode="yyyy/m/d;@">
                  <c:v>46261</c:v>
                </c:pt>
                <c:pt idx="185" c:formatCode="yyyy/m/d;@">
                  <c:v>46268</c:v>
                </c:pt>
                <c:pt idx="186" c:formatCode="yyyy/m/d;@">
                  <c:v>46275</c:v>
                </c:pt>
                <c:pt idx="187" c:formatCode="yyyy/m/d;@">
                  <c:v>46282</c:v>
                </c:pt>
                <c:pt idx="188" c:formatCode="yyyy/m/d;@">
                  <c:v>46289</c:v>
                </c:pt>
              </c:numCache>
            </c:numRef>
          </c:cat>
          <c:val>
            <c:numRef>
              <c:f>'90kg与150kg大猪出栏占比'!$C$160:$C$3008</c:f>
              <c:numCache>
                <c:formatCode>0.00%</c:formatCode>
                <c:ptCount val="2849"/>
                <c:pt idx="0">
                  <c:v>0.0841</c:v>
                </c:pt>
                <c:pt idx="1">
                  <c:v>0.0824</c:v>
                </c:pt>
                <c:pt idx="2">
                  <c:v>0.0765</c:v>
                </c:pt>
                <c:pt idx="3">
                  <c:v>0.0647</c:v>
                </c:pt>
                <c:pt idx="4">
                  <c:v>0.0618</c:v>
                </c:pt>
                <c:pt idx="5">
                  <c:v>0.0582</c:v>
                </c:pt>
                <c:pt idx="6">
                  <c:v>0.0547</c:v>
                </c:pt>
                <c:pt idx="7">
                  <c:v>0.0506</c:v>
                </c:pt>
                <c:pt idx="8">
                  <c:v>0.0506</c:v>
                </c:pt>
                <c:pt idx="9">
                  <c:v>0.0494</c:v>
                </c:pt>
                <c:pt idx="10">
                  <c:v>0.0524</c:v>
                </c:pt>
                <c:pt idx="11">
                  <c:v>0.0541</c:v>
                </c:pt>
                <c:pt idx="12">
                  <c:v>0.0547058823529412</c:v>
                </c:pt>
                <c:pt idx="13">
                  <c:v>0.0582</c:v>
                </c:pt>
                <c:pt idx="14">
                  <c:v>0.0629</c:v>
                </c:pt>
                <c:pt idx="15">
                  <c:v>0.0629</c:v>
                </c:pt>
                <c:pt idx="16">
                  <c:v>0.0612</c:v>
                </c:pt>
                <c:pt idx="17">
                  <c:v>0.0606</c:v>
                </c:pt>
                <c:pt idx="18">
                  <c:v>0.0594</c:v>
                </c:pt>
                <c:pt idx="19">
                  <c:v>0.0588</c:v>
                </c:pt>
                <c:pt idx="20">
                  <c:v>0.0553</c:v>
                </c:pt>
                <c:pt idx="21">
                  <c:v>0.0547</c:v>
                </c:pt>
                <c:pt idx="22">
                  <c:v>0.0512</c:v>
                </c:pt>
                <c:pt idx="23">
                  <c:v>0.0494</c:v>
                </c:pt>
                <c:pt idx="24">
                  <c:v>0.0494</c:v>
                </c:pt>
                <c:pt idx="25">
                  <c:v>0.0476</c:v>
                </c:pt>
                <c:pt idx="26">
                  <c:v>0.0441</c:v>
                </c:pt>
                <c:pt idx="27">
                  <c:v>0.0424</c:v>
                </c:pt>
                <c:pt idx="28">
                  <c:v>0.0424</c:v>
                </c:pt>
                <c:pt idx="29">
                  <c:v>0.0406</c:v>
                </c:pt>
                <c:pt idx="30">
                  <c:v>0.0424</c:v>
                </c:pt>
                <c:pt idx="31">
                  <c:v>0.0435</c:v>
                </c:pt>
                <c:pt idx="32">
                  <c:v>0.0435</c:v>
                </c:pt>
                <c:pt idx="33">
                  <c:v>0.0435</c:v>
                </c:pt>
                <c:pt idx="34">
                  <c:v>0.0459</c:v>
                </c:pt>
                <c:pt idx="35">
                  <c:v>0.0465</c:v>
                </c:pt>
                <c:pt idx="36">
                  <c:v>0.0464</c:v>
                </c:pt>
                <c:pt idx="37">
                  <c:v>0.0488</c:v>
                </c:pt>
                <c:pt idx="38">
                  <c:v>0.0529</c:v>
                </c:pt>
                <c:pt idx="39">
                  <c:v>0.0547</c:v>
                </c:pt>
                <c:pt idx="40">
                  <c:v>0.0516</c:v>
                </c:pt>
                <c:pt idx="41">
                  <c:v>0.0447</c:v>
                </c:pt>
                <c:pt idx="42">
                  <c:v>0.0435</c:v>
                </c:pt>
                <c:pt idx="43">
                  <c:v>0.0453</c:v>
                </c:pt>
                <c:pt idx="44">
                  <c:v>0.0447</c:v>
                </c:pt>
                <c:pt idx="45">
                  <c:v>0.0589</c:v>
                </c:pt>
                <c:pt idx="46">
                  <c:v>0.0621</c:v>
                </c:pt>
                <c:pt idx="47">
                  <c:v>0.0679</c:v>
                </c:pt>
                <c:pt idx="48">
                  <c:v>0.0689</c:v>
                </c:pt>
                <c:pt idx="49">
                  <c:v>0.0737</c:v>
                </c:pt>
                <c:pt idx="50">
                  <c:v>0.0779</c:v>
                </c:pt>
                <c:pt idx="51">
                  <c:v>0.08</c:v>
                </c:pt>
                <c:pt idx="52">
                  <c:v>0.0789</c:v>
                </c:pt>
                <c:pt idx="53">
                  <c:v>0.0737</c:v>
                </c:pt>
                <c:pt idx="54">
                  <c:v>0.0668</c:v>
                </c:pt>
                <c:pt idx="55">
                  <c:v>0.0611</c:v>
                </c:pt>
                <c:pt idx="56">
                  <c:v>0.0547</c:v>
                </c:pt>
                <c:pt idx="57">
                  <c:v>0.0432</c:v>
                </c:pt>
                <c:pt idx="58">
                  <c:v>0.0432</c:v>
                </c:pt>
                <c:pt idx="59">
                  <c:v>0.0447</c:v>
                </c:pt>
                <c:pt idx="60">
                  <c:v>0.0453</c:v>
                </c:pt>
                <c:pt idx="61">
                  <c:v>0.0453</c:v>
                </c:pt>
                <c:pt idx="62">
                  <c:v>0.0527</c:v>
                </c:pt>
                <c:pt idx="63">
                  <c:v>0.0574</c:v>
                </c:pt>
                <c:pt idx="64">
                  <c:v>0.0647</c:v>
                </c:pt>
                <c:pt idx="65">
                  <c:v>0.0653</c:v>
                </c:pt>
                <c:pt idx="66">
                  <c:v>0.0579</c:v>
                </c:pt>
                <c:pt idx="67">
                  <c:v>0.0489</c:v>
                </c:pt>
                <c:pt idx="68">
                  <c:v>0.0442</c:v>
                </c:pt>
                <c:pt idx="69">
                  <c:v>0.0437</c:v>
                </c:pt>
                <c:pt idx="70">
                  <c:v>0.0447</c:v>
                </c:pt>
                <c:pt idx="71">
                  <c:v>0.0458</c:v>
                </c:pt>
                <c:pt idx="72">
                  <c:v>0.0484</c:v>
                </c:pt>
                <c:pt idx="73">
                  <c:v>0.0484</c:v>
                </c:pt>
                <c:pt idx="74">
                  <c:v>0.0495</c:v>
                </c:pt>
                <c:pt idx="75">
                  <c:v>0.0468</c:v>
                </c:pt>
                <c:pt idx="76">
                  <c:v>0.0489</c:v>
                </c:pt>
                <c:pt idx="77">
                  <c:v>0.0489</c:v>
                </c:pt>
                <c:pt idx="78">
                  <c:v>0.0484</c:v>
                </c:pt>
                <c:pt idx="79">
                  <c:v>0.05</c:v>
                </c:pt>
                <c:pt idx="80">
                  <c:v>0.0521</c:v>
                </c:pt>
                <c:pt idx="81">
                  <c:v>0.0568</c:v>
                </c:pt>
                <c:pt idx="82">
                  <c:v>0.0637</c:v>
                </c:pt>
                <c:pt idx="83">
                  <c:v>0.0689</c:v>
                </c:pt>
                <c:pt idx="84">
                  <c:v>0.0737</c:v>
                </c:pt>
                <c:pt idx="85">
                  <c:v>0.0668</c:v>
                </c:pt>
                <c:pt idx="86">
                  <c:v>0.06</c:v>
                </c:pt>
                <c:pt idx="87">
                  <c:v>0.0605</c:v>
                </c:pt>
                <c:pt idx="88">
                  <c:v>0.0584</c:v>
                </c:pt>
                <c:pt idx="89">
                  <c:v>0.0565</c:v>
                </c:pt>
                <c:pt idx="90">
                  <c:v>0.057</c:v>
                </c:pt>
                <c:pt idx="91">
                  <c:v>0.0542</c:v>
                </c:pt>
                <c:pt idx="92">
                  <c:v>0.0533</c:v>
                </c:pt>
                <c:pt idx="93">
                  <c:v>0.0569</c:v>
                </c:pt>
                <c:pt idx="94">
                  <c:v>0.0578</c:v>
                </c:pt>
                <c:pt idx="95">
                  <c:v>0.0565</c:v>
                </c:pt>
                <c:pt idx="96">
                  <c:v>0.0581</c:v>
                </c:pt>
                <c:pt idx="97">
                  <c:v>0.0676</c:v>
                </c:pt>
                <c:pt idx="98">
                  <c:v>0.0825</c:v>
                </c:pt>
                <c:pt idx="99">
                  <c:v>0.0863</c:v>
                </c:pt>
                <c:pt idx="100">
                  <c:v>0.0673</c:v>
                </c:pt>
                <c:pt idx="101">
                  <c:v>0.0638</c:v>
                </c:pt>
                <c:pt idx="102">
                  <c:v>0.0561</c:v>
                </c:pt>
                <c:pt idx="103">
                  <c:v>0.0524</c:v>
                </c:pt>
                <c:pt idx="104">
                  <c:v>0.048</c:v>
                </c:pt>
                <c:pt idx="105">
                  <c:v>0.0426</c:v>
                </c:pt>
                <c:pt idx="106">
                  <c:v>0.0404</c:v>
                </c:pt>
                <c:pt idx="107">
                  <c:v>0.0411</c:v>
                </c:pt>
                <c:pt idx="108">
                  <c:v>0.0416</c:v>
                </c:pt>
                <c:pt idx="109">
                  <c:v>0.0423</c:v>
                </c:pt>
                <c:pt idx="110">
                  <c:v>0.0447</c:v>
                </c:pt>
                <c:pt idx="111">
                  <c:v>0.0471</c:v>
                </c:pt>
                <c:pt idx="112">
                  <c:v>0.0492</c:v>
                </c:pt>
                <c:pt idx="113">
                  <c:v>0.0503</c:v>
                </c:pt>
                <c:pt idx="114">
                  <c:v>0.0494</c:v>
                </c:pt>
                <c:pt idx="115">
                  <c:v>0.0484</c:v>
                </c:pt>
                <c:pt idx="116">
                  <c:v>0.0487</c:v>
                </c:pt>
                <c:pt idx="117">
                  <c:v>0.0508</c:v>
                </c:pt>
                <c:pt idx="118">
                  <c:v>0.0507</c:v>
                </c:pt>
                <c:pt idx="119">
                  <c:v>0.0501</c:v>
                </c:pt>
                <c:pt idx="120">
                  <c:v>0.0498</c:v>
                </c:pt>
                <c:pt idx="121">
                  <c:v>0.0492</c:v>
                </c:pt>
                <c:pt idx="122">
                  <c:v>0.0494</c:v>
                </c:pt>
                <c:pt idx="123">
                  <c:v>0.0482</c:v>
                </c:pt>
                <c:pt idx="124">
                  <c:v>0.0474</c:v>
                </c:pt>
                <c:pt idx="125">
                  <c:v>0.0472</c:v>
                </c:pt>
                <c:pt idx="126">
                  <c:v>0.0495</c:v>
                </c:pt>
                <c:pt idx="127">
                  <c:v>0.0512</c:v>
                </c:pt>
                <c:pt idx="128">
                  <c:v>0.0516</c:v>
                </c:pt>
                <c:pt idx="129">
                  <c:v>0.0514</c:v>
                </c:pt>
                <c:pt idx="130">
                  <c:v>0.0509</c:v>
                </c:pt>
                <c:pt idx="131">
                  <c:v>0.0503</c:v>
                </c:pt>
                <c:pt idx="132">
                  <c:v>0.0501</c:v>
                </c:pt>
                <c:pt idx="133">
                  <c:v>0.0502</c:v>
                </c:pt>
                <c:pt idx="134">
                  <c:v>0.05</c:v>
                </c:pt>
                <c:pt idx="135">
                  <c:v>0.0514</c:v>
                </c:pt>
                <c:pt idx="136">
                  <c:v>0.0516</c:v>
                </c:pt>
                <c:pt idx="137">
                  <c:v>0.0516</c:v>
                </c:pt>
                <c:pt idx="138">
                  <c:v>0.0507</c:v>
                </c:pt>
                <c:pt idx="139">
                  <c:v>0.0491</c:v>
                </c:pt>
                <c:pt idx="140">
                  <c:v>0.0469</c:v>
                </c:pt>
                <c:pt idx="141">
                  <c:v>0.0452</c:v>
                </c:pt>
                <c:pt idx="142">
                  <c:v>0.0453</c:v>
                </c:pt>
                <c:pt idx="143">
                  <c:v>0.0489</c:v>
                </c:pt>
                <c:pt idx="144">
                  <c:v>0.0486</c:v>
                </c:pt>
                <c:pt idx="145">
                  <c:v>0.0538</c:v>
                </c:pt>
                <c:pt idx="146">
                  <c:v>0.0632</c:v>
                </c:pt>
                <c:pt idx="147">
                  <c:v>0.0689</c:v>
                </c:pt>
                <c:pt idx="148">
                  <c:v>0.069</c:v>
                </c:pt>
                <c:pt idx="149">
                  <c:v>0.0734</c:v>
                </c:pt>
                <c:pt idx="150">
                  <c:v>0.0701</c:v>
                </c:pt>
                <c:pt idx="151">
                  <c:v>0.0676</c:v>
                </c:pt>
                <c:pt idx="152">
                  <c:v>0.0654</c:v>
                </c:pt>
                <c:pt idx="153">
                  <c:v>0.0671</c:v>
                </c:pt>
                <c:pt idx="154">
                  <c:v>0.0654</c:v>
                </c:pt>
                <c:pt idx="155">
                  <c:v>0.0578</c:v>
                </c:pt>
                <c:pt idx="156">
                  <c:v>0.056</c:v>
                </c:pt>
                <c:pt idx="157">
                  <c:v>0.0516</c:v>
                </c:pt>
                <c:pt idx="158">
                  <c:v>0.0427</c:v>
                </c:pt>
                <c:pt idx="159">
                  <c:v>0.0437</c:v>
                </c:pt>
                <c:pt idx="160">
                  <c:v>0.044</c:v>
                </c:pt>
                <c:pt idx="161">
                  <c:v>0.0451</c:v>
                </c:pt>
                <c:pt idx="162">
                  <c:v>0.0454</c:v>
                </c:pt>
                <c:pt idx="163">
                  <c:v>0.0474</c:v>
                </c:pt>
                <c:pt idx="164">
                  <c:v>0.047</c:v>
                </c:pt>
                <c:pt idx="165">
                  <c:v>0.0479</c:v>
                </c:pt>
                <c:pt idx="166">
                  <c:v>0.0489</c:v>
                </c:pt>
                <c:pt idx="167">
                  <c:v>0.0499</c:v>
                </c:pt>
                <c:pt idx="168">
                  <c:v>0.0496</c:v>
                </c:pt>
                <c:pt idx="169">
                  <c:v>0.0504</c:v>
                </c:pt>
                <c:pt idx="170">
                  <c:v>0.0509</c:v>
                </c:pt>
                <c:pt idx="171">
                  <c:v>0.0504</c:v>
                </c:pt>
                <c:pt idx="172">
                  <c:v>0.052</c:v>
                </c:pt>
                <c:pt idx="173">
                  <c:v>0.0531</c:v>
                </c:pt>
                <c:pt idx="174">
                  <c:v>0.0536</c:v>
                </c:pt>
                <c:pt idx="175">
                  <c:v>0.0486</c:v>
                </c:pt>
                <c:pt idx="176">
                  <c:v>0.0439</c:v>
                </c:pt>
                <c:pt idx="177">
                  <c:v>0.0442</c:v>
                </c:pt>
                <c:pt idx="178">
                  <c:v>0.0443</c:v>
                </c:pt>
                <c:pt idx="179">
                  <c:v>0.0445</c:v>
                </c:pt>
                <c:pt idx="180">
                  <c:v>0.0449</c:v>
                </c:pt>
                <c:pt idx="181">
                  <c:v>0.0443</c:v>
                </c:pt>
                <c:pt idx="182">
                  <c:v>0.044</c:v>
                </c:pt>
                <c:pt idx="183">
                  <c:v>0.0441</c:v>
                </c:pt>
                <c:pt idx="184">
                  <c:v>0.0454</c:v>
                </c:pt>
                <c:pt idx="185">
                  <c:v>0.0471</c:v>
                </c:pt>
                <c:pt idx="186">
                  <c:v>0.0462</c:v>
                </c:pt>
                <c:pt idx="187">
                  <c:v>0.0461</c:v>
                </c:pt>
                <c:pt idx="188">
                  <c:v>0.0456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5437621"/>
        <c:axId val="540919387"/>
      </c:lineChart>
      <c:dateAx>
        <c:axId val="45437621"/>
        <c:scaling>
          <c:orientation val="minMax"/>
          <c:max val="46289"/>
          <c:min val="45101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540919387"/>
        <c:crosses val="autoZero"/>
        <c:auto val="1"/>
        <c:lblOffset val="100"/>
        <c:baseTimeUnit val="days"/>
        <c:majorUnit val="3"/>
        <c:majorTimeUnit val="months"/>
      </c:dateAx>
      <c:valAx>
        <c:axId val="540919387"/>
        <c:scaling>
          <c:orientation val="minMax"/>
          <c:min val="0.0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454376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ayout/>
      <c:overlay val="1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1a344e6-d054-491a-9aed-7be974d3241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  <a:sym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r>
              <a:rPr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养殖利润（部分自繁自养规模及外购育肥）</a:t>
            </a:r>
            <a:endParaRPr b="1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养殖利润!$B$3</c:f>
              <c:strCache>
                <c:ptCount val="1"/>
                <c:pt idx="0">
                  <c:v>母猪50头以下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养殖利润!$A$4:$A$308</c:f>
              <c:numCache>
                <c:formatCode>yyyy/m/d;@</c:formatCode>
                <c:ptCount val="305"/>
                <c:pt idx="0" c:formatCode="yyyy/m/d;@">
                  <c:v>44427</c:v>
                </c:pt>
                <c:pt idx="1" c:formatCode="yyyy/m/d;@">
                  <c:v>44434</c:v>
                </c:pt>
                <c:pt idx="2" c:formatCode="yyyy/m/d;@">
                  <c:v>44441</c:v>
                </c:pt>
                <c:pt idx="3" c:formatCode="yyyy/m/d;@">
                  <c:v>44448</c:v>
                </c:pt>
                <c:pt idx="4" c:formatCode="yyyy/m/d;@">
                  <c:v>44455</c:v>
                </c:pt>
                <c:pt idx="5" c:formatCode="yyyy/m/d;@">
                  <c:v>44462</c:v>
                </c:pt>
                <c:pt idx="6" c:formatCode="yyyy/m/d;@">
                  <c:v>44469</c:v>
                </c:pt>
                <c:pt idx="7" c:formatCode="yyyy/m/d;@">
                  <c:v>44477</c:v>
                </c:pt>
                <c:pt idx="8" c:formatCode="yyyy/m/d;@">
                  <c:v>44483</c:v>
                </c:pt>
                <c:pt idx="9" c:formatCode="yyyy/m/d;@">
                  <c:v>44490</c:v>
                </c:pt>
                <c:pt idx="10" c:formatCode="yyyy/m/d;@">
                  <c:v>44497</c:v>
                </c:pt>
                <c:pt idx="11" c:formatCode="yyyy/m/d;@">
                  <c:v>44504</c:v>
                </c:pt>
                <c:pt idx="12" c:formatCode="yyyy/m/d;@">
                  <c:v>44511</c:v>
                </c:pt>
                <c:pt idx="13" c:formatCode="yyyy/m/d;@">
                  <c:v>44518</c:v>
                </c:pt>
                <c:pt idx="14" c:formatCode="yyyy/m/d;@">
                  <c:v>44525</c:v>
                </c:pt>
                <c:pt idx="15" c:formatCode="yyyy/m/d;@">
                  <c:v>44532</c:v>
                </c:pt>
                <c:pt idx="16" c:formatCode="yyyy/m/d;@">
                  <c:v>44539</c:v>
                </c:pt>
                <c:pt idx="17" c:formatCode="yyyy/m/d;@">
                  <c:v>44546</c:v>
                </c:pt>
                <c:pt idx="18" c:formatCode="yyyy/m/d;@">
                  <c:v>44553</c:v>
                </c:pt>
                <c:pt idx="19" c:formatCode="yyyy/m/d;@">
                  <c:v>44560</c:v>
                </c:pt>
                <c:pt idx="20" c:formatCode="yyyy/m/d;@">
                  <c:v>44567</c:v>
                </c:pt>
                <c:pt idx="21" c:formatCode="yyyy/m/d;@">
                  <c:v>44574</c:v>
                </c:pt>
                <c:pt idx="22" c:formatCode="yyyy/m/d;@">
                  <c:v>44581</c:v>
                </c:pt>
                <c:pt idx="23" c:formatCode="yyyy/m/d;@">
                  <c:v>44587</c:v>
                </c:pt>
                <c:pt idx="24" c:formatCode="yyyy/m/d;@">
                  <c:v>44602</c:v>
                </c:pt>
                <c:pt idx="25" c:formatCode="yyyy/m/d;@">
                  <c:v>44609</c:v>
                </c:pt>
                <c:pt idx="26" c:formatCode="yyyy/m/d;@">
                  <c:v>44616</c:v>
                </c:pt>
                <c:pt idx="27" c:formatCode="yyyy/m/d;@">
                  <c:v>44623</c:v>
                </c:pt>
                <c:pt idx="28" c:formatCode="yyyy/m/d;@">
                  <c:v>44630</c:v>
                </c:pt>
                <c:pt idx="29" c:formatCode="yyyy/m/d;@">
                  <c:v>44637</c:v>
                </c:pt>
                <c:pt idx="30" c:formatCode="yyyy/m/d;@">
                  <c:v>44644</c:v>
                </c:pt>
                <c:pt idx="31" c:formatCode="yyyy/m/d;@">
                  <c:v>44651</c:v>
                </c:pt>
                <c:pt idx="32" c:formatCode="yyyy/m/d;@">
                  <c:v>44658</c:v>
                </c:pt>
                <c:pt idx="33" c:formatCode="yyyy/m/d;@">
                  <c:v>44665</c:v>
                </c:pt>
                <c:pt idx="34" c:formatCode="yyyy/m/d;@">
                  <c:v>44672</c:v>
                </c:pt>
                <c:pt idx="35" c:formatCode="yyyy/m/d;@">
                  <c:v>44679</c:v>
                </c:pt>
                <c:pt idx="36" c:formatCode="yyyy/m/d;@">
                  <c:v>44686</c:v>
                </c:pt>
                <c:pt idx="37" c:formatCode="yyyy/m/d;@">
                  <c:v>44693</c:v>
                </c:pt>
                <c:pt idx="38" c:formatCode="yyyy/m/d;@">
                  <c:v>44700</c:v>
                </c:pt>
                <c:pt idx="39" c:formatCode="yyyy/m/d;@">
                  <c:v>44707</c:v>
                </c:pt>
                <c:pt idx="40" c:formatCode="yyyy/m/d;@">
                  <c:v>44714</c:v>
                </c:pt>
                <c:pt idx="41" c:formatCode="yyyy/m/d;@">
                  <c:v>44721</c:v>
                </c:pt>
                <c:pt idx="42" c:formatCode="yyyy/m/d;@">
                  <c:v>44728</c:v>
                </c:pt>
                <c:pt idx="43" c:formatCode="yyyy/m/d;@">
                  <c:v>44735</c:v>
                </c:pt>
                <c:pt idx="44" c:formatCode="yyyy/m/d;@">
                  <c:v>44742</c:v>
                </c:pt>
                <c:pt idx="45" c:formatCode="yyyy/m/d;@">
                  <c:v>44749</c:v>
                </c:pt>
                <c:pt idx="46" c:formatCode="yyyy/m/d;@">
                  <c:v>44756</c:v>
                </c:pt>
                <c:pt idx="47" c:formatCode="yyyy/m/d;@">
                  <c:v>44763</c:v>
                </c:pt>
                <c:pt idx="48" c:formatCode="yyyy/m/d;@">
                  <c:v>44770</c:v>
                </c:pt>
                <c:pt idx="49" c:formatCode="yyyy/m/d;@">
                  <c:v>44777</c:v>
                </c:pt>
                <c:pt idx="50" c:formatCode="yyyy/m/d;@">
                  <c:v>44784</c:v>
                </c:pt>
                <c:pt idx="51" c:formatCode="yyyy/m/d;@">
                  <c:v>44791</c:v>
                </c:pt>
                <c:pt idx="52" c:formatCode="yyyy/m/d;@">
                  <c:v>44798</c:v>
                </c:pt>
                <c:pt idx="53" c:formatCode="yyyy/m/d;@">
                  <c:v>44805</c:v>
                </c:pt>
                <c:pt idx="54" c:formatCode="yyyy/m/d;@">
                  <c:v>44812</c:v>
                </c:pt>
                <c:pt idx="55" c:formatCode="yyyy/m/d;@">
                  <c:v>44819</c:v>
                </c:pt>
                <c:pt idx="56" c:formatCode="yyyy/m/d;@">
                  <c:v>44826</c:v>
                </c:pt>
                <c:pt idx="57" c:formatCode="yyyy/m/d;@">
                  <c:v>44833</c:v>
                </c:pt>
                <c:pt idx="58" c:formatCode="yyyy/m/d;@">
                  <c:v>44842</c:v>
                </c:pt>
                <c:pt idx="59" c:formatCode="yyyy/m/d;@">
                  <c:v>44847</c:v>
                </c:pt>
                <c:pt idx="60" c:formatCode="yyyy/m/d;@">
                  <c:v>44854</c:v>
                </c:pt>
                <c:pt idx="61" c:formatCode="yyyy/m/d;@">
                  <c:v>44861</c:v>
                </c:pt>
                <c:pt idx="62" c:formatCode="yyyy/m/d;@">
                  <c:v>44868</c:v>
                </c:pt>
                <c:pt idx="63" c:formatCode="yyyy/m/d;@">
                  <c:v>44875</c:v>
                </c:pt>
                <c:pt idx="64" c:formatCode="yyyy/m/d;@">
                  <c:v>44882</c:v>
                </c:pt>
                <c:pt idx="65" c:formatCode="yyyy/m/d;@">
                  <c:v>44889</c:v>
                </c:pt>
                <c:pt idx="66" c:formatCode="yyyy/m/d;@">
                  <c:v>44896</c:v>
                </c:pt>
                <c:pt idx="67" c:formatCode="yyyy/m/d;@">
                  <c:v>44903</c:v>
                </c:pt>
                <c:pt idx="68" c:formatCode="yyyy/m/d;@">
                  <c:v>44910</c:v>
                </c:pt>
                <c:pt idx="69" c:formatCode="yyyy/m/d;@">
                  <c:v>44917</c:v>
                </c:pt>
                <c:pt idx="70" c:formatCode="yyyy/m/d;@">
                  <c:v>44924</c:v>
                </c:pt>
                <c:pt idx="71" c:formatCode="yyyy/m/d;@">
                  <c:v>44931</c:v>
                </c:pt>
                <c:pt idx="72" c:formatCode="yyyy/m/d;@">
                  <c:v>44938</c:v>
                </c:pt>
                <c:pt idx="73" c:formatCode="yyyy/m/d;@">
                  <c:v>44959</c:v>
                </c:pt>
                <c:pt idx="74" c:formatCode="yyyy/m/d;@">
                  <c:v>44966</c:v>
                </c:pt>
                <c:pt idx="75" c:formatCode="yyyy/m/d;@">
                  <c:v>44973</c:v>
                </c:pt>
                <c:pt idx="76" c:formatCode="yyyy/m/d;@">
                  <c:v>44980</c:v>
                </c:pt>
                <c:pt idx="77" c:formatCode="yyyy/m/d;@">
                  <c:v>44987</c:v>
                </c:pt>
                <c:pt idx="78" c:formatCode="yyyy/m/d;@">
                  <c:v>44994</c:v>
                </c:pt>
                <c:pt idx="79" c:formatCode="yyyy/m/d;@">
                  <c:v>45001</c:v>
                </c:pt>
                <c:pt idx="80" c:formatCode="yyyy/m/d;@">
                  <c:v>45008</c:v>
                </c:pt>
                <c:pt idx="81" c:formatCode="yyyy/m/d;@">
                  <c:v>45015</c:v>
                </c:pt>
                <c:pt idx="82" c:formatCode="yyyy/m/d;@">
                  <c:v>45022</c:v>
                </c:pt>
                <c:pt idx="83" c:formatCode="yyyy/m/d;@">
                  <c:v>45029</c:v>
                </c:pt>
                <c:pt idx="84" c:formatCode="yyyy/m/d;@">
                  <c:v>45036</c:v>
                </c:pt>
                <c:pt idx="85" c:formatCode="yyyy/m/d;@">
                  <c:v>45043</c:v>
                </c:pt>
                <c:pt idx="86" c:formatCode="yyyy/m/d;@">
                  <c:v>45050</c:v>
                </c:pt>
                <c:pt idx="87" c:formatCode="yyyy/m/d;@">
                  <c:v>45057</c:v>
                </c:pt>
                <c:pt idx="88" c:formatCode="yyyy/m/d;@">
                  <c:v>45064</c:v>
                </c:pt>
                <c:pt idx="89" c:formatCode="yyyy/m/d;@">
                  <c:v>45071</c:v>
                </c:pt>
                <c:pt idx="90" c:formatCode="yyyy/m/d;@">
                  <c:v>45078</c:v>
                </c:pt>
                <c:pt idx="91" c:formatCode="yyyy/m/d;@">
                  <c:v>45085</c:v>
                </c:pt>
                <c:pt idx="92" c:formatCode="yyyy/m/d;@">
                  <c:v>45092</c:v>
                </c:pt>
                <c:pt idx="93" c:formatCode="yyyy/m/d;@">
                  <c:v>45098</c:v>
                </c:pt>
                <c:pt idx="94" c:formatCode="yyyy/m/d;@">
                  <c:v>45106</c:v>
                </c:pt>
                <c:pt idx="95" c:formatCode="yyyy/m/d;@">
                  <c:v>45113</c:v>
                </c:pt>
                <c:pt idx="96" c:formatCode="yyyy/m/d;@">
                  <c:v>45120</c:v>
                </c:pt>
                <c:pt idx="97" c:formatCode="yyyy/m/d;@">
                  <c:v>45127</c:v>
                </c:pt>
                <c:pt idx="98" c:formatCode="yyyy/m/d;@">
                  <c:v>45134</c:v>
                </c:pt>
                <c:pt idx="99" c:formatCode="yyyy/m/d;@">
                  <c:v>45141</c:v>
                </c:pt>
                <c:pt idx="100" c:formatCode="yyyy/m/d;@">
                  <c:v>45148</c:v>
                </c:pt>
                <c:pt idx="101" c:formatCode="yyyy/m/d;@">
                  <c:v>45155</c:v>
                </c:pt>
                <c:pt idx="102" c:formatCode="yyyy/m/d;@">
                  <c:v>45162</c:v>
                </c:pt>
                <c:pt idx="103" c:formatCode="yyyy/m/d;@">
                  <c:v>45169</c:v>
                </c:pt>
                <c:pt idx="104" c:formatCode="yyyy/m/d;@">
                  <c:v>45176</c:v>
                </c:pt>
                <c:pt idx="105" c:formatCode="yyyy/m/d;@">
                  <c:v>45183</c:v>
                </c:pt>
                <c:pt idx="106" c:formatCode="yyyy/m/d;@">
                  <c:v>45190</c:v>
                </c:pt>
                <c:pt idx="107" c:formatCode="yyyy/m/d;@">
                  <c:v>45197</c:v>
                </c:pt>
                <c:pt idx="108" c:formatCode="yyyy/m/d;@">
                  <c:v>45205</c:v>
                </c:pt>
                <c:pt idx="109" c:formatCode="yyyy/m/d;@">
                  <c:v>45211</c:v>
                </c:pt>
                <c:pt idx="110" c:formatCode="yyyy/m/d;@">
                  <c:v>45218</c:v>
                </c:pt>
                <c:pt idx="111" c:formatCode="yyyy/m/d;@">
                  <c:v>45225</c:v>
                </c:pt>
                <c:pt idx="112" c:formatCode="yyyy/m/d;@">
                  <c:v>45232</c:v>
                </c:pt>
                <c:pt idx="113" c:formatCode="yyyy/m/d;@">
                  <c:v>45239</c:v>
                </c:pt>
                <c:pt idx="114" c:formatCode="yyyy/m/d;@">
                  <c:v>45246</c:v>
                </c:pt>
                <c:pt idx="115" c:formatCode="yyyy/m/d;@">
                  <c:v>45253</c:v>
                </c:pt>
                <c:pt idx="116" c:formatCode="yyyy/m/d;@">
                  <c:v>45260</c:v>
                </c:pt>
                <c:pt idx="117" c:formatCode="yyyy/m/d;@">
                  <c:v>45267</c:v>
                </c:pt>
                <c:pt idx="118" c:formatCode="yyyy/m/d;@">
                  <c:v>45274</c:v>
                </c:pt>
                <c:pt idx="119" c:formatCode="yyyy/m/d;@">
                  <c:v>45281</c:v>
                </c:pt>
                <c:pt idx="120" c:formatCode="yyyy/m/d;@">
                  <c:v>45288</c:v>
                </c:pt>
                <c:pt idx="121" c:formatCode="yyyy/m/d;@">
                  <c:v>45295</c:v>
                </c:pt>
                <c:pt idx="122" c:formatCode="yyyy/m/d;@">
                  <c:v>45302</c:v>
                </c:pt>
                <c:pt idx="123" c:formatCode="yyyy/m/d;@">
                  <c:v>45309</c:v>
                </c:pt>
                <c:pt idx="124" c:formatCode="yyyy/m/d;@">
                  <c:v>45316</c:v>
                </c:pt>
                <c:pt idx="125" c:formatCode="yyyy/m/d;@">
                  <c:v>45323</c:v>
                </c:pt>
                <c:pt idx="126" c:formatCode="yyyy/m/d;@">
                  <c:v>45344</c:v>
                </c:pt>
                <c:pt idx="127" c:formatCode="yyyy/m/d;@">
                  <c:v>45351</c:v>
                </c:pt>
                <c:pt idx="128" c:formatCode="yyyy/m/d;@">
                  <c:v>45358</c:v>
                </c:pt>
                <c:pt idx="129" c:formatCode="yyyy/m/d;@">
                  <c:v>45365</c:v>
                </c:pt>
                <c:pt idx="130" c:formatCode="yyyy/m/d;@">
                  <c:v>45372</c:v>
                </c:pt>
                <c:pt idx="131" c:formatCode="yyyy/m/d;@">
                  <c:v>45379</c:v>
                </c:pt>
                <c:pt idx="132" c:formatCode="yyyy/m/d;@">
                  <c:v>45385</c:v>
                </c:pt>
                <c:pt idx="133" c:formatCode="yyyy/m/d;@">
                  <c:v>45393</c:v>
                </c:pt>
                <c:pt idx="134" c:formatCode="yyyy/m/d;@">
                  <c:v>45400</c:v>
                </c:pt>
                <c:pt idx="135" c:formatCode="yyyy/m/d;@">
                  <c:v>45407</c:v>
                </c:pt>
                <c:pt idx="136" c:formatCode="yyyy/m/d;@">
                  <c:v>45414</c:v>
                </c:pt>
                <c:pt idx="137" c:formatCode="yyyy/m/d;@">
                  <c:v>45421</c:v>
                </c:pt>
                <c:pt idx="138" c:formatCode="yyyy/m/d;@">
                  <c:v>45428</c:v>
                </c:pt>
                <c:pt idx="139" c:formatCode="yyyy/m/d;@">
                  <c:v>45435</c:v>
                </c:pt>
                <c:pt idx="140" c:formatCode="yyyy/m/d;@">
                  <c:v>45442</c:v>
                </c:pt>
                <c:pt idx="141" c:formatCode="yyyy/m/d;@">
                  <c:v>45449</c:v>
                </c:pt>
                <c:pt idx="142" c:formatCode="yyyy/m/d;@">
                  <c:v>45456</c:v>
                </c:pt>
                <c:pt idx="143" c:formatCode="yyyy/m/d;@">
                  <c:v>45463</c:v>
                </c:pt>
                <c:pt idx="144" c:formatCode="yyyy/m/d;@">
                  <c:v>45470</c:v>
                </c:pt>
                <c:pt idx="145" c:formatCode="yyyy/m/d;@">
                  <c:v>45477</c:v>
                </c:pt>
                <c:pt idx="146" c:formatCode="yyyy/m/d;@">
                  <c:v>45484</c:v>
                </c:pt>
                <c:pt idx="147" c:formatCode="yyyy/m/d;@">
                  <c:v>45491</c:v>
                </c:pt>
                <c:pt idx="148" c:formatCode="yyyy/m/d;@">
                  <c:v>45498</c:v>
                </c:pt>
                <c:pt idx="149" c:formatCode="yyyy/m/d;@">
                  <c:v>45505</c:v>
                </c:pt>
                <c:pt idx="150" c:formatCode="yyyy/m/d;@">
                  <c:v>45512</c:v>
                </c:pt>
                <c:pt idx="151" c:formatCode="yyyy/m/d;@">
                  <c:v>45519</c:v>
                </c:pt>
                <c:pt idx="152" c:formatCode="yyyy/m/d;@">
                  <c:v>45526</c:v>
                </c:pt>
                <c:pt idx="153" c:formatCode="yyyy/m/d;@">
                  <c:v>45533</c:v>
                </c:pt>
                <c:pt idx="154" c:formatCode="yyyy/m/d;@">
                  <c:v>45540</c:v>
                </c:pt>
                <c:pt idx="155" c:formatCode="yyyy/m/d;@">
                  <c:v>45547</c:v>
                </c:pt>
                <c:pt idx="156" c:formatCode="yyyy/m/d;@">
                  <c:v>45554</c:v>
                </c:pt>
                <c:pt idx="157" c:formatCode="yyyy/m/d;@">
                  <c:v>45561</c:v>
                </c:pt>
                <c:pt idx="158" c:formatCode="yyyy/m/d;@">
                  <c:v>45575</c:v>
                </c:pt>
                <c:pt idx="159" c:formatCode="yyyy/m/d;@">
                  <c:v>45582</c:v>
                </c:pt>
                <c:pt idx="160" c:formatCode="yyyy/m/d;@">
                  <c:v>45589</c:v>
                </c:pt>
                <c:pt idx="161" c:formatCode="yyyy/m/d;@">
                  <c:v>45596</c:v>
                </c:pt>
                <c:pt idx="162" c:formatCode="yyyy/m/d;@">
                  <c:v>45603</c:v>
                </c:pt>
                <c:pt idx="163" c:formatCode="yyyy/m/d;@">
                  <c:v>45610</c:v>
                </c:pt>
                <c:pt idx="164" c:formatCode="yyyy/m/d;@">
                  <c:v>45617</c:v>
                </c:pt>
                <c:pt idx="165" c:formatCode="yyyy/m/d;@">
                  <c:v>45624</c:v>
                </c:pt>
                <c:pt idx="166" c:formatCode="yyyy/m/d;@">
                  <c:v>45631</c:v>
                </c:pt>
                <c:pt idx="167" c:formatCode="yyyy/m/d;@">
                  <c:v>45638</c:v>
                </c:pt>
                <c:pt idx="168" c:formatCode="yyyy/m/d;@">
                  <c:v>45645</c:v>
                </c:pt>
                <c:pt idx="169" c:formatCode="yyyy/m/d;@">
                  <c:v>45652</c:v>
                </c:pt>
                <c:pt idx="170" c:formatCode="yyyy/m/d;@">
                  <c:v>45659</c:v>
                </c:pt>
                <c:pt idx="171" c:formatCode="yyyy/m/d;@">
                  <c:v>45666</c:v>
                </c:pt>
                <c:pt idx="172" c:formatCode="yyyy/m/d;@">
                  <c:v>45673</c:v>
                </c:pt>
                <c:pt idx="173" c:formatCode="yyyy/m/d;@">
                  <c:v>45680</c:v>
                </c:pt>
                <c:pt idx="174" c:formatCode="yyyy/m/d;@">
                  <c:v>45694</c:v>
                </c:pt>
                <c:pt idx="175" c:formatCode="yyyy/m/d;@">
                  <c:v>45701</c:v>
                </c:pt>
                <c:pt idx="176" c:formatCode="yyyy/m/d;@">
                  <c:v>45708</c:v>
                </c:pt>
                <c:pt idx="177" c:formatCode="yyyy/m/d;@">
                  <c:v>45715</c:v>
                </c:pt>
                <c:pt idx="178" c:formatCode="yyyy/m/d;@">
                  <c:v>45722</c:v>
                </c:pt>
                <c:pt idx="179" c:formatCode="yyyy/m/d;@">
                  <c:v>45729</c:v>
                </c:pt>
                <c:pt idx="180" c:formatCode="yyyy/m/d;@">
                  <c:v>45736</c:v>
                </c:pt>
                <c:pt idx="181" c:formatCode="yyyy/m/d;@">
                  <c:v>45743</c:v>
                </c:pt>
                <c:pt idx="182" c:formatCode="yyyy/m/d;@">
                  <c:v>45750</c:v>
                </c:pt>
                <c:pt idx="183" c:formatCode="yyyy/m/d;@">
                  <c:v>45757</c:v>
                </c:pt>
                <c:pt idx="184" c:formatCode="yyyy/m/d;@">
                  <c:v>45764</c:v>
                </c:pt>
                <c:pt idx="185" c:formatCode="yyyy/m/d;@">
                  <c:v>45771</c:v>
                </c:pt>
                <c:pt idx="186" c:formatCode="yyyy/m/d;@">
                  <c:v>45777</c:v>
                </c:pt>
                <c:pt idx="187" c:formatCode="yyyy/m/d;@">
                  <c:v>45785</c:v>
                </c:pt>
                <c:pt idx="188" c:formatCode="yyyy/m/d;@">
                  <c:v>45792</c:v>
                </c:pt>
                <c:pt idx="189" c:formatCode="yyyy/m/d;@">
                  <c:v>45799</c:v>
                </c:pt>
                <c:pt idx="190" c:formatCode="yyyy/m/d;@">
                  <c:v>45806</c:v>
                </c:pt>
                <c:pt idx="191" c:formatCode="yyyy/m/d;@">
                  <c:v>45813</c:v>
                </c:pt>
                <c:pt idx="192" c:formatCode="yyyy/m/d;@">
                  <c:v>45820</c:v>
                </c:pt>
                <c:pt idx="193" c:formatCode="yyyy/m/d;@">
                  <c:v>45827</c:v>
                </c:pt>
                <c:pt idx="194" c:formatCode="yyyy/m/d;@">
                  <c:v>45834</c:v>
                </c:pt>
                <c:pt idx="195" c:formatCode="yyyy/m/d;@">
                  <c:v>45841</c:v>
                </c:pt>
                <c:pt idx="196" c:formatCode="yyyy/m/d;@">
                  <c:v>45848</c:v>
                </c:pt>
                <c:pt idx="197" c:formatCode="yyyy/m/d;@">
                  <c:v>45855</c:v>
                </c:pt>
                <c:pt idx="198" c:formatCode="yyyy/m/d;@">
                  <c:v>45862</c:v>
                </c:pt>
                <c:pt idx="199" c:formatCode="yyyy/m/d;@">
                  <c:v>45869</c:v>
                </c:pt>
                <c:pt idx="200" c:formatCode="yyyy/m/d;@">
                  <c:v>45876</c:v>
                </c:pt>
                <c:pt idx="201" c:formatCode="yyyy/m/d;@">
                  <c:v>45883</c:v>
                </c:pt>
                <c:pt idx="202" c:formatCode="yyyy/m/d;@">
                  <c:v>45890</c:v>
                </c:pt>
                <c:pt idx="203" c:formatCode="yyyy/m/d;@">
                  <c:v>45897</c:v>
                </c:pt>
                <c:pt idx="204" c:formatCode="yyyy/m/d;@">
                  <c:v>45904</c:v>
                </c:pt>
                <c:pt idx="205" c:formatCode="yyyy/m/d;@">
                  <c:v>45911</c:v>
                </c:pt>
                <c:pt idx="206" c:formatCode="yyyy/m/d;@">
                  <c:v>45918</c:v>
                </c:pt>
                <c:pt idx="207" c:formatCode="yyyy/m/d;@">
                  <c:v>45925</c:v>
                </c:pt>
                <c:pt idx="208" c:formatCode="yyyy/m/d;@">
                  <c:v>45939</c:v>
                </c:pt>
                <c:pt idx="209" c:formatCode="yyyy/m/d;@">
                  <c:v>45946</c:v>
                </c:pt>
                <c:pt idx="210" c:formatCode="yyyy/m/d;@">
                  <c:v>45953</c:v>
                </c:pt>
                <c:pt idx="211" c:formatCode="yyyy/m/d;@">
                  <c:v>45960</c:v>
                </c:pt>
                <c:pt idx="212" c:formatCode="yyyy/m/d;@">
                  <c:v>45967</c:v>
                </c:pt>
                <c:pt idx="213" c:formatCode="yyyy/m/d;@">
                  <c:v>45974</c:v>
                </c:pt>
                <c:pt idx="214" c:formatCode="yyyy/m/d;@">
                  <c:v>45981</c:v>
                </c:pt>
                <c:pt idx="215" c:formatCode="yyyy/m/d;@">
                  <c:v>45988</c:v>
                </c:pt>
                <c:pt idx="216" c:formatCode="yyyy/m/d;@">
                  <c:v>45995</c:v>
                </c:pt>
                <c:pt idx="217" c:formatCode="yyyy/m/d;@">
                  <c:v>46002</c:v>
                </c:pt>
                <c:pt idx="218" c:formatCode="yyyy/m/d;@">
                  <c:v>46009</c:v>
                </c:pt>
                <c:pt idx="219" c:formatCode="yyyy/m/d;@">
                  <c:v>46016</c:v>
                </c:pt>
                <c:pt idx="220" c:formatCode="yyyy/m/d;@">
                  <c:v>46023</c:v>
                </c:pt>
                <c:pt idx="221" c:formatCode="yyyy/m/d;@">
                  <c:v>46030</c:v>
                </c:pt>
                <c:pt idx="222" c:formatCode="yyyy/m/d;@">
                  <c:v>46037</c:v>
                </c:pt>
                <c:pt idx="223" c:formatCode="yyyy/m/d;@">
                  <c:v>46044</c:v>
                </c:pt>
                <c:pt idx="224" c:formatCode="yyyy/m/d;@">
                  <c:v>46051</c:v>
                </c:pt>
                <c:pt idx="225" c:formatCode="yyyy/m/d;@">
                  <c:v>46058</c:v>
                </c:pt>
                <c:pt idx="226" c:formatCode="yyyy/m/d;@">
                  <c:v>46065</c:v>
                </c:pt>
                <c:pt idx="227" c:formatCode="yyyy/m/d;@">
                  <c:v>46079</c:v>
                </c:pt>
                <c:pt idx="228" c:formatCode="yyyy/m/d;@">
                  <c:v>46086</c:v>
                </c:pt>
                <c:pt idx="229" c:formatCode="yyyy/m/d;@">
                  <c:v>46093</c:v>
                </c:pt>
                <c:pt idx="230" c:formatCode="yyyy/m/d;@">
                  <c:v>46100</c:v>
                </c:pt>
                <c:pt idx="231" c:formatCode="yyyy/m/d;@">
                  <c:v>46107</c:v>
                </c:pt>
                <c:pt idx="232" c:formatCode="yyyy/m/d;@">
                  <c:v>46114</c:v>
                </c:pt>
                <c:pt idx="233" c:formatCode="yyyy/m/d;@">
                  <c:v>46121</c:v>
                </c:pt>
                <c:pt idx="234" c:formatCode="yyyy/m/d;@">
                  <c:v>46128</c:v>
                </c:pt>
                <c:pt idx="235" c:formatCode="yyyy/m/d;@">
                  <c:v>46135</c:v>
                </c:pt>
                <c:pt idx="236" c:formatCode="yyyy/m/d;@">
                  <c:v>46142</c:v>
                </c:pt>
                <c:pt idx="237" c:formatCode="yyyy/m/d;@">
                  <c:v>46149</c:v>
                </c:pt>
                <c:pt idx="238" c:formatCode="yyyy/m/d;@">
                  <c:v>46156</c:v>
                </c:pt>
                <c:pt idx="239" c:formatCode="yyyy/m/d;@">
                  <c:v>46163</c:v>
                </c:pt>
                <c:pt idx="240" c:formatCode="yyyy/m/d;@">
                  <c:v>46170</c:v>
                </c:pt>
                <c:pt idx="241" c:formatCode="yyyy/m/d;@">
                  <c:v>46177</c:v>
                </c:pt>
                <c:pt idx="242" c:formatCode="yyyy/m/d;@">
                  <c:v>46184</c:v>
                </c:pt>
                <c:pt idx="243" c:formatCode="yyyy/m/d;@">
                  <c:v>46191</c:v>
                </c:pt>
                <c:pt idx="244" c:formatCode="yyyy/m/d;@">
                  <c:v>46198</c:v>
                </c:pt>
                <c:pt idx="245" c:formatCode="yyyy/m/d;@">
                  <c:v>46205</c:v>
                </c:pt>
                <c:pt idx="246" c:formatCode="yyyy/m/d;@">
                  <c:v>46212</c:v>
                </c:pt>
                <c:pt idx="247" c:formatCode="yyyy/m/d;@">
                  <c:v>46219</c:v>
                </c:pt>
                <c:pt idx="248" c:formatCode="yyyy/m/d;@">
                  <c:v>46226</c:v>
                </c:pt>
                <c:pt idx="249" c:formatCode="yyyy/m/d;@">
                  <c:v>46233</c:v>
                </c:pt>
                <c:pt idx="250" c:formatCode="yyyy/m/d;@">
                  <c:v>46240</c:v>
                </c:pt>
                <c:pt idx="251" c:formatCode="yyyy/m/d;@">
                  <c:v>46247</c:v>
                </c:pt>
                <c:pt idx="252" c:formatCode="yyyy/m/d;@">
                  <c:v>46254</c:v>
                </c:pt>
                <c:pt idx="253" c:formatCode="yyyy/m/d;@">
                  <c:v>46261</c:v>
                </c:pt>
                <c:pt idx="254" c:formatCode="yyyy/m/d;@">
                  <c:v>46268</c:v>
                </c:pt>
                <c:pt idx="255" c:formatCode="yyyy/m/d;@">
                  <c:v>46275</c:v>
                </c:pt>
                <c:pt idx="256" c:formatCode="yyyy/m/d;@">
                  <c:v>46282</c:v>
                </c:pt>
                <c:pt idx="257" c:formatCode="yyyy/m/d;@">
                  <c:v>46289</c:v>
                </c:pt>
              </c:numCache>
            </c:numRef>
          </c:cat>
          <c:val>
            <c:numRef>
              <c:f>养殖利润!$B$4:$B$308</c:f>
              <c:numCache>
                <c:formatCode>0.00_ </c:formatCode>
                <c:ptCount val="305"/>
                <c:pt idx="0">
                  <c:v>-98.98</c:v>
                </c:pt>
                <c:pt idx="1">
                  <c:v>-159.83</c:v>
                </c:pt>
                <c:pt idx="2">
                  <c:v>-243.36</c:v>
                </c:pt>
                <c:pt idx="3">
                  <c:v>-234.74</c:v>
                </c:pt>
                <c:pt idx="4">
                  <c:v>-317.55</c:v>
                </c:pt>
                <c:pt idx="5">
                  <c:v>-355.08</c:v>
                </c:pt>
                <c:pt idx="6">
                  <c:v>-485.89</c:v>
                </c:pt>
                <c:pt idx="7">
                  <c:v>-549.31</c:v>
                </c:pt>
                <c:pt idx="8">
                  <c:v>-411.14</c:v>
                </c:pt>
                <c:pt idx="9">
                  <c:v>-178.44</c:v>
                </c:pt>
                <c:pt idx="10">
                  <c:v>109.22</c:v>
                </c:pt>
                <c:pt idx="11">
                  <c:v>117.82</c:v>
                </c:pt>
                <c:pt idx="12">
                  <c:v>225.31</c:v>
                </c:pt>
                <c:pt idx="13">
                  <c:v>299.62</c:v>
                </c:pt>
                <c:pt idx="14">
                  <c:v>356.9</c:v>
                </c:pt>
                <c:pt idx="15">
                  <c:v>363.82</c:v>
                </c:pt>
                <c:pt idx="16">
                  <c:v>269.134</c:v>
                </c:pt>
                <c:pt idx="17">
                  <c:v>84.4534999999998</c:v>
                </c:pt>
                <c:pt idx="18">
                  <c:v>52.39</c:v>
                </c:pt>
                <c:pt idx="19">
                  <c:v>49.48</c:v>
                </c:pt>
                <c:pt idx="20">
                  <c:v>23.3</c:v>
                </c:pt>
                <c:pt idx="21">
                  <c:v>-136.39</c:v>
                </c:pt>
                <c:pt idx="22">
                  <c:v>-159.93</c:v>
                </c:pt>
                <c:pt idx="23">
                  <c:v>-153.97</c:v>
                </c:pt>
                <c:pt idx="24">
                  <c:v>-153.97</c:v>
                </c:pt>
                <c:pt idx="25">
                  <c:v>-340.06</c:v>
                </c:pt>
                <c:pt idx="26">
                  <c:v>-288.84</c:v>
                </c:pt>
                <c:pt idx="27">
                  <c:v>-306.54</c:v>
                </c:pt>
                <c:pt idx="28">
                  <c:v>-335.62</c:v>
                </c:pt>
                <c:pt idx="29">
                  <c:v>-378.61</c:v>
                </c:pt>
                <c:pt idx="30">
                  <c:v>-391.92</c:v>
                </c:pt>
                <c:pt idx="31">
                  <c:v>-367.95</c:v>
                </c:pt>
                <c:pt idx="32">
                  <c:v>-338.39</c:v>
                </c:pt>
                <c:pt idx="33">
                  <c:v>-364.06</c:v>
                </c:pt>
                <c:pt idx="34">
                  <c:v>-243.84</c:v>
                </c:pt>
                <c:pt idx="35">
                  <c:v>-126.5</c:v>
                </c:pt>
                <c:pt idx="36">
                  <c:v>-89.44</c:v>
                </c:pt>
                <c:pt idx="37">
                  <c:v>-72.03</c:v>
                </c:pt>
                <c:pt idx="38">
                  <c:v>-20.34</c:v>
                </c:pt>
                <c:pt idx="39">
                  <c:v>9.66</c:v>
                </c:pt>
                <c:pt idx="40">
                  <c:v>-12.22</c:v>
                </c:pt>
                <c:pt idx="41">
                  <c:v>-9.86</c:v>
                </c:pt>
                <c:pt idx="42">
                  <c:v>38.65</c:v>
                </c:pt>
                <c:pt idx="43">
                  <c:v>66.55</c:v>
                </c:pt>
                <c:pt idx="44">
                  <c:v>338.74</c:v>
                </c:pt>
                <c:pt idx="45">
                  <c:v>739.51</c:v>
                </c:pt>
                <c:pt idx="46">
                  <c:v>799.12</c:v>
                </c:pt>
                <c:pt idx="47">
                  <c:v>746.47</c:v>
                </c:pt>
                <c:pt idx="48">
                  <c:v>608.85</c:v>
                </c:pt>
                <c:pt idx="49">
                  <c:v>645.1</c:v>
                </c:pt>
                <c:pt idx="50">
                  <c:v>625.45</c:v>
                </c:pt>
                <c:pt idx="51">
                  <c:v>626.47</c:v>
                </c:pt>
                <c:pt idx="52">
                  <c:v>673.96</c:v>
                </c:pt>
                <c:pt idx="53">
                  <c:v>837.88</c:v>
                </c:pt>
                <c:pt idx="54">
                  <c:v>857.33</c:v>
                </c:pt>
                <c:pt idx="55">
                  <c:v>850.02</c:v>
                </c:pt>
                <c:pt idx="56">
                  <c:v>910.43</c:v>
                </c:pt>
                <c:pt idx="57">
                  <c:v>958.41</c:v>
                </c:pt>
                <c:pt idx="58">
                  <c:v>1158.1</c:v>
                </c:pt>
                <c:pt idx="59">
                  <c:v>1197.93</c:v>
                </c:pt>
                <c:pt idx="60">
                  <c:v>1365.42</c:v>
                </c:pt>
                <c:pt idx="61">
                  <c:v>1281.36</c:v>
                </c:pt>
                <c:pt idx="62">
                  <c:v>1094.58</c:v>
                </c:pt>
                <c:pt idx="63">
                  <c:v>985.78</c:v>
                </c:pt>
                <c:pt idx="64">
                  <c:v>872.27</c:v>
                </c:pt>
                <c:pt idx="65">
                  <c:v>738.86</c:v>
                </c:pt>
                <c:pt idx="66">
                  <c:v>551.22</c:v>
                </c:pt>
                <c:pt idx="67">
                  <c:v>605.1</c:v>
                </c:pt>
                <c:pt idx="68">
                  <c:v>214.26</c:v>
                </c:pt>
                <c:pt idx="69">
                  <c:v>-94.93</c:v>
                </c:pt>
                <c:pt idx="70">
                  <c:v>-44.55</c:v>
                </c:pt>
                <c:pt idx="71">
                  <c:v>-248.34</c:v>
                </c:pt>
                <c:pt idx="72">
                  <c:v>-207.98</c:v>
                </c:pt>
                <c:pt idx="73">
                  <c:v>-247.78</c:v>
                </c:pt>
                <c:pt idx="74">
                  <c:v>-273.84</c:v>
                </c:pt>
                <c:pt idx="75">
                  <c:v>-207.68</c:v>
                </c:pt>
                <c:pt idx="76" c:formatCode="General">
                  <c:v>-37.27</c:v>
                </c:pt>
                <c:pt idx="77">
                  <c:v>15.7</c:v>
                </c:pt>
                <c:pt idx="78">
                  <c:v>-12.11</c:v>
                </c:pt>
                <c:pt idx="79">
                  <c:v>-78.11</c:v>
                </c:pt>
                <c:pt idx="80">
                  <c:v>-80.73</c:v>
                </c:pt>
                <c:pt idx="81">
                  <c:v>-84.57</c:v>
                </c:pt>
                <c:pt idx="82">
                  <c:v>-124.01</c:v>
                </c:pt>
                <c:pt idx="83">
                  <c:v>-157.26</c:v>
                </c:pt>
                <c:pt idx="84">
                  <c:v>-187.79</c:v>
                </c:pt>
                <c:pt idx="85">
                  <c:v>-100.56</c:v>
                </c:pt>
                <c:pt idx="86">
                  <c:v>-130</c:v>
                </c:pt>
                <c:pt idx="87">
                  <c:v>-167.95</c:v>
                </c:pt>
                <c:pt idx="88">
                  <c:v>-184.64</c:v>
                </c:pt>
                <c:pt idx="89">
                  <c:v>-191.66</c:v>
                </c:pt>
                <c:pt idx="90">
                  <c:v>-156.84</c:v>
                </c:pt>
                <c:pt idx="91">
                  <c:v>-125.02</c:v>
                </c:pt>
                <c:pt idx="92">
                  <c:v>-122.48</c:v>
                </c:pt>
                <c:pt idx="93">
                  <c:v>-105.17</c:v>
                </c:pt>
                <c:pt idx="94">
                  <c:v>-160.34</c:v>
                </c:pt>
                <c:pt idx="95">
                  <c:v>-152.83</c:v>
                </c:pt>
                <c:pt idx="96">
                  <c:v>-145.45</c:v>
                </c:pt>
                <c:pt idx="97">
                  <c:v>-162.15</c:v>
                </c:pt>
                <c:pt idx="98">
                  <c:v>-88.84</c:v>
                </c:pt>
                <c:pt idx="99">
                  <c:v>128.86</c:v>
                </c:pt>
                <c:pt idx="100">
                  <c:v>237.81</c:v>
                </c:pt>
                <c:pt idx="101">
                  <c:v>205.35</c:v>
                </c:pt>
                <c:pt idx="102">
                  <c:v>190.69</c:v>
                </c:pt>
                <c:pt idx="103">
                  <c:v>197.21</c:v>
                </c:pt>
                <c:pt idx="104">
                  <c:v>142.48</c:v>
                </c:pt>
                <c:pt idx="105">
                  <c:v>97.02</c:v>
                </c:pt>
                <c:pt idx="106">
                  <c:v>82.41</c:v>
                </c:pt>
                <c:pt idx="107">
                  <c:v>44.44</c:v>
                </c:pt>
                <c:pt idx="108">
                  <c:v>23.41</c:v>
                </c:pt>
                <c:pt idx="109">
                  <c:v>-25.83</c:v>
                </c:pt>
                <c:pt idx="110">
                  <c:v>14.71</c:v>
                </c:pt>
                <c:pt idx="111">
                  <c:v>-30.47</c:v>
                </c:pt>
                <c:pt idx="112">
                  <c:v>-132.97</c:v>
                </c:pt>
                <c:pt idx="113">
                  <c:v>-57.34</c:v>
                </c:pt>
                <c:pt idx="114">
                  <c:v>-99.8</c:v>
                </c:pt>
                <c:pt idx="115">
                  <c:v>-40.85</c:v>
                </c:pt>
                <c:pt idx="116">
                  <c:v>-106.64</c:v>
                </c:pt>
                <c:pt idx="117">
                  <c:v>-134.48</c:v>
                </c:pt>
                <c:pt idx="118">
                  <c:v>-122.4</c:v>
                </c:pt>
                <c:pt idx="119">
                  <c:v>-53.29</c:v>
                </c:pt>
                <c:pt idx="120">
                  <c:v>-74.54</c:v>
                </c:pt>
                <c:pt idx="121">
                  <c:v>-99.44</c:v>
                </c:pt>
                <c:pt idx="122">
                  <c:v>-153.15</c:v>
                </c:pt>
                <c:pt idx="123">
                  <c:v>-169.68</c:v>
                </c:pt>
                <c:pt idx="124">
                  <c:v>-99.2</c:v>
                </c:pt>
                <c:pt idx="125">
                  <c:v>66.37</c:v>
                </c:pt>
                <c:pt idx="126">
                  <c:v>-74.07</c:v>
                </c:pt>
                <c:pt idx="127">
                  <c:v>-102.24</c:v>
                </c:pt>
                <c:pt idx="128">
                  <c:v>-47.88</c:v>
                </c:pt>
                <c:pt idx="129">
                  <c:v>-12.35</c:v>
                </c:pt>
                <c:pt idx="130">
                  <c:v>112.87</c:v>
                </c:pt>
                <c:pt idx="131">
                  <c:v>160.82</c:v>
                </c:pt>
                <c:pt idx="132">
                  <c:v>179.26</c:v>
                </c:pt>
                <c:pt idx="133">
                  <c:v>180.22</c:v>
                </c:pt>
                <c:pt idx="134">
                  <c:v>174.8</c:v>
                </c:pt>
                <c:pt idx="135">
                  <c:v>165.39</c:v>
                </c:pt>
                <c:pt idx="136">
                  <c:v>149.75</c:v>
                </c:pt>
                <c:pt idx="137">
                  <c:v>159.27</c:v>
                </c:pt>
                <c:pt idx="138">
                  <c:v>185.44</c:v>
                </c:pt>
                <c:pt idx="139">
                  <c:v>274.07</c:v>
                </c:pt>
                <c:pt idx="140">
                  <c:v>434.42</c:v>
                </c:pt>
                <c:pt idx="141">
                  <c:v>573.89</c:v>
                </c:pt>
                <c:pt idx="142">
                  <c:v>660.44</c:v>
                </c:pt>
                <c:pt idx="143">
                  <c:v>626.4</c:v>
                </c:pt>
                <c:pt idx="144">
                  <c:v>512.78</c:v>
                </c:pt>
                <c:pt idx="145">
                  <c:v>555.64</c:v>
                </c:pt>
                <c:pt idx="146">
                  <c:v>627.04</c:v>
                </c:pt>
                <c:pt idx="147">
                  <c:v>666.97</c:v>
                </c:pt>
                <c:pt idx="148">
                  <c:v>692.15</c:v>
                </c:pt>
                <c:pt idx="149">
                  <c:v>720.14</c:v>
                </c:pt>
                <c:pt idx="150">
                  <c:v>832.99</c:v>
                </c:pt>
                <c:pt idx="151">
                  <c:v>932.4</c:v>
                </c:pt>
                <c:pt idx="152">
                  <c:v>887.82</c:v>
                </c:pt>
                <c:pt idx="153">
                  <c:v>781.92</c:v>
                </c:pt>
                <c:pt idx="154">
                  <c:v>786.66</c:v>
                </c:pt>
                <c:pt idx="155">
                  <c:v>769.62</c:v>
                </c:pt>
                <c:pt idx="156">
                  <c:v>682.76</c:v>
                </c:pt>
                <c:pt idx="157">
                  <c:v>578.13</c:v>
                </c:pt>
                <c:pt idx="158">
                  <c:v>511.03</c:v>
                </c:pt>
                <c:pt idx="159">
                  <c:v>572.32</c:v>
                </c:pt>
                <c:pt idx="160">
                  <c:v>496.72</c:v>
                </c:pt>
                <c:pt idx="161">
                  <c:v>488.2</c:v>
                </c:pt>
                <c:pt idx="162">
                  <c:v>463.31</c:v>
                </c:pt>
                <c:pt idx="163">
                  <c:v>405.94</c:v>
                </c:pt>
                <c:pt idx="164">
                  <c:v>347.24</c:v>
                </c:pt>
                <c:pt idx="165">
                  <c:v>406.25</c:v>
                </c:pt>
                <c:pt idx="166">
                  <c:v>370.87</c:v>
                </c:pt>
                <c:pt idx="167">
                  <c:v>320.46</c:v>
                </c:pt>
                <c:pt idx="168">
                  <c:v>338.46</c:v>
                </c:pt>
                <c:pt idx="169">
                  <c:v>297.68</c:v>
                </c:pt>
                <c:pt idx="170">
                  <c:v>335.32</c:v>
                </c:pt>
                <c:pt idx="171">
                  <c:v>366.1</c:v>
                </c:pt>
                <c:pt idx="172">
                  <c:v>350.44</c:v>
                </c:pt>
                <c:pt idx="173">
                  <c:v>311.07</c:v>
                </c:pt>
                <c:pt idx="174">
                  <c:v>346.46</c:v>
                </c:pt>
                <c:pt idx="175">
                  <c:v>207.57</c:v>
                </c:pt>
                <c:pt idx="176">
                  <c:v>231.25</c:v>
                </c:pt>
                <c:pt idx="177">
                  <c:v>198.64</c:v>
                </c:pt>
                <c:pt idx="178">
                  <c:v>160.1</c:v>
                </c:pt>
                <c:pt idx="179">
                  <c:v>148.39</c:v>
                </c:pt>
                <c:pt idx="180">
                  <c:v>151.51</c:v>
                </c:pt>
                <c:pt idx="181">
                  <c:v>153.08</c:v>
                </c:pt>
                <c:pt idx="182">
                  <c:v>152.09</c:v>
                </c:pt>
                <c:pt idx="183">
                  <c:v>170.03</c:v>
                </c:pt>
                <c:pt idx="184">
                  <c:v>201.85</c:v>
                </c:pt>
                <c:pt idx="185">
                  <c:v>223.07</c:v>
                </c:pt>
                <c:pt idx="186">
                  <c:v>201.58</c:v>
                </c:pt>
                <c:pt idx="187">
                  <c:v>198.46</c:v>
                </c:pt>
                <c:pt idx="188">
                  <c:v>179</c:v>
                </c:pt>
                <c:pt idx="189">
                  <c:v>138.79</c:v>
                </c:pt>
                <c:pt idx="190">
                  <c:v>135.64</c:v>
                </c:pt>
                <c:pt idx="191">
                  <c:v>130.46</c:v>
                </c:pt>
                <c:pt idx="192">
                  <c:v>78.58</c:v>
                </c:pt>
                <c:pt idx="193">
                  <c:v>98.78</c:v>
                </c:pt>
                <c:pt idx="194">
                  <c:v>126.86</c:v>
                </c:pt>
                <c:pt idx="195">
                  <c:v>189.1</c:v>
                </c:pt>
                <c:pt idx="196">
                  <c:v>184.51</c:v>
                </c:pt>
                <c:pt idx="197">
                  <c:v>128.83</c:v>
                </c:pt>
                <c:pt idx="198">
                  <c:v>179.87</c:v>
                </c:pt>
                <c:pt idx="199">
                  <c:v>148.46</c:v>
                </c:pt>
                <c:pt idx="200">
                  <c:v>136.75</c:v>
                </c:pt>
                <c:pt idx="201">
                  <c:v>100.98</c:v>
                </c:pt>
                <c:pt idx="202">
                  <c:v>95.99</c:v>
                </c:pt>
                <c:pt idx="203">
                  <c:v>94.59</c:v>
                </c:pt>
                <c:pt idx="204">
                  <c:v>117.97</c:v>
                </c:pt>
                <c:pt idx="205">
                  <c:v>73.14</c:v>
                </c:pt>
                <c:pt idx="206">
                  <c:v>25.69</c:v>
                </c:pt>
                <c:pt idx="207">
                  <c:v>-34.71</c:v>
                </c:pt>
                <c:pt idx="208">
                  <c:v>-57.82</c:v>
                </c:pt>
                <c:pt idx="209">
                  <c:v>-170.57</c:v>
                </c:pt>
                <c:pt idx="210">
                  <c:v>-118.95</c:v>
                </c:pt>
                <c:pt idx="211">
                  <c:v>-16.6</c:v>
                </c:pt>
                <c:pt idx="212">
                  <c:v>-21.81</c:v>
                </c:pt>
                <c:pt idx="213">
                  <c:v>-53.96</c:v>
                </c:pt>
                <c:pt idx="214">
                  <c:v>-78.57</c:v>
                </c:pt>
                <c:pt idx="215">
                  <c:v>-93.04</c:v>
                </c:pt>
                <c:pt idx="216">
                  <c:v>-116.84</c:v>
                </c:pt>
                <c:pt idx="217">
                  <c:v>-128.33</c:v>
                </c:pt>
                <c:pt idx="218">
                  <c:v>-101.54</c:v>
                </c:pt>
                <c:pt idx="219">
                  <c:v>-106.35</c:v>
                </c:pt>
                <c:pt idx="220">
                  <c:v>-10.29</c:v>
                </c:pt>
                <c:pt idx="221">
                  <c:v>18</c:v>
                </c:pt>
                <c:pt idx="222">
                  <c:v>43.81</c:v>
                </c:pt>
                <c:pt idx="223">
                  <c:v>91.51</c:v>
                </c:pt>
                <c:pt idx="224">
                  <c:v>63.93</c:v>
                </c:pt>
                <c:pt idx="225">
                  <c:v>54.78</c:v>
                </c:pt>
                <c:pt idx="226">
                  <c:v>-34.03</c:v>
                </c:pt>
                <c:pt idx="227">
                  <c:v>-140.5</c:v>
                </c:pt>
                <c:pt idx="228">
                  <c:v>-187.1</c:v>
                </c:pt>
                <c:pt idx="229">
                  <c:v>-258.39</c:v>
                </c:pt>
                <c:pt idx="230">
                  <c:v>-272.67</c:v>
                </c:pt>
                <c:pt idx="231">
                  <c:v>-326.92</c:v>
                </c:pt>
                <c:pt idx="232">
                  <c:v>-365.82</c:v>
                </c:pt>
                <c:pt idx="233">
                  <c:v>-416.7</c:v>
                </c:pt>
                <c:pt idx="234">
                  <c:v>-443.19</c:v>
                </c:pt>
                <c:pt idx="235">
                  <c:v>-322.56</c:v>
                </c:pt>
                <c:pt idx="236">
                  <c:v>-290.82</c:v>
                </c:pt>
                <c:pt idx="237">
                  <c:v>-288.62</c:v>
                </c:pt>
                <c:pt idx="238">
                  <c:v>-305.26</c:v>
                </c:pt>
                <c:pt idx="239">
                  <c:v>-315.54</c:v>
                </c:pt>
                <c:pt idx="240">
                  <c:v>-300.1</c:v>
                </c:pt>
                <c:pt idx="241">
                  <c:v>-305.92</c:v>
                </c:pt>
                <c:pt idx="242">
                  <c:v>-298.73</c:v>
                </c:pt>
                <c:pt idx="243">
                  <c:v>-293.44</c:v>
                </c:pt>
                <c:pt idx="244">
                  <c:v>-293.72</c:v>
                </c:pt>
                <c:pt idx="245">
                  <c:v>-239.34</c:v>
                </c:pt>
                <c:pt idx="246">
                  <c:v>-88.34</c:v>
                </c:pt>
                <c:pt idx="247">
                  <c:v>-78.14</c:v>
                </c:pt>
                <c:pt idx="248">
                  <c:v>-126.87</c:v>
                </c:pt>
                <c:pt idx="249">
                  <c:v>-184.38</c:v>
                </c:pt>
                <c:pt idx="250">
                  <c:v>-188.31</c:v>
                </c:pt>
                <c:pt idx="251">
                  <c:v>-147.32</c:v>
                </c:pt>
                <c:pt idx="252">
                  <c:v>-98.84</c:v>
                </c:pt>
                <c:pt idx="253">
                  <c:v>-105.58</c:v>
                </c:pt>
                <c:pt idx="254">
                  <c:v>-116.27</c:v>
                </c:pt>
                <c:pt idx="255">
                  <c:v>-128.03</c:v>
                </c:pt>
                <c:pt idx="256">
                  <c:v>-149.93</c:v>
                </c:pt>
                <c:pt idx="257">
                  <c:v>-175.2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"母猪5000-10000头"</c:f>
              <c:strCache>
                <c:ptCount val="1"/>
                <c:pt idx="0">
                  <c:v>母猪5000-10000头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养殖利润!$A$4:$A$308</c:f>
              <c:numCache>
                <c:formatCode>yyyy/m/d;@</c:formatCode>
                <c:ptCount val="305"/>
                <c:pt idx="0" c:formatCode="yyyy/m/d;@">
                  <c:v>44427</c:v>
                </c:pt>
                <c:pt idx="1" c:formatCode="yyyy/m/d;@">
                  <c:v>44434</c:v>
                </c:pt>
                <c:pt idx="2" c:formatCode="yyyy/m/d;@">
                  <c:v>44441</c:v>
                </c:pt>
                <c:pt idx="3" c:formatCode="yyyy/m/d;@">
                  <c:v>44448</c:v>
                </c:pt>
                <c:pt idx="4" c:formatCode="yyyy/m/d;@">
                  <c:v>44455</c:v>
                </c:pt>
                <c:pt idx="5" c:formatCode="yyyy/m/d;@">
                  <c:v>44462</c:v>
                </c:pt>
                <c:pt idx="6" c:formatCode="yyyy/m/d;@">
                  <c:v>44469</c:v>
                </c:pt>
                <c:pt idx="7" c:formatCode="yyyy/m/d;@">
                  <c:v>44477</c:v>
                </c:pt>
                <c:pt idx="8" c:formatCode="yyyy/m/d;@">
                  <c:v>44483</c:v>
                </c:pt>
                <c:pt idx="9" c:formatCode="yyyy/m/d;@">
                  <c:v>44490</c:v>
                </c:pt>
                <c:pt idx="10" c:formatCode="yyyy/m/d;@">
                  <c:v>44497</c:v>
                </c:pt>
                <c:pt idx="11" c:formatCode="yyyy/m/d;@">
                  <c:v>44504</c:v>
                </c:pt>
                <c:pt idx="12" c:formatCode="yyyy/m/d;@">
                  <c:v>44511</c:v>
                </c:pt>
                <c:pt idx="13" c:formatCode="yyyy/m/d;@">
                  <c:v>44518</c:v>
                </c:pt>
                <c:pt idx="14" c:formatCode="yyyy/m/d;@">
                  <c:v>44525</c:v>
                </c:pt>
                <c:pt idx="15" c:formatCode="yyyy/m/d;@">
                  <c:v>44532</c:v>
                </c:pt>
                <c:pt idx="16" c:formatCode="yyyy/m/d;@">
                  <c:v>44539</c:v>
                </c:pt>
                <c:pt idx="17" c:formatCode="yyyy/m/d;@">
                  <c:v>44546</c:v>
                </c:pt>
                <c:pt idx="18" c:formatCode="yyyy/m/d;@">
                  <c:v>44553</c:v>
                </c:pt>
                <c:pt idx="19" c:formatCode="yyyy/m/d;@">
                  <c:v>44560</c:v>
                </c:pt>
                <c:pt idx="20" c:formatCode="yyyy/m/d;@">
                  <c:v>44567</c:v>
                </c:pt>
                <c:pt idx="21" c:formatCode="yyyy/m/d;@">
                  <c:v>44574</c:v>
                </c:pt>
                <c:pt idx="22" c:formatCode="yyyy/m/d;@">
                  <c:v>44581</c:v>
                </c:pt>
                <c:pt idx="23" c:formatCode="yyyy/m/d;@">
                  <c:v>44587</c:v>
                </c:pt>
                <c:pt idx="24" c:formatCode="yyyy/m/d;@">
                  <c:v>44602</c:v>
                </c:pt>
                <c:pt idx="25" c:formatCode="yyyy/m/d;@">
                  <c:v>44609</c:v>
                </c:pt>
                <c:pt idx="26" c:formatCode="yyyy/m/d;@">
                  <c:v>44616</c:v>
                </c:pt>
                <c:pt idx="27" c:formatCode="yyyy/m/d;@">
                  <c:v>44623</c:v>
                </c:pt>
                <c:pt idx="28" c:formatCode="yyyy/m/d;@">
                  <c:v>44630</c:v>
                </c:pt>
                <c:pt idx="29" c:formatCode="yyyy/m/d;@">
                  <c:v>44637</c:v>
                </c:pt>
                <c:pt idx="30" c:formatCode="yyyy/m/d;@">
                  <c:v>44644</c:v>
                </c:pt>
                <c:pt idx="31" c:formatCode="yyyy/m/d;@">
                  <c:v>44651</c:v>
                </c:pt>
                <c:pt idx="32" c:formatCode="yyyy/m/d;@">
                  <c:v>44658</c:v>
                </c:pt>
                <c:pt idx="33" c:formatCode="yyyy/m/d;@">
                  <c:v>44665</c:v>
                </c:pt>
                <c:pt idx="34" c:formatCode="yyyy/m/d;@">
                  <c:v>44672</c:v>
                </c:pt>
                <c:pt idx="35" c:formatCode="yyyy/m/d;@">
                  <c:v>44679</c:v>
                </c:pt>
                <c:pt idx="36" c:formatCode="yyyy/m/d;@">
                  <c:v>44686</c:v>
                </c:pt>
                <c:pt idx="37" c:formatCode="yyyy/m/d;@">
                  <c:v>44693</c:v>
                </c:pt>
                <c:pt idx="38" c:formatCode="yyyy/m/d;@">
                  <c:v>44700</c:v>
                </c:pt>
                <c:pt idx="39" c:formatCode="yyyy/m/d;@">
                  <c:v>44707</c:v>
                </c:pt>
                <c:pt idx="40" c:formatCode="yyyy/m/d;@">
                  <c:v>44714</c:v>
                </c:pt>
                <c:pt idx="41" c:formatCode="yyyy/m/d;@">
                  <c:v>44721</c:v>
                </c:pt>
                <c:pt idx="42" c:formatCode="yyyy/m/d;@">
                  <c:v>44728</c:v>
                </c:pt>
                <c:pt idx="43" c:formatCode="yyyy/m/d;@">
                  <c:v>44735</c:v>
                </c:pt>
                <c:pt idx="44" c:formatCode="yyyy/m/d;@">
                  <c:v>44742</c:v>
                </c:pt>
                <c:pt idx="45" c:formatCode="yyyy/m/d;@">
                  <c:v>44749</c:v>
                </c:pt>
                <c:pt idx="46" c:formatCode="yyyy/m/d;@">
                  <c:v>44756</c:v>
                </c:pt>
                <c:pt idx="47" c:formatCode="yyyy/m/d;@">
                  <c:v>44763</c:v>
                </c:pt>
                <c:pt idx="48" c:formatCode="yyyy/m/d;@">
                  <c:v>44770</c:v>
                </c:pt>
                <c:pt idx="49" c:formatCode="yyyy/m/d;@">
                  <c:v>44777</c:v>
                </c:pt>
                <c:pt idx="50" c:formatCode="yyyy/m/d;@">
                  <c:v>44784</c:v>
                </c:pt>
                <c:pt idx="51" c:formatCode="yyyy/m/d;@">
                  <c:v>44791</c:v>
                </c:pt>
                <c:pt idx="52" c:formatCode="yyyy/m/d;@">
                  <c:v>44798</c:v>
                </c:pt>
                <c:pt idx="53" c:formatCode="yyyy/m/d;@">
                  <c:v>44805</c:v>
                </c:pt>
                <c:pt idx="54" c:formatCode="yyyy/m/d;@">
                  <c:v>44812</c:v>
                </c:pt>
                <c:pt idx="55" c:formatCode="yyyy/m/d;@">
                  <c:v>44819</c:v>
                </c:pt>
                <c:pt idx="56" c:formatCode="yyyy/m/d;@">
                  <c:v>44826</c:v>
                </c:pt>
                <c:pt idx="57" c:formatCode="yyyy/m/d;@">
                  <c:v>44833</c:v>
                </c:pt>
                <c:pt idx="58" c:formatCode="yyyy/m/d;@">
                  <c:v>44842</c:v>
                </c:pt>
                <c:pt idx="59" c:formatCode="yyyy/m/d;@">
                  <c:v>44847</c:v>
                </c:pt>
                <c:pt idx="60" c:formatCode="yyyy/m/d;@">
                  <c:v>44854</c:v>
                </c:pt>
                <c:pt idx="61" c:formatCode="yyyy/m/d;@">
                  <c:v>44861</c:v>
                </c:pt>
                <c:pt idx="62" c:formatCode="yyyy/m/d;@">
                  <c:v>44868</c:v>
                </c:pt>
                <c:pt idx="63" c:formatCode="yyyy/m/d;@">
                  <c:v>44875</c:v>
                </c:pt>
                <c:pt idx="64" c:formatCode="yyyy/m/d;@">
                  <c:v>44882</c:v>
                </c:pt>
                <c:pt idx="65" c:formatCode="yyyy/m/d;@">
                  <c:v>44889</c:v>
                </c:pt>
                <c:pt idx="66" c:formatCode="yyyy/m/d;@">
                  <c:v>44896</c:v>
                </c:pt>
                <c:pt idx="67" c:formatCode="yyyy/m/d;@">
                  <c:v>44903</c:v>
                </c:pt>
                <c:pt idx="68" c:formatCode="yyyy/m/d;@">
                  <c:v>44910</c:v>
                </c:pt>
                <c:pt idx="69" c:formatCode="yyyy/m/d;@">
                  <c:v>44917</c:v>
                </c:pt>
                <c:pt idx="70" c:formatCode="yyyy/m/d;@">
                  <c:v>44924</c:v>
                </c:pt>
                <c:pt idx="71" c:formatCode="yyyy/m/d;@">
                  <c:v>44931</c:v>
                </c:pt>
                <c:pt idx="72" c:formatCode="yyyy/m/d;@">
                  <c:v>44938</c:v>
                </c:pt>
                <c:pt idx="73" c:formatCode="yyyy/m/d;@">
                  <c:v>44959</c:v>
                </c:pt>
                <c:pt idx="74" c:formatCode="yyyy/m/d;@">
                  <c:v>44966</c:v>
                </c:pt>
                <c:pt idx="75" c:formatCode="yyyy/m/d;@">
                  <c:v>44973</c:v>
                </c:pt>
                <c:pt idx="76" c:formatCode="yyyy/m/d;@">
                  <c:v>44980</c:v>
                </c:pt>
                <c:pt idx="77" c:formatCode="yyyy/m/d;@">
                  <c:v>44987</c:v>
                </c:pt>
                <c:pt idx="78" c:formatCode="yyyy/m/d;@">
                  <c:v>44994</c:v>
                </c:pt>
                <c:pt idx="79" c:formatCode="yyyy/m/d;@">
                  <c:v>45001</c:v>
                </c:pt>
                <c:pt idx="80" c:formatCode="yyyy/m/d;@">
                  <c:v>45008</c:v>
                </c:pt>
                <c:pt idx="81" c:formatCode="yyyy/m/d;@">
                  <c:v>45015</c:v>
                </c:pt>
                <c:pt idx="82" c:formatCode="yyyy/m/d;@">
                  <c:v>45022</c:v>
                </c:pt>
                <c:pt idx="83" c:formatCode="yyyy/m/d;@">
                  <c:v>45029</c:v>
                </c:pt>
                <c:pt idx="84" c:formatCode="yyyy/m/d;@">
                  <c:v>45036</c:v>
                </c:pt>
                <c:pt idx="85" c:formatCode="yyyy/m/d;@">
                  <c:v>45043</c:v>
                </c:pt>
                <c:pt idx="86" c:formatCode="yyyy/m/d;@">
                  <c:v>45050</c:v>
                </c:pt>
                <c:pt idx="87" c:formatCode="yyyy/m/d;@">
                  <c:v>45057</c:v>
                </c:pt>
                <c:pt idx="88" c:formatCode="yyyy/m/d;@">
                  <c:v>45064</c:v>
                </c:pt>
                <c:pt idx="89" c:formatCode="yyyy/m/d;@">
                  <c:v>45071</c:v>
                </c:pt>
                <c:pt idx="90" c:formatCode="yyyy/m/d;@">
                  <c:v>45078</c:v>
                </c:pt>
                <c:pt idx="91" c:formatCode="yyyy/m/d;@">
                  <c:v>45085</c:v>
                </c:pt>
                <c:pt idx="92" c:formatCode="yyyy/m/d;@">
                  <c:v>45092</c:v>
                </c:pt>
                <c:pt idx="93" c:formatCode="yyyy/m/d;@">
                  <c:v>45098</c:v>
                </c:pt>
                <c:pt idx="94" c:formatCode="yyyy/m/d;@">
                  <c:v>45106</c:v>
                </c:pt>
                <c:pt idx="95" c:formatCode="yyyy/m/d;@">
                  <c:v>45113</c:v>
                </c:pt>
                <c:pt idx="96" c:formatCode="yyyy/m/d;@">
                  <c:v>45120</c:v>
                </c:pt>
                <c:pt idx="97" c:formatCode="yyyy/m/d;@">
                  <c:v>45127</c:v>
                </c:pt>
                <c:pt idx="98" c:formatCode="yyyy/m/d;@">
                  <c:v>45134</c:v>
                </c:pt>
                <c:pt idx="99" c:formatCode="yyyy/m/d;@">
                  <c:v>45141</c:v>
                </c:pt>
                <c:pt idx="100" c:formatCode="yyyy/m/d;@">
                  <c:v>45148</c:v>
                </c:pt>
                <c:pt idx="101" c:formatCode="yyyy/m/d;@">
                  <c:v>45155</c:v>
                </c:pt>
                <c:pt idx="102" c:formatCode="yyyy/m/d;@">
                  <c:v>45162</c:v>
                </c:pt>
                <c:pt idx="103" c:formatCode="yyyy/m/d;@">
                  <c:v>45169</c:v>
                </c:pt>
                <c:pt idx="104" c:formatCode="yyyy/m/d;@">
                  <c:v>45176</c:v>
                </c:pt>
                <c:pt idx="105" c:formatCode="yyyy/m/d;@">
                  <c:v>45183</c:v>
                </c:pt>
                <c:pt idx="106" c:formatCode="yyyy/m/d;@">
                  <c:v>45190</c:v>
                </c:pt>
                <c:pt idx="107" c:formatCode="yyyy/m/d;@">
                  <c:v>45197</c:v>
                </c:pt>
                <c:pt idx="108" c:formatCode="yyyy/m/d;@">
                  <c:v>45205</c:v>
                </c:pt>
                <c:pt idx="109" c:formatCode="yyyy/m/d;@">
                  <c:v>45211</c:v>
                </c:pt>
                <c:pt idx="110" c:formatCode="yyyy/m/d;@">
                  <c:v>45218</c:v>
                </c:pt>
                <c:pt idx="111" c:formatCode="yyyy/m/d;@">
                  <c:v>45225</c:v>
                </c:pt>
                <c:pt idx="112" c:formatCode="yyyy/m/d;@">
                  <c:v>45232</c:v>
                </c:pt>
                <c:pt idx="113" c:formatCode="yyyy/m/d;@">
                  <c:v>45239</c:v>
                </c:pt>
                <c:pt idx="114" c:formatCode="yyyy/m/d;@">
                  <c:v>45246</c:v>
                </c:pt>
                <c:pt idx="115" c:formatCode="yyyy/m/d;@">
                  <c:v>45253</c:v>
                </c:pt>
                <c:pt idx="116" c:formatCode="yyyy/m/d;@">
                  <c:v>45260</c:v>
                </c:pt>
                <c:pt idx="117" c:formatCode="yyyy/m/d;@">
                  <c:v>45267</c:v>
                </c:pt>
                <c:pt idx="118" c:formatCode="yyyy/m/d;@">
                  <c:v>45274</c:v>
                </c:pt>
                <c:pt idx="119" c:formatCode="yyyy/m/d;@">
                  <c:v>45281</c:v>
                </c:pt>
                <c:pt idx="120" c:formatCode="yyyy/m/d;@">
                  <c:v>45288</c:v>
                </c:pt>
                <c:pt idx="121" c:formatCode="yyyy/m/d;@">
                  <c:v>45295</c:v>
                </c:pt>
                <c:pt idx="122" c:formatCode="yyyy/m/d;@">
                  <c:v>45302</c:v>
                </c:pt>
                <c:pt idx="123" c:formatCode="yyyy/m/d;@">
                  <c:v>45309</c:v>
                </c:pt>
                <c:pt idx="124" c:formatCode="yyyy/m/d;@">
                  <c:v>45316</c:v>
                </c:pt>
                <c:pt idx="125" c:formatCode="yyyy/m/d;@">
                  <c:v>45323</c:v>
                </c:pt>
                <c:pt idx="126" c:formatCode="yyyy/m/d;@">
                  <c:v>45344</c:v>
                </c:pt>
                <c:pt idx="127" c:formatCode="yyyy/m/d;@">
                  <c:v>45351</c:v>
                </c:pt>
                <c:pt idx="128" c:formatCode="yyyy/m/d;@">
                  <c:v>45358</c:v>
                </c:pt>
                <c:pt idx="129" c:formatCode="yyyy/m/d;@">
                  <c:v>45365</c:v>
                </c:pt>
                <c:pt idx="130" c:formatCode="yyyy/m/d;@">
                  <c:v>45372</c:v>
                </c:pt>
                <c:pt idx="131" c:formatCode="yyyy/m/d;@">
                  <c:v>45379</c:v>
                </c:pt>
                <c:pt idx="132" c:formatCode="yyyy/m/d;@">
                  <c:v>45385</c:v>
                </c:pt>
                <c:pt idx="133" c:formatCode="yyyy/m/d;@">
                  <c:v>45393</c:v>
                </c:pt>
                <c:pt idx="134" c:formatCode="yyyy/m/d;@">
                  <c:v>45400</c:v>
                </c:pt>
                <c:pt idx="135" c:formatCode="yyyy/m/d;@">
                  <c:v>45407</c:v>
                </c:pt>
                <c:pt idx="136" c:formatCode="yyyy/m/d;@">
                  <c:v>45414</c:v>
                </c:pt>
                <c:pt idx="137" c:formatCode="yyyy/m/d;@">
                  <c:v>45421</c:v>
                </c:pt>
                <c:pt idx="138" c:formatCode="yyyy/m/d;@">
                  <c:v>45428</c:v>
                </c:pt>
                <c:pt idx="139" c:formatCode="yyyy/m/d;@">
                  <c:v>45435</c:v>
                </c:pt>
                <c:pt idx="140" c:formatCode="yyyy/m/d;@">
                  <c:v>45442</c:v>
                </c:pt>
                <c:pt idx="141" c:formatCode="yyyy/m/d;@">
                  <c:v>45449</c:v>
                </c:pt>
                <c:pt idx="142" c:formatCode="yyyy/m/d;@">
                  <c:v>45456</c:v>
                </c:pt>
                <c:pt idx="143" c:formatCode="yyyy/m/d;@">
                  <c:v>45463</c:v>
                </c:pt>
                <c:pt idx="144" c:formatCode="yyyy/m/d;@">
                  <c:v>45470</c:v>
                </c:pt>
                <c:pt idx="145" c:formatCode="yyyy/m/d;@">
                  <c:v>45477</c:v>
                </c:pt>
                <c:pt idx="146" c:formatCode="yyyy/m/d;@">
                  <c:v>45484</c:v>
                </c:pt>
                <c:pt idx="147" c:formatCode="yyyy/m/d;@">
                  <c:v>45491</c:v>
                </c:pt>
                <c:pt idx="148" c:formatCode="yyyy/m/d;@">
                  <c:v>45498</c:v>
                </c:pt>
                <c:pt idx="149" c:formatCode="yyyy/m/d;@">
                  <c:v>45505</c:v>
                </c:pt>
                <c:pt idx="150" c:formatCode="yyyy/m/d;@">
                  <c:v>45512</c:v>
                </c:pt>
                <c:pt idx="151" c:formatCode="yyyy/m/d;@">
                  <c:v>45519</c:v>
                </c:pt>
                <c:pt idx="152" c:formatCode="yyyy/m/d;@">
                  <c:v>45526</c:v>
                </c:pt>
                <c:pt idx="153" c:formatCode="yyyy/m/d;@">
                  <c:v>45533</c:v>
                </c:pt>
                <c:pt idx="154" c:formatCode="yyyy/m/d;@">
                  <c:v>45540</c:v>
                </c:pt>
                <c:pt idx="155" c:formatCode="yyyy/m/d;@">
                  <c:v>45547</c:v>
                </c:pt>
                <c:pt idx="156" c:formatCode="yyyy/m/d;@">
                  <c:v>45554</c:v>
                </c:pt>
                <c:pt idx="157" c:formatCode="yyyy/m/d;@">
                  <c:v>45561</c:v>
                </c:pt>
                <c:pt idx="158" c:formatCode="yyyy/m/d;@">
                  <c:v>45575</c:v>
                </c:pt>
                <c:pt idx="159" c:formatCode="yyyy/m/d;@">
                  <c:v>45582</c:v>
                </c:pt>
                <c:pt idx="160" c:formatCode="yyyy/m/d;@">
                  <c:v>45589</c:v>
                </c:pt>
                <c:pt idx="161" c:formatCode="yyyy/m/d;@">
                  <c:v>45596</c:v>
                </c:pt>
                <c:pt idx="162" c:formatCode="yyyy/m/d;@">
                  <c:v>45603</c:v>
                </c:pt>
                <c:pt idx="163" c:formatCode="yyyy/m/d;@">
                  <c:v>45610</c:v>
                </c:pt>
                <c:pt idx="164" c:formatCode="yyyy/m/d;@">
                  <c:v>45617</c:v>
                </c:pt>
                <c:pt idx="165" c:formatCode="yyyy/m/d;@">
                  <c:v>45624</c:v>
                </c:pt>
                <c:pt idx="166" c:formatCode="yyyy/m/d;@">
                  <c:v>45631</c:v>
                </c:pt>
                <c:pt idx="167" c:formatCode="yyyy/m/d;@">
                  <c:v>45638</c:v>
                </c:pt>
                <c:pt idx="168" c:formatCode="yyyy/m/d;@">
                  <c:v>45645</c:v>
                </c:pt>
                <c:pt idx="169" c:formatCode="yyyy/m/d;@">
                  <c:v>45652</c:v>
                </c:pt>
                <c:pt idx="170" c:formatCode="yyyy/m/d;@">
                  <c:v>45659</c:v>
                </c:pt>
                <c:pt idx="171" c:formatCode="yyyy/m/d;@">
                  <c:v>45666</c:v>
                </c:pt>
                <c:pt idx="172" c:formatCode="yyyy/m/d;@">
                  <c:v>45673</c:v>
                </c:pt>
                <c:pt idx="173" c:formatCode="yyyy/m/d;@">
                  <c:v>45680</c:v>
                </c:pt>
                <c:pt idx="174" c:formatCode="yyyy/m/d;@">
                  <c:v>45694</c:v>
                </c:pt>
                <c:pt idx="175" c:formatCode="yyyy/m/d;@">
                  <c:v>45701</c:v>
                </c:pt>
                <c:pt idx="176" c:formatCode="yyyy/m/d;@">
                  <c:v>45708</c:v>
                </c:pt>
                <c:pt idx="177" c:formatCode="yyyy/m/d;@">
                  <c:v>45715</c:v>
                </c:pt>
                <c:pt idx="178" c:formatCode="yyyy/m/d;@">
                  <c:v>45722</c:v>
                </c:pt>
                <c:pt idx="179" c:formatCode="yyyy/m/d;@">
                  <c:v>45729</c:v>
                </c:pt>
                <c:pt idx="180" c:formatCode="yyyy/m/d;@">
                  <c:v>45736</c:v>
                </c:pt>
                <c:pt idx="181" c:formatCode="yyyy/m/d;@">
                  <c:v>45743</c:v>
                </c:pt>
                <c:pt idx="182" c:formatCode="yyyy/m/d;@">
                  <c:v>45750</c:v>
                </c:pt>
                <c:pt idx="183" c:formatCode="yyyy/m/d;@">
                  <c:v>45757</c:v>
                </c:pt>
                <c:pt idx="184" c:formatCode="yyyy/m/d;@">
                  <c:v>45764</c:v>
                </c:pt>
                <c:pt idx="185" c:formatCode="yyyy/m/d;@">
                  <c:v>45771</c:v>
                </c:pt>
                <c:pt idx="186" c:formatCode="yyyy/m/d;@">
                  <c:v>45777</c:v>
                </c:pt>
                <c:pt idx="187" c:formatCode="yyyy/m/d;@">
                  <c:v>45785</c:v>
                </c:pt>
                <c:pt idx="188" c:formatCode="yyyy/m/d;@">
                  <c:v>45792</c:v>
                </c:pt>
                <c:pt idx="189" c:formatCode="yyyy/m/d;@">
                  <c:v>45799</c:v>
                </c:pt>
                <c:pt idx="190" c:formatCode="yyyy/m/d;@">
                  <c:v>45806</c:v>
                </c:pt>
                <c:pt idx="191" c:formatCode="yyyy/m/d;@">
                  <c:v>45813</c:v>
                </c:pt>
                <c:pt idx="192" c:formatCode="yyyy/m/d;@">
                  <c:v>45820</c:v>
                </c:pt>
                <c:pt idx="193" c:formatCode="yyyy/m/d;@">
                  <c:v>45827</c:v>
                </c:pt>
                <c:pt idx="194" c:formatCode="yyyy/m/d;@">
                  <c:v>45834</c:v>
                </c:pt>
                <c:pt idx="195" c:formatCode="yyyy/m/d;@">
                  <c:v>45841</c:v>
                </c:pt>
                <c:pt idx="196" c:formatCode="yyyy/m/d;@">
                  <c:v>45848</c:v>
                </c:pt>
                <c:pt idx="197" c:formatCode="yyyy/m/d;@">
                  <c:v>45855</c:v>
                </c:pt>
                <c:pt idx="198" c:formatCode="yyyy/m/d;@">
                  <c:v>45862</c:v>
                </c:pt>
                <c:pt idx="199" c:formatCode="yyyy/m/d;@">
                  <c:v>45869</c:v>
                </c:pt>
                <c:pt idx="200" c:formatCode="yyyy/m/d;@">
                  <c:v>45876</c:v>
                </c:pt>
                <c:pt idx="201" c:formatCode="yyyy/m/d;@">
                  <c:v>45883</c:v>
                </c:pt>
                <c:pt idx="202" c:formatCode="yyyy/m/d;@">
                  <c:v>45890</c:v>
                </c:pt>
                <c:pt idx="203" c:formatCode="yyyy/m/d;@">
                  <c:v>45897</c:v>
                </c:pt>
                <c:pt idx="204" c:formatCode="yyyy/m/d;@">
                  <c:v>45904</c:v>
                </c:pt>
                <c:pt idx="205" c:formatCode="yyyy/m/d;@">
                  <c:v>45911</c:v>
                </c:pt>
                <c:pt idx="206" c:formatCode="yyyy/m/d;@">
                  <c:v>45918</c:v>
                </c:pt>
                <c:pt idx="207" c:formatCode="yyyy/m/d;@">
                  <c:v>45925</c:v>
                </c:pt>
                <c:pt idx="208" c:formatCode="yyyy/m/d;@">
                  <c:v>45939</c:v>
                </c:pt>
                <c:pt idx="209" c:formatCode="yyyy/m/d;@">
                  <c:v>45946</c:v>
                </c:pt>
                <c:pt idx="210" c:formatCode="yyyy/m/d;@">
                  <c:v>45953</c:v>
                </c:pt>
                <c:pt idx="211" c:formatCode="yyyy/m/d;@">
                  <c:v>45960</c:v>
                </c:pt>
                <c:pt idx="212" c:formatCode="yyyy/m/d;@">
                  <c:v>45967</c:v>
                </c:pt>
                <c:pt idx="213" c:formatCode="yyyy/m/d;@">
                  <c:v>45974</c:v>
                </c:pt>
                <c:pt idx="214" c:formatCode="yyyy/m/d;@">
                  <c:v>45981</c:v>
                </c:pt>
                <c:pt idx="215" c:formatCode="yyyy/m/d;@">
                  <c:v>45988</c:v>
                </c:pt>
                <c:pt idx="216" c:formatCode="yyyy/m/d;@">
                  <c:v>45995</c:v>
                </c:pt>
                <c:pt idx="217" c:formatCode="yyyy/m/d;@">
                  <c:v>46002</c:v>
                </c:pt>
                <c:pt idx="218" c:formatCode="yyyy/m/d;@">
                  <c:v>46009</c:v>
                </c:pt>
                <c:pt idx="219" c:formatCode="yyyy/m/d;@">
                  <c:v>46016</c:v>
                </c:pt>
                <c:pt idx="220" c:formatCode="yyyy/m/d;@">
                  <c:v>46023</c:v>
                </c:pt>
                <c:pt idx="221" c:formatCode="yyyy/m/d;@">
                  <c:v>46030</c:v>
                </c:pt>
                <c:pt idx="222" c:formatCode="yyyy/m/d;@">
                  <c:v>46037</c:v>
                </c:pt>
                <c:pt idx="223" c:formatCode="yyyy/m/d;@">
                  <c:v>46044</c:v>
                </c:pt>
                <c:pt idx="224" c:formatCode="yyyy/m/d;@">
                  <c:v>46051</c:v>
                </c:pt>
                <c:pt idx="225" c:formatCode="yyyy/m/d;@">
                  <c:v>46058</c:v>
                </c:pt>
                <c:pt idx="226" c:formatCode="yyyy/m/d;@">
                  <c:v>46065</c:v>
                </c:pt>
                <c:pt idx="227" c:formatCode="yyyy/m/d;@">
                  <c:v>46079</c:v>
                </c:pt>
                <c:pt idx="228" c:formatCode="yyyy/m/d;@">
                  <c:v>46086</c:v>
                </c:pt>
                <c:pt idx="229" c:formatCode="yyyy/m/d;@">
                  <c:v>46093</c:v>
                </c:pt>
                <c:pt idx="230" c:formatCode="yyyy/m/d;@">
                  <c:v>46100</c:v>
                </c:pt>
                <c:pt idx="231" c:formatCode="yyyy/m/d;@">
                  <c:v>46107</c:v>
                </c:pt>
                <c:pt idx="232" c:formatCode="yyyy/m/d;@">
                  <c:v>46114</c:v>
                </c:pt>
                <c:pt idx="233" c:formatCode="yyyy/m/d;@">
                  <c:v>46121</c:v>
                </c:pt>
                <c:pt idx="234" c:formatCode="yyyy/m/d;@">
                  <c:v>46128</c:v>
                </c:pt>
                <c:pt idx="235" c:formatCode="yyyy/m/d;@">
                  <c:v>46135</c:v>
                </c:pt>
                <c:pt idx="236" c:formatCode="yyyy/m/d;@">
                  <c:v>46142</c:v>
                </c:pt>
                <c:pt idx="237" c:formatCode="yyyy/m/d;@">
                  <c:v>46149</c:v>
                </c:pt>
                <c:pt idx="238" c:formatCode="yyyy/m/d;@">
                  <c:v>46156</c:v>
                </c:pt>
                <c:pt idx="239" c:formatCode="yyyy/m/d;@">
                  <c:v>46163</c:v>
                </c:pt>
                <c:pt idx="240" c:formatCode="yyyy/m/d;@">
                  <c:v>46170</c:v>
                </c:pt>
                <c:pt idx="241" c:formatCode="yyyy/m/d;@">
                  <c:v>46177</c:v>
                </c:pt>
                <c:pt idx="242" c:formatCode="yyyy/m/d;@">
                  <c:v>46184</c:v>
                </c:pt>
                <c:pt idx="243" c:formatCode="yyyy/m/d;@">
                  <c:v>46191</c:v>
                </c:pt>
                <c:pt idx="244" c:formatCode="yyyy/m/d;@">
                  <c:v>46198</c:v>
                </c:pt>
                <c:pt idx="245" c:formatCode="yyyy/m/d;@">
                  <c:v>46205</c:v>
                </c:pt>
                <c:pt idx="246" c:formatCode="yyyy/m/d;@">
                  <c:v>46212</c:v>
                </c:pt>
                <c:pt idx="247" c:formatCode="yyyy/m/d;@">
                  <c:v>46219</c:v>
                </c:pt>
                <c:pt idx="248" c:formatCode="yyyy/m/d;@">
                  <c:v>46226</c:v>
                </c:pt>
                <c:pt idx="249" c:formatCode="yyyy/m/d;@">
                  <c:v>46233</c:v>
                </c:pt>
                <c:pt idx="250" c:formatCode="yyyy/m/d;@">
                  <c:v>46240</c:v>
                </c:pt>
                <c:pt idx="251" c:formatCode="yyyy/m/d;@">
                  <c:v>46247</c:v>
                </c:pt>
                <c:pt idx="252" c:formatCode="yyyy/m/d;@">
                  <c:v>46254</c:v>
                </c:pt>
                <c:pt idx="253" c:formatCode="yyyy/m/d;@">
                  <c:v>46261</c:v>
                </c:pt>
                <c:pt idx="254" c:formatCode="yyyy/m/d;@">
                  <c:v>46268</c:v>
                </c:pt>
                <c:pt idx="255" c:formatCode="yyyy/m/d;@">
                  <c:v>46275</c:v>
                </c:pt>
                <c:pt idx="256" c:formatCode="yyyy/m/d;@">
                  <c:v>46282</c:v>
                </c:pt>
                <c:pt idx="257" c:formatCode="yyyy/m/d;@">
                  <c:v>46289</c:v>
                </c:pt>
              </c:numCache>
            </c:numRef>
          </c:cat>
          <c:val>
            <c:numRef>
              <c:f>养殖利润!$C$4:$C$308</c:f>
              <c:numCache>
                <c:formatCode>0.00_ </c:formatCode>
                <c:ptCount val="305"/>
                <c:pt idx="0">
                  <c:v>-254.51</c:v>
                </c:pt>
                <c:pt idx="1">
                  <c:v>-313.26</c:v>
                </c:pt>
                <c:pt idx="2">
                  <c:v>-386.59</c:v>
                </c:pt>
                <c:pt idx="3">
                  <c:v>-382.87</c:v>
                </c:pt>
                <c:pt idx="4">
                  <c:v>-462.01</c:v>
                </c:pt>
                <c:pt idx="5">
                  <c:v>-494.39</c:v>
                </c:pt>
                <c:pt idx="6">
                  <c:v>-618.07</c:v>
                </c:pt>
                <c:pt idx="7">
                  <c:v>-704.37</c:v>
                </c:pt>
                <c:pt idx="8">
                  <c:v>-567.5904</c:v>
                </c:pt>
                <c:pt idx="9">
                  <c:v>-329.99</c:v>
                </c:pt>
                <c:pt idx="10">
                  <c:v>-43.44</c:v>
                </c:pt>
                <c:pt idx="11">
                  <c:v>-23.81</c:v>
                </c:pt>
                <c:pt idx="12">
                  <c:v>96.92</c:v>
                </c:pt>
                <c:pt idx="13">
                  <c:v>170.67</c:v>
                </c:pt>
                <c:pt idx="14">
                  <c:v>266.72</c:v>
                </c:pt>
                <c:pt idx="15">
                  <c:v>298.94</c:v>
                </c:pt>
                <c:pt idx="16">
                  <c:v>212.0065</c:v>
                </c:pt>
                <c:pt idx="17">
                  <c:v>30.2519999999998</c:v>
                </c:pt>
                <c:pt idx="18">
                  <c:v>-2.49</c:v>
                </c:pt>
                <c:pt idx="19">
                  <c:v>2.47</c:v>
                </c:pt>
                <c:pt idx="20">
                  <c:v>-23.3</c:v>
                </c:pt>
                <c:pt idx="21">
                  <c:v>-190.71</c:v>
                </c:pt>
                <c:pt idx="22">
                  <c:v>-213.64</c:v>
                </c:pt>
                <c:pt idx="23">
                  <c:v>-207.27</c:v>
                </c:pt>
                <c:pt idx="24">
                  <c:v>-187.14</c:v>
                </c:pt>
                <c:pt idx="25">
                  <c:v>-393.82</c:v>
                </c:pt>
                <c:pt idx="26">
                  <c:v>-329.7708</c:v>
                </c:pt>
                <c:pt idx="27">
                  <c:v>-424.402</c:v>
                </c:pt>
                <c:pt idx="28">
                  <c:v>-375.65</c:v>
                </c:pt>
                <c:pt idx="29">
                  <c:v>-409.18</c:v>
                </c:pt>
                <c:pt idx="30">
                  <c:v>-422.42</c:v>
                </c:pt>
                <c:pt idx="31">
                  <c:v>-387.87</c:v>
                </c:pt>
                <c:pt idx="32">
                  <c:v>-358.3</c:v>
                </c:pt>
                <c:pt idx="33">
                  <c:v>-383.96</c:v>
                </c:pt>
                <c:pt idx="34">
                  <c:v>-262.6</c:v>
                </c:pt>
                <c:pt idx="35">
                  <c:v>-145.24</c:v>
                </c:pt>
                <c:pt idx="36">
                  <c:v>-108.27</c:v>
                </c:pt>
                <c:pt idx="37">
                  <c:v>-90.92</c:v>
                </c:pt>
                <c:pt idx="38">
                  <c:v>-39.47</c:v>
                </c:pt>
                <c:pt idx="39">
                  <c:v>-9.66</c:v>
                </c:pt>
                <c:pt idx="40">
                  <c:v>-26.88</c:v>
                </c:pt>
                <c:pt idx="41">
                  <c:v>-69</c:v>
                </c:pt>
                <c:pt idx="42">
                  <c:v>-46.14</c:v>
                </c:pt>
                <c:pt idx="43">
                  <c:v>50.22</c:v>
                </c:pt>
                <c:pt idx="44">
                  <c:v>322.43</c:v>
                </c:pt>
                <c:pt idx="45">
                  <c:v>723.21</c:v>
                </c:pt>
                <c:pt idx="46">
                  <c:v>782.81</c:v>
                </c:pt>
                <c:pt idx="47">
                  <c:v>723.81</c:v>
                </c:pt>
                <c:pt idx="48">
                  <c:v>584.8</c:v>
                </c:pt>
                <c:pt idx="49">
                  <c:v>616.01</c:v>
                </c:pt>
                <c:pt idx="50">
                  <c:v>596.33</c:v>
                </c:pt>
                <c:pt idx="51">
                  <c:v>597.36</c:v>
                </c:pt>
                <c:pt idx="52">
                  <c:v>646.2</c:v>
                </c:pt>
                <c:pt idx="53">
                  <c:v>810</c:v>
                </c:pt>
                <c:pt idx="54">
                  <c:v>829.31</c:v>
                </c:pt>
                <c:pt idx="55">
                  <c:v>821.99</c:v>
                </c:pt>
                <c:pt idx="56">
                  <c:v>882.3</c:v>
                </c:pt>
                <c:pt idx="57">
                  <c:v>930.22</c:v>
                </c:pt>
                <c:pt idx="58">
                  <c:v>1129.88</c:v>
                </c:pt>
                <c:pt idx="59">
                  <c:v>1174.75</c:v>
                </c:pt>
                <c:pt idx="60">
                  <c:v>1343</c:v>
                </c:pt>
                <c:pt idx="61">
                  <c:v>1259.35</c:v>
                </c:pt>
                <c:pt idx="62">
                  <c:v>1072.54</c:v>
                </c:pt>
                <c:pt idx="63">
                  <c:v>954.57</c:v>
                </c:pt>
                <c:pt idx="64">
                  <c:v>841.03</c:v>
                </c:pt>
                <c:pt idx="65">
                  <c:v>707.53</c:v>
                </c:pt>
                <c:pt idx="66">
                  <c:v>519.87</c:v>
                </c:pt>
                <c:pt idx="67">
                  <c:v>573.94</c:v>
                </c:pt>
                <c:pt idx="68">
                  <c:v>183.28</c:v>
                </c:pt>
                <c:pt idx="69">
                  <c:v>-115.45</c:v>
                </c:pt>
                <c:pt idx="70">
                  <c:v>-64.92</c:v>
                </c:pt>
                <c:pt idx="71">
                  <c:v>-268.51</c:v>
                </c:pt>
                <c:pt idx="72">
                  <c:v>-227.91</c:v>
                </c:pt>
                <c:pt idx="73">
                  <c:v>-281.63</c:v>
                </c:pt>
                <c:pt idx="74">
                  <c:v>-306.56</c:v>
                </c:pt>
                <c:pt idx="75">
                  <c:v>-238.04</c:v>
                </c:pt>
                <c:pt idx="76" c:formatCode="General">
                  <c:v>-68.53</c:v>
                </c:pt>
                <c:pt idx="77">
                  <c:v>-15.7</c:v>
                </c:pt>
                <c:pt idx="78">
                  <c:v>-43.6</c:v>
                </c:pt>
                <c:pt idx="79">
                  <c:v>-109.85</c:v>
                </c:pt>
                <c:pt idx="80">
                  <c:v>-111.31</c:v>
                </c:pt>
                <c:pt idx="81">
                  <c:v>-110.3</c:v>
                </c:pt>
                <c:pt idx="82">
                  <c:v>-146.11</c:v>
                </c:pt>
                <c:pt idx="83">
                  <c:v>-179.38</c:v>
                </c:pt>
                <c:pt idx="84">
                  <c:v>-209.89</c:v>
                </c:pt>
                <c:pt idx="85">
                  <c:v>-126.32</c:v>
                </c:pt>
                <c:pt idx="86">
                  <c:v>-155.75</c:v>
                </c:pt>
                <c:pt idx="87">
                  <c:v>-193.69</c:v>
                </c:pt>
                <c:pt idx="88">
                  <c:v>-210.32</c:v>
                </c:pt>
                <c:pt idx="89">
                  <c:v>-226.31</c:v>
                </c:pt>
                <c:pt idx="90">
                  <c:v>-182.37</c:v>
                </c:pt>
                <c:pt idx="91">
                  <c:v>-150.51</c:v>
                </c:pt>
                <c:pt idx="92">
                  <c:v>-150.37</c:v>
                </c:pt>
                <c:pt idx="93">
                  <c:v>-132.98</c:v>
                </c:pt>
                <c:pt idx="94">
                  <c:v>-188.07</c:v>
                </c:pt>
                <c:pt idx="95">
                  <c:v>-180.51</c:v>
                </c:pt>
                <c:pt idx="96">
                  <c:v>-173.1</c:v>
                </c:pt>
                <c:pt idx="97">
                  <c:v>-189.77</c:v>
                </c:pt>
                <c:pt idx="98">
                  <c:v>-116.46</c:v>
                </c:pt>
                <c:pt idx="99">
                  <c:v>99.96</c:v>
                </c:pt>
                <c:pt idx="100">
                  <c:v>212.33</c:v>
                </c:pt>
                <c:pt idx="101">
                  <c:v>179.83</c:v>
                </c:pt>
                <c:pt idx="102">
                  <c:v>165.02</c:v>
                </c:pt>
                <c:pt idx="103">
                  <c:v>171.49</c:v>
                </c:pt>
                <c:pt idx="104">
                  <c:v>116.69</c:v>
                </c:pt>
                <c:pt idx="105">
                  <c:v>71.23</c:v>
                </c:pt>
                <c:pt idx="106">
                  <c:v>57.81</c:v>
                </c:pt>
                <c:pt idx="107">
                  <c:v>18.52</c:v>
                </c:pt>
                <c:pt idx="108">
                  <c:v>-4.93</c:v>
                </c:pt>
                <c:pt idx="109">
                  <c:v>-54.13</c:v>
                </c:pt>
                <c:pt idx="110">
                  <c:v>-13.48</c:v>
                </c:pt>
                <c:pt idx="111">
                  <c:v>-58.5</c:v>
                </c:pt>
                <c:pt idx="112">
                  <c:v>-161.03</c:v>
                </c:pt>
                <c:pt idx="113">
                  <c:v>-85.4</c:v>
                </c:pt>
                <c:pt idx="114">
                  <c:v>-126.91</c:v>
                </c:pt>
                <c:pt idx="115">
                  <c:v>-69.32</c:v>
                </c:pt>
                <c:pt idx="116">
                  <c:v>-128.96</c:v>
                </c:pt>
                <c:pt idx="117">
                  <c:v>-156.69</c:v>
                </c:pt>
                <c:pt idx="118">
                  <c:v>-144.66</c:v>
                </c:pt>
                <c:pt idx="119">
                  <c:v>-75.6</c:v>
                </c:pt>
                <c:pt idx="120">
                  <c:v>-100.63</c:v>
                </c:pt>
                <c:pt idx="121">
                  <c:v>-125.54</c:v>
                </c:pt>
                <c:pt idx="122">
                  <c:v>-179.09</c:v>
                </c:pt>
                <c:pt idx="123">
                  <c:v>-195.51</c:v>
                </c:pt>
                <c:pt idx="124">
                  <c:v>-124.92</c:v>
                </c:pt>
                <c:pt idx="125">
                  <c:v>41.03</c:v>
                </c:pt>
                <c:pt idx="126">
                  <c:v>-99.57</c:v>
                </c:pt>
                <c:pt idx="127">
                  <c:v>-129.02</c:v>
                </c:pt>
                <c:pt idx="128">
                  <c:v>-73.66</c:v>
                </c:pt>
                <c:pt idx="129">
                  <c:v>-38.28</c:v>
                </c:pt>
                <c:pt idx="130">
                  <c:v>88.06</c:v>
                </c:pt>
                <c:pt idx="131">
                  <c:v>135.89</c:v>
                </c:pt>
                <c:pt idx="132">
                  <c:v>154.19</c:v>
                </c:pt>
                <c:pt idx="133">
                  <c:v>156.28</c:v>
                </c:pt>
                <c:pt idx="134">
                  <c:v>149.47</c:v>
                </c:pt>
                <c:pt idx="135">
                  <c:v>140.14</c:v>
                </c:pt>
                <c:pt idx="136">
                  <c:v>125.84</c:v>
                </c:pt>
                <c:pt idx="137">
                  <c:v>134.19</c:v>
                </c:pt>
                <c:pt idx="138">
                  <c:v>160.38</c:v>
                </c:pt>
                <c:pt idx="139">
                  <c:v>248.93</c:v>
                </c:pt>
                <c:pt idx="140">
                  <c:v>409.24</c:v>
                </c:pt>
                <c:pt idx="141">
                  <c:v>548.67</c:v>
                </c:pt>
                <c:pt idx="142">
                  <c:v>635.19</c:v>
                </c:pt>
                <c:pt idx="143">
                  <c:v>601.14</c:v>
                </c:pt>
                <c:pt idx="144">
                  <c:v>487.58</c:v>
                </c:pt>
                <c:pt idx="145">
                  <c:v>530.5</c:v>
                </c:pt>
                <c:pt idx="146">
                  <c:v>601.91</c:v>
                </c:pt>
                <c:pt idx="147">
                  <c:v>641.89</c:v>
                </c:pt>
                <c:pt idx="148">
                  <c:v>667.07</c:v>
                </c:pt>
                <c:pt idx="149">
                  <c:v>695.05</c:v>
                </c:pt>
                <c:pt idx="150">
                  <c:v>807.83</c:v>
                </c:pt>
                <c:pt idx="151">
                  <c:v>907.16</c:v>
                </c:pt>
                <c:pt idx="152">
                  <c:v>862.53</c:v>
                </c:pt>
                <c:pt idx="153">
                  <c:v>757.85</c:v>
                </c:pt>
                <c:pt idx="154">
                  <c:v>761.41</c:v>
                </c:pt>
                <c:pt idx="155">
                  <c:v>744.42</c:v>
                </c:pt>
                <c:pt idx="156">
                  <c:v>657.56</c:v>
                </c:pt>
                <c:pt idx="157">
                  <c:v>554.25</c:v>
                </c:pt>
                <c:pt idx="158">
                  <c:v>485.86</c:v>
                </c:pt>
                <c:pt idx="159">
                  <c:v>547.05</c:v>
                </c:pt>
                <c:pt idx="160">
                  <c:v>471.5</c:v>
                </c:pt>
                <c:pt idx="161">
                  <c:v>463.1</c:v>
                </c:pt>
                <c:pt idx="162">
                  <c:v>438.13</c:v>
                </c:pt>
                <c:pt idx="163">
                  <c:v>380.64</c:v>
                </c:pt>
                <c:pt idx="164">
                  <c:v>321.89</c:v>
                </c:pt>
                <c:pt idx="165">
                  <c:v>384.6</c:v>
                </c:pt>
                <c:pt idx="166">
                  <c:v>349.06</c:v>
                </c:pt>
                <c:pt idx="167">
                  <c:v>298.32</c:v>
                </c:pt>
                <c:pt idx="168">
                  <c:v>317.55</c:v>
                </c:pt>
                <c:pt idx="169">
                  <c:v>287.46</c:v>
                </c:pt>
                <c:pt idx="170">
                  <c:v>326.5</c:v>
                </c:pt>
                <c:pt idx="171">
                  <c:v>356.17</c:v>
                </c:pt>
                <c:pt idx="172">
                  <c:v>340.6</c:v>
                </c:pt>
                <c:pt idx="173">
                  <c:v>301.34</c:v>
                </c:pt>
                <c:pt idx="174">
                  <c:v>336.53</c:v>
                </c:pt>
                <c:pt idx="175">
                  <c:v>198.81</c:v>
                </c:pt>
                <c:pt idx="176">
                  <c:v>221.2</c:v>
                </c:pt>
                <c:pt idx="177">
                  <c:v>188.51</c:v>
                </c:pt>
                <c:pt idx="178">
                  <c:v>151.2</c:v>
                </c:pt>
                <c:pt idx="179">
                  <c:v>138.15</c:v>
                </c:pt>
                <c:pt idx="180">
                  <c:v>141.24</c:v>
                </c:pt>
                <c:pt idx="181">
                  <c:v>142.79</c:v>
                </c:pt>
                <c:pt idx="182">
                  <c:v>141.78</c:v>
                </c:pt>
                <c:pt idx="183">
                  <c:v>161.01</c:v>
                </c:pt>
                <c:pt idx="184">
                  <c:v>192.86</c:v>
                </c:pt>
                <c:pt idx="185">
                  <c:v>212.75</c:v>
                </c:pt>
                <c:pt idx="186">
                  <c:v>191.25</c:v>
                </c:pt>
                <c:pt idx="187">
                  <c:v>189.38</c:v>
                </c:pt>
                <c:pt idx="188">
                  <c:v>169.92</c:v>
                </c:pt>
                <c:pt idx="189">
                  <c:v>138.44</c:v>
                </c:pt>
                <c:pt idx="190">
                  <c:v>125.3</c:v>
                </c:pt>
                <c:pt idx="191">
                  <c:v>121.42</c:v>
                </c:pt>
                <c:pt idx="192">
                  <c:v>68.27</c:v>
                </c:pt>
                <c:pt idx="193">
                  <c:v>88.51</c:v>
                </c:pt>
                <c:pt idx="194">
                  <c:v>116.61</c:v>
                </c:pt>
                <c:pt idx="195">
                  <c:v>171.09</c:v>
                </c:pt>
                <c:pt idx="196">
                  <c:v>165.16</c:v>
                </c:pt>
                <c:pt idx="197">
                  <c:v>110.79</c:v>
                </c:pt>
                <c:pt idx="198">
                  <c:v>161.88</c:v>
                </c:pt>
                <c:pt idx="199">
                  <c:v>129.26</c:v>
                </c:pt>
                <c:pt idx="200">
                  <c:v>118.85</c:v>
                </c:pt>
                <c:pt idx="201">
                  <c:v>83.08</c:v>
                </c:pt>
                <c:pt idx="202">
                  <c:v>78.07</c:v>
                </c:pt>
                <c:pt idx="203">
                  <c:v>75.42</c:v>
                </c:pt>
                <c:pt idx="204">
                  <c:v>98.74</c:v>
                </c:pt>
                <c:pt idx="205">
                  <c:v>53.89</c:v>
                </c:pt>
                <c:pt idx="206">
                  <c:v>7.71</c:v>
                </c:pt>
                <c:pt idx="207">
                  <c:v>-53.99</c:v>
                </c:pt>
                <c:pt idx="208">
                  <c:v>-77.09</c:v>
                </c:pt>
                <c:pt idx="209">
                  <c:v>-188.53</c:v>
                </c:pt>
                <c:pt idx="210">
                  <c:v>-138.13</c:v>
                </c:pt>
                <c:pt idx="211">
                  <c:v>-34.48</c:v>
                </c:pt>
                <c:pt idx="212">
                  <c:v>-41.06</c:v>
                </c:pt>
                <c:pt idx="213">
                  <c:v>-71.95</c:v>
                </c:pt>
                <c:pt idx="214">
                  <c:v>-96.61</c:v>
                </c:pt>
                <c:pt idx="215">
                  <c:v>-111.13</c:v>
                </c:pt>
                <c:pt idx="216">
                  <c:v>-135.01</c:v>
                </c:pt>
                <c:pt idx="217">
                  <c:v>-146.48</c:v>
                </c:pt>
                <c:pt idx="218">
                  <c:v>-119.77</c:v>
                </c:pt>
                <c:pt idx="219">
                  <c:v>-124.51</c:v>
                </c:pt>
                <c:pt idx="220">
                  <c:v>-28.31</c:v>
                </c:pt>
                <c:pt idx="221">
                  <c:v>0</c:v>
                </c:pt>
                <c:pt idx="222">
                  <c:v>25.77</c:v>
                </c:pt>
                <c:pt idx="223">
                  <c:v>73.47</c:v>
                </c:pt>
                <c:pt idx="224">
                  <c:v>46.03</c:v>
                </c:pt>
                <c:pt idx="225">
                  <c:v>36.95</c:v>
                </c:pt>
                <c:pt idx="226">
                  <c:v>-52.94</c:v>
                </c:pt>
                <c:pt idx="227">
                  <c:v>-159.66</c:v>
                </c:pt>
                <c:pt idx="228">
                  <c:v>-206.32</c:v>
                </c:pt>
                <c:pt idx="229">
                  <c:v>-276.38</c:v>
                </c:pt>
                <c:pt idx="230">
                  <c:v>-291.97</c:v>
                </c:pt>
                <c:pt idx="231">
                  <c:v>-344.94</c:v>
                </c:pt>
                <c:pt idx="232">
                  <c:v>-383.85</c:v>
                </c:pt>
                <c:pt idx="233">
                  <c:v>-434.7</c:v>
                </c:pt>
                <c:pt idx="234">
                  <c:v>-461.17</c:v>
                </c:pt>
                <c:pt idx="235">
                  <c:v>-341.84</c:v>
                </c:pt>
                <c:pt idx="236">
                  <c:v>-308.83</c:v>
                </c:pt>
                <c:pt idx="237">
                  <c:v>-306.66</c:v>
                </c:pt>
                <c:pt idx="238">
                  <c:v>-323.29</c:v>
                </c:pt>
                <c:pt idx="239">
                  <c:v>-333.57</c:v>
                </c:pt>
                <c:pt idx="240">
                  <c:v>-318.14</c:v>
                </c:pt>
                <c:pt idx="241">
                  <c:v>-323.99</c:v>
                </c:pt>
                <c:pt idx="242">
                  <c:v>-316.83</c:v>
                </c:pt>
                <c:pt idx="243">
                  <c:v>-311.54</c:v>
                </c:pt>
                <c:pt idx="244">
                  <c:v>-312.95</c:v>
                </c:pt>
                <c:pt idx="245">
                  <c:v>-257.26</c:v>
                </c:pt>
                <c:pt idx="246">
                  <c:v>-106.26</c:v>
                </c:pt>
                <c:pt idx="247">
                  <c:v>-96.08</c:v>
                </c:pt>
                <c:pt idx="248">
                  <c:v>-144.81</c:v>
                </c:pt>
                <c:pt idx="249">
                  <c:v>-202.3</c:v>
                </c:pt>
                <c:pt idx="250">
                  <c:v>-206.24</c:v>
                </c:pt>
                <c:pt idx="251">
                  <c:v>-165.25</c:v>
                </c:pt>
                <c:pt idx="252">
                  <c:v>-116.82</c:v>
                </c:pt>
                <c:pt idx="253">
                  <c:v>-123.61</c:v>
                </c:pt>
                <c:pt idx="254">
                  <c:v>-134.36</c:v>
                </c:pt>
                <c:pt idx="255">
                  <c:v>-146.13</c:v>
                </c:pt>
                <c:pt idx="256">
                  <c:v>-168.03</c:v>
                </c:pt>
                <c:pt idx="257">
                  <c:v>-193.23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养殖利润!$D$2</c:f>
              <c:strCache>
                <c:ptCount val="1"/>
                <c:pt idx="0">
                  <c:v>外购仔猪育肥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养殖利润!$A$4:$A$308</c:f>
              <c:numCache>
                <c:formatCode>yyyy/m/d;@</c:formatCode>
                <c:ptCount val="305"/>
                <c:pt idx="0" c:formatCode="yyyy/m/d;@">
                  <c:v>44427</c:v>
                </c:pt>
                <c:pt idx="1" c:formatCode="yyyy/m/d;@">
                  <c:v>44434</c:v>
                </c:pt>
                <c:pt idx="2" c:formatCode="yyyy/m/d;@">
                  <c:v>44441</c:v>
                </c:pt>
                <c:pt idx="3" c:formatCode="yyyy/m/d;@">
                  <c:v>44448</c:v>
                </c:pt>
                <c:pt idx="4" c:formatCode="yyyy/m/d;@">
                  <c:v>44455</c:v>
                </c:pt>
                <c:pt idx="5" c:formatCode="yyyy/m/d;@">
                  <c:v>44462</c:v>
                </c:pt>
                <c:pt idx="6" c:formatCode="yyyy/m/d;@">
                  <c:v>44469</c:v>
                </c:pt>
                <c:pt idx="7" c:formatCode="yyyy/m/d;@">
                  <c:v>44477</c:v>
                </c:pt>
                <c:pt idx="8" c:formatCode="yyyy/m/d;@">
                  <c:v>44483</c:v>
                </c:pt>
                <c:pt idx="9" c:formatCode="yyyy/m/d;@">
                  <c:v>44490</c:v>
                </c:pt>
                <c:pt idx="10" c:formatCode="yyyy/m/d;@">
                  <c:v>44497</c:v>
                </c:pt>
                <c:pt idx="11" c:formatCode="yyyy/m/d;@">
                  <c:v>44504</c:v>
                </c:pt>
                <c:pt idx="12" c:formatCode="yyyy/m/d;@">
                  <c:v>44511</c:v>
                </c:pt>
                <c:pt idx="13" c:formatCode="yyyy/m/d;@">
                  <c:v>44518</c:v>
                </c:pt>
                <c:pt idx="14" c:formatCode="yyyy/m/d;@">
                  <c:v>44525</c:v>
                </c:pt>
                <c:pt idx="15" c:formatCode="yyyy/m/d;@">
                  <c:v>44532</c:v>
                </c:pt>
                <c:pt idx="16" c:formatCode="yyyy/m/d;@">
                  <c:v>44539</c:v>
                </c:pt>
                <c:pt idx="17" c:formatCode="yyyy/m/d;@">
                  <c:v>44546</c:v>
                </c:pt>
                <c:pt idx="18" c:formatCode="yyyy/m/d;@">
                  <c:v>44553</c:v>
                </c:pt>
                <c:pt idx="19" c:formatCode="yyyy/m/d;@">
                  <c:v>44560</c:v>
                </c:pt>
                <c:pt idx="20" c:formatCode="yyyy/m/d;@">
                  <c:v>44567</c:v>
                </c:pt>
                <c:pt idx="21" c:formatCode="yyyy/m/d;@">
                  <c:v>44574</c:v>
                </c:pt>
                <c:pt idx="22" c:formatCode="yyyy/m/d;@">
                  <c:v>44581</c:v>
                </c:pt>
                <c:pt idx="23" c:formatCode="yyyy/m/d;@">
                  <c:v>44587</c:v>
                </c:pt>
                <c:pt idx="24" c:formatCode="yyyy/m/d;@">
                  <c:v>44602</c:v>
                </c:pt>
                <c:pt idx="25" c:formatCode="yyyy/m/d;@">
                  <c:v>44609</c:v>
                </c:pt>
                <c:pt idx="26" c:formatCode="yyyy/m/d;@">
                  <c:v>44616</c:v>
                </c:pt>
                <c:pt idx="27" c:formatCode="yyyy/m/d;@">
                  <c:v>44623</c:v>
                </c:pt>
                <c:pt idx="28" c:formatCode="yyyy/m/d;@">
                  <c:v>44630</c:v>
                </c:pt>
                <c:pt idx="29" c:formatCode="yyyy/m/d;@">
                  <c:v>44637</c:v>
                </c:pt>
                <c:pt idx="30" c:formatCode="yyyy/m/d;@">
                  <c:v>44644</c:v>
                </c:pt>
                <c:pt idx="31" c:formatCode="yyyy/m/d;@">
                  <c:v>44651</c:v>
                </c:pt>
                <c:pt idx="32" c:formatCode="yyyy/m/d;@">
                  <c:v>44658</c:v>
                </c:pt>
                <c:pt idx="33" c:formatCode="yyyy/m/d;@">
                  <c:v>44665</c:v>
                </c:pt>
                <c:pt idx="34" c:formatCode="yyyy/m/d;@">
                  <c:v>44672</c:v>
                </c:pt>
                <c:pt idx="35" c:formatCode="yyyy/m/d;@">
                  <c:v>44679</c:v>
                </c:pt>
                <c:pt idx="36" c:formatCode="yyyy/m/d;@">
                  <c:v>44686</c:v>
                </c:pt>
                <c:pt idx="37" c:formatCode="yyyy/m/d;@">
                  <c:v>44693</c:v>
                </c:pt>
                <c:pt idx="38" c:formatCode="yyyy/m/d;@">
                  <c:v>44700</c:v>
                </c:pt>
                <c:pt idx="39" c:formatCode="yyyy/m/d;@">
                  <c:v>44707</c:v>
                </c:pt>
                <c:pt idx="40" c:formatCode="yyyy/m/d;@">
                  <c:v>44714</c:v>
                </c:pt>
                <c:pt idx="41" c:formatCode="yyyy/m/d;@">
                  <c:v>44721</c:v>
                </c:pt>
                <c:pt idx="42" c:formatCode="yyyy/m/d;@">
                  <c:v>44728</c:v>
                </c:pt>
                <c:pt idx="43" c:formatCode="yyyy/m/d;@">
                  <c:v>44735</c:v>
                </c:pt>
                <c:pt idx="44" c:formatCode="yyyy/m/d;@">
                  <c:v>44742</c:v>
                </c:pt>
                <c:pt idx="45" c:formatCode="yyyy/m/d;@">
                  <c:v>44749</c:v>
                </c:pt>
                <c:pt idx="46" c:formatCode="yyyy/m/d;@">
                  <c:v>44756</c:v>
                </c:pt>
                <c:pt idx="47" c:formatCode="yyyy/m/d;@">
                  <c:v>44763</c:v>
                </c:pt>
                <c:pt idx="48" c:formatCode="yyyy/m/d;@">
                  <c:v>44770</c:v>
                </c:pt>
                <c:pt idx="49" c:formatCode="yyyy/m/d;@">
                  <c:v>44777</c:v>
                </c:pt>
                <c:pt idx="50" c:formatCode="yyyy/m/d;@">
                  <c:v>44784</c:v>
                </c:pt>
                <c:pt idx="51" c:formatCode="yyyy/m/d;@">
                  <c:v>44791</c:v>
                </c:pt>
                <c:pt idx="52" c:formatCode="yyyy/m/d;@">
                  <c:v>44798</c:v>
                </c:pt>
                <c:pt idx="53" c:formatCode="yyyy/m/d;@">
                  <c:v>44805</c:v>
                </c:pt>
                <c:pt idx="54" c:formatCode="yyyy/m/d;@">
                  <c:v>44812</c:v>
                </c:pt>
                <c:pt idx="55" c:formatCode="yyyy/m/d;@">
                  <c:v>44819</c:v>
                </c:pt>
                <c:pt idx="56" c:formatCode="yyyy/m/d;@">
                  <c:v>44826</c:v>
                </c:pt>
                <c:pt idx="57" c:formatCode="yyyy/m/d;@">
                  <c:v>44833</c:v>
                </c:pt>
                <c:pt idx="58" c:formatCode="yyyy/m/d;@">
                  <c:v>44842</c:v>
                </c:pt>
                <c:pt idx="59" c:formatCode="yyyy/m/d;@">
                  <c:v>44847</c:v>
                </c:pt>
                <c:pt idx="60" c:formatCode="yyyy/m/d;@">
                  <c:v>44854</c:v>
                </c:pt>
                <c:pt idx="61" c:formatCode="yyyy/m/d;@">
                  <c:v>44861</c:v>
                </c:pt>
                <c:pt idx="62" c:formatCode="yyyy/m/d;@">
                  <c:v>44868</c:v>
                </c:pt>
                <c:pt idx="63" c:formatCode="yyyy/m/d;@">
                  <c:v>44875</c:v>
                </c:pt>
                <c:pt idx="64" c:formatCode="yyyy/m/d;@">
                  <c:v>44882</c:v>
                </c:pt>
                <c:pt idx="65" c:formatCode="yyyy/m/d;@">
                  <c:v>44889</c:v>
                </c:pt>
                <c:pt idx="66" c:formatCode="yyyy/m/d;@">
                  <c:v>44896</c:v>
                </c:pt>
                <c:pt idx="67" c:formatCode="yyyy/m/d;@">
                  <c:v>44903</c:v>
                </c:pt>
                <c:pt idx="68" c:formatCode="yyyy/m/d;@">
                  <c:v>44910</c:v>
                </c:pt>
                <c:pt idx="69" c:formatCode="yyyy/m/d;@">
                  <c:v>44917</c:v>
                </c:pt>
                <c:pt idx="70" c:formatCode="yyyy/m/d;@">
                  <c:v>44924</c:v>
                </c:pt>
                <c:pt idx="71" c:formatCode="yyyy/m/d;@">
                  <c:v>44931</c:v>
                </c:pt>
                <c:pt idx="72" c:formatCode="yyyy/m/d;@">
                  <c:v>44938</c:v>
                </c:pt>
                <c:pt idx="73" c:formatCode="yyyy/m/d;@">
                  <c:v>44959</c:v>
                </c:pt>
                <c:pt idx="74" c:formatCode="yyyy/m/d;@">
                  <c:v>44966</c:v>
                </c:pt>
                <c:pt idx="75" c:formatCode="yyyy/m/d;@">
                  <c:v>44973</c:v>
                </c:pt>
                <c:pt idx="76" c:formatCode="yyyy/m/d;@">
                  <c:v>44980</c:v>
                </c:pt>
                <c:pt idx="77" c:formatCode="yyyy/m/d;@">
                  <c:v>44987</c:v>
                </c:pt>
                <c:pt idx="78" c:formatCode="yyyy/m/d;@">
                  <c:v>44994</c:v>
                </c:pt>
                <c:pt idx="79" c:formatCode="yyyy/m/d;@">
                  <c:v>45001</c:v>
                </c:pt>
                <c:pt idx="80" c:formatCode="yyyy/m/d;@">
                  <c:v>45008</c:v>
                </c:pt>
                <c:pt idx="81" c:formatCode="yyyy/m/d;@">
                  <c:v>45015</c:v>
                </c:pt>
                <c:pt idx="82" c:formatCode="yyyy/m/d;@">
                  <c:v>45022</c:v>
                </c:pt>
                <c:pt idx="83" c:formatCode="yyyy/m/d;@">
                  <c:v>45029</c:v>
                </c:pt>
                <c:pt idx="84" c:formatCode="yyyy/m/d;@">
                  <c:v>45036</c:v>
                </c:pt>
                <c:pt idx="85" c:formatCode="yyyy/m/d;@">
                  <c:v>45043</c:v>
                </c:pt>
                <c:pt idx="86" c:formatCode="yyyy/m/d;@">
                  <c:v>45050</c:v>
                </c:pt>
                <c:pt idx="87" c:formatCode="yyyy/m/d;@">
                  <c:v>45057</c:v>
                </c:pt>
                <c:pt idx="88" c:formatCode="yyyy/m/d;@">
                  <c:v>45064</c:v>
                </c:pt>
                <c:pt idx="89" c:formatCode="yyyy/m/d;@">
                  <c:v>45071</c:v>
                </c:pt>
                <c:pt idx="90" c:formatCode="yyyy/m/d;@">
                  <c:v>45078</c:v>
                </c:pt>
                <c:pt idx="91" c:formatCode="yyyy/m/d;@">
                  <c:v>45085</c:v>
                </c:pt>
                <c:pt idx="92" c:formatCode="yyyy/m/d;@">
                  <c:v>45092</c:v>
                </c:pt>
                <c:pt idx="93" c:formatCode="yyyy/m/d;@">
                  <c:v>45098</c:v>
                </c:pt>
                <c:pt idx="94" c:formatCode="yyyy/m/d;@">
                  <c:v>45106</c:v>
                </c:pt>
                <c:pt idx="95" c:formatCode="yyyy/m/d;@">
                  <c:v>45113</c:v>
                </c:pt>
                <c:pt idx="96" c:formatCode="yyyy/m/d;@">
                  <c:v>45120</c:v>
                </c:pt>
                <c:pt idx="97" c:formatCode="yyyy/m/d;@">
                  <c:v>45127</c:v>
                </c:pt>
                <c:pt idx="98" c:formatCode="yyyy/m/d;@">
                  <c:v>45134</c:v>
                </c:pt>
                <c:pt idx="99" c:formatCode="yyyy/m/d;@">
                  <c:v>45141</c:v>
                </c:pt>
                <c:pt idx="100" c:formatCode="yyyy/m/d;@">
                  <c:v>45148</c:v>
                </c:pt>
                <c:pt idx="101" c:formatCode="yyyy/m/d;@">
                  <c:v>45155</c:v>
                </c:pt>
                <c:pt idx="102" c:formatCode="yyyy/m/d;@">
                  <c:v>45162</c:v>
                </c:pt>
                <c:pt idx="103" c:formatCode="yyyy/m/d;@">
                  <c:v>45169</c:v>
                </c:pt>
                <c:pt idx="104" c:formatCode="yyyy/m/d;@">
                  <c:v>45176</c:v>
                </c:pt>
                <c:pt idx="105" c:formatCode="yyyy/m/d;@">
                  <c:v>45183</c:v>
                </c:pt>
                <c:pt idx="106" c:formatCode="yyyy/m/d;@">
                  <c:v>45190</c:v>
                </c:pt>
                <c:pt idx="107" c:formatCode="yyyy/m/d;@">
                  <c:v>45197</c:v>
                </c:pt>
                <c:pt idx="108" c:formatCode="yyyy/m/d;@">
                  <c:v>45205</c:v>
                </c:pt>
                <c:pt idx="109" c:formatCode="yyyy/m/d;@">
                  <c:v>45211</c:v>
                </c:pt>
                <c:pt idx="110" c:formatCode="yyyy/m/d;@">
                  <c:v>45218</c:v>
                </c:pt>
                <c:pt idx="111" c:formatCode="yyyy/m/d;@">
                  <c:v>45225</c:v>
                </c:pt>
                <c:pt idx="112" c:formatCode="yyyy/m/d;@">
                  <c:v>45232</c:v>
                </c:pt>
                <c:pt idx="113" c:formatCode="yyyy/m/d;@">
                  <c:v>45239</c:v>
                </c:pt>
                <c:pt idx="114" c:formatCode="yyyy/m/d;@">
                  <c:v>45246</c:v>
                </c:pt>
                <c:pt idx="115" c:formatCode="yyyy/m/d;@">
                  <c:v>45253</c:v>
                </c:pt>
                <c:pt idx="116" c:formatCode="yyyy/m/d;@">
                  <c:v>45260</c:v>
                </c:pt>
                <c:pt idx="117" c:formatCode="yyyy/m/d;@">
                  <c:v>45267</c:v>
                </c:pt>
                <c:pt idx="118" c:formatCode="yyyy/m/d;@">
                  <c:v>45274</c:v>
                </c:pt>
                <c:pt idx="119" c:formatCode="yyyy/m/d;@">
                  <c:v>45281</c:v>
                </c:pt>
                <c:pt idx="120" c:formatCode="yyyy/m/d;@">
                  <c:v>45288</c:v>
                </c:pt>
                <c:pt idx="121" c:formatCode="yyyy/m/d;@">
                  <c:v>45295</c:v>
                </c:pt>
                <c:pt idx="122" c:formatCode="yyyy/m/d;@">
                  <c:v>45302</c:v>
                </c:pt>
                <c:pt idx="123" c:formatCode="yyyy/m/d;@">
                  <c:v>45309</c:v>
                </c:pt>
                <c:pt idx="124" c:formatCode="yyyy/m/d;@">
                  <c:v>45316</c:v>
                </c:pt>
                <c:pt idx="125" c:formatCode="yyyy/m/d;@">
                  <c:v>45323</c:v>
                </c:pt>
                <c:pt idx="126" c:formatCode="yyyy/m/d;@">
                  <c:v>45344</c:v>
                </c:pt>
                <c:pt idx="127" c:formatCode="yyyy/m/d;@">
                  <c:v>45351</c:v>
                </c:pt>
                <c:pt idx="128" c:formatCode="yyyy/m/d;@">
                  <c:v>45358</c:v>
                </c:pt>
                <c:pt idx="129" c:formatCode="yyyy/m/d;@">
                  <c:v>45365</c:v>
                </c:pt>
                <c:pt idx="130" c:formatCode="yyyy/m/d;@">
                  <c:v>45372</c:v>
                </c:pt>
                <c:pt idx="131" c:formatCode="yyyy/m/d;@">
                  <c:v>45379</c:v>
                </c:pt>
                <c:pt idx="132" c:formatCode="yyyy/m/d;@">
                  <c:v>45385</c:v>
                </c:pt>
                <c:pt idx="133" c:formatCode="yyyy/m/d;@">
                  <c:v>45393</c:v>
                </c:pt>
                <c:pt idx="134" c:formatCode="yyyy/m/d;@">
                  <c:v>45400</c:v>
                </c:pt>
                <c:pt idx="135" c:formatCode="yyyy/m/d;@">
                  <c:v>45407</c:v>
                </c:pt>
                <c:pt idx="136" c:formatCode="yyyy/m/d;@">
                  <c:v>45414</c:v>
                </c:pt>
                <c:pt idx="137" c:formatCode="yyyy/m/d;@">
                  <c:v>45421</c:v>
                </c:pt>
                <c:pt idx="138" c:formatCode="yyyy/m/d;@">
                  <c:v>45428</c:v>
                </c:pt>
                <c:pt idx="139" c:formatCode="yyyy/m/d;@">
                  <c:v>45435</c:v>
                </c:pt>
                <c:pt idx="140" c:formatCode="yyyy/m/d;@">
                  <c:v>45442</c:v>
                </c:pt>
                <c:pt idx="141" c:formatCode="yyyy/m/d;@">
                  <c:v>45449</c:v>
                </c:pt>
                <c:pt idx="142" c:formatCode="yyyy/m/d;@">
                  <c:v>45456</c:v>
                </c:pt>
                <c:pt idx="143" c:formatCode="yyyy/m/d;@">
                  <c:v>45463</c:v>
                </c:pt>
                <c:pt idx="144" c:formatCode="yyyy/m/d;@">
                  <c:v>45470</c:v>
                </c:pt>
                <c:pt idx="145" c:formatCode="yyyy/m/d;@">
                  <c:v>45477</c:v>
                </c:pt>
                <c:pt idx="146" c:formatCode="yyyy/m/d;@">
                  <c:v>45484</c:v>
                </c:pt>
                <c:pt idx="147" c:formatCode="yyyy/m/d;@">
                  <c:v>45491</c:v>
                </c:pt>
                <c:pt idx="148" c:formatCode="yyyy/m/d;@">
                  <c:v>45498</c:v>
                </c:pt>
                <c:pt idx="149" c:formatCode="yyyy/m/d;@">
                  <c:v>45505</c:v>
                </c:pt>
                <c:pt idx="150" c:formatCode="yyyy/m/d;@">
                  <c:v>45512</c:v>
                </c:pt>
                <c:pt idx="151" c:formatCode="yyyy/m/d;@">
                  <c:v>45519</c:v>
                </c:pt>
                <c:pt idx="152" c:formatCode="yyyy/m/d;@">
                  <c:v>45526</c:v>
                </c:pt>
                <c:pt idx="153" c:formatCode="yyyy/m/d;@">
                  <c:v>45533</c:v>
                </c:pt>
                <c:pt idx="154" c:formatCode="yyyy/m/d;@">
                  <c:v>45540</c:v>
                </c:pt>
                <c:pt idx="155" c:formatCode="yyyy/m/d;@">
                  <c:v>45547</c:v>
                </c:pt>
                <c:pt idx="156" c:formatCode="yyyy/m/d;@">
                  <c:v>45554</c:v>
                </c:pt>
                <c:pt idx="157" c:formatCode="yyyy/m/d;@">
                  <c:v>45561</c:v>
                </c:pt>
                <c:pt idx="158" c:formatCode="yyyy/m/d;@">
                  <c:v>45575</c:v>
                </c:pt>
                <c:pt idx="159" c:formatCode="yyyy/m/d;@">
                  <c:v>45582</c:v>
                </c:pt>
                <c:pt idx="160" c:formatCode="yyyy/m/d;@">
                  <c:v>45589</c:v>
                </c:pt>
                <c:pt idx="161" c:formatCode="yyyy/m/d;@">
                  <c:v>45596</c:v>
                </c:pt>
                <c:pt idx="162" c:formatCode="yyyy/m/d;@">
                  <c:v>45603</c:v>
                </c:pt>
                <c:pt idx="163" c:formatCode="yyyy/m/d;@">
                  <c:v>45610</c:v>
                </c:pt>
                <c:pt idx="164" c:formatCode="yyyy/m/d;@">
                  <c:v>45617</c:v>
                </c:pt>
                <c:pt idx="165" c:formatCode="yyyy/m/d;@">
                  <c:v>45624</c:v>
                </c:pt>
                <c:pt idx="166" c:formatCode="yyyy/m/d;@">
                  <c:v>45631</c:v>
                </c:pt>
                <c:pt idx="167" c:formatCode="yyyy/m/d;@">
                  <c:v>45638</c:v>
                </c:pt>
                <c:pt idx="168" c:formatCode="yyyy/m/d;@">
                  <c:v>45645</c:v>
                </c:pt>
                <c:pt idx="169" c:formatCode="yyyy/m/d;@">
                  <c:v>45652</c:v>
                </c:pt>
                <c:pt idx="170" c:formatCode="yyyy/m/d;@">
                  <c:v>45659</c:v>
                </c:pt>
                <c:pt idx="171" c:formatCode="yyyy/m/d;@">
                  <c:v>45666</c:v>
                </c:pt>
                <c:pt idx="172" c:formatCode="yyyy/m/d;@">
                  <c:v>45673</c:v>
                </c:pt>
                <c:pt idx="173" c:formatCode="yyyy/m/d;@">
                  <c:v>45680</c:v>
                </c:pt>
                <c:pt idx="174" c:formatCode="yyyy/m/d;@">
                  <c:v>45694</c:v>
                </c:pt>
                <c:pt idx="175" c:formatCode="yyyy/m/d;@">
                  <c:v>45701</c:v>
                </c:pt>
                <c:pt idx="176" c:formatCode="yyyy/m/d;@">
                  <c:v>45708</c:v>
                </c:pt>
                <c:pt idx="177" c:formatCode="yyyy/m/d;@">
                  <c:v>45715</c:v>
                </c:pt>
                <c:pt idx="178" c:formatCode="yyyy/m/d;@">
                  <c:v>45722</c:v>
                </c:pt>
                <c:pt idx="179" c:formatCode="yyyy/m/d;@">
                  <c:v>45729</c:v>
                </c:pt>
                <c:pt idx="180" c:formatCode="yyyy/m/d;@">
                  <c:v>45736</c:v>
                </c:pt>
                <c:pt idx="181" c:formatCode="yyyy/m/d;@">
                  <c:v>45743</c:v>
                </c:pt>
                <c:pt idx="182" c:formatCode="yyyy/m/d;@">
                  <c:v>45750</c:v>
                </c:pt>
                <c:pt idx="183" c:formatCode="yyyy/m/d;@">
                  <c:v>45757</c:v>
                </c:pt>
                <c:pt idx="184" c:formatCode="yyyy/m/d;@">
                  <c:v>45764</c:v>
                </c:pt>
                <c:pt idx="185" c:formatCode="yyyy/m/d;@">
                  <c:v>45771</c:v>
                </c:pt>
                <c:pt idx="186" c:formatCode="yyyy/m/d;@">
                  <c:v>45777</c:v>
                </c:pt>
                <c:pt idx="187" c:formatCode="yyyy/m/d;@">
                  <c:v>45785</c:v>
                </c:pt>
                <c:pt idx="188" c:formatCode="yyyy/m/d;@">
                  <c:v>45792</c:v>
                </c:pt>
                <c:pt idx="189" c:formatCode="yyyy/m/d;@">
                  <c:v>45799</c:v>
                </c:pt>
                <c:pt idx="190" c:formatCode="yyyy/m/d;@">
                  <c:v>45806</c:v>
                </c:pt>
                <c:pt idx="191" c:formatCode="yyyy/m/d;@">
                  <c:v>45813</c:v>
                </c:pt>
                <c:pt idx="192" c:formatCode="yyyy/m/d;@">
                  <c:v>45820</c:v>
                </c:pt>
                <c:pt idx="193" c:formatCode="yyyy/m/d;@">
                  <c:v>45827</c:v>
                </c:pt>
                <c:pt idx="194" c:formatCode="yyyy/m/d;@">
                  <c:v>45834</c:v>
                </c:pt>
                <c:pt idx="195" c:formatCode="yyyy/m/d;@">
                  <c:v>45841</c:v>
                </c:pt>
                <c:pt idx="196" c:formatCode="yyyy/m/d;@">
                  <c:v>45848</c:v>
                </c:pt>
                <c:pt idx="197" c:formatCode="yyyy/m/d;@">
                  <c:v>45855</c:v>
                </c:pt>
                <c:pt idx="198" c:formatCode="yyyy/m/d;@">
                  <c:v>45862</c:v>
                </c:pt>
                <c:pt idx="199" c:formatCode="yyyy/m/d;@">
                  <c:v>45869</c:v>
                </c:pt>
                <c:pt idx="200" c:formatCode="yyyy/m/d;@">
                  <c:v>45876</c:v>
                </c:pt>
                <c:pt idx="201" c:formatCode="yyyy/m/d;@">
                  <c:v>45883</c:v>
                </c:pt>
                <c:pt idx="202" c:formatCode="yyyy/m/d;@">
                  <c:v>45890</c:v>
                </c:pt>
                <c:pt idx="203" c:formatCode="yyyy/m/d;@">
                  <c:v>45897</c:v>
                </c:pt>
                <c:pt idx="204" c:formatCode="yyyy/m/d;@">
                  <c:v>45904</c:v>
                </c:pt>
                <c:pt idx="205" c:formatCode="yyyy/m/d;@">
                  <c:v>45911</c:v>
                </c:pt>
                <c:pt idx="206" c:formatCode="yyyy/m/d;@">
                  <c:v>45918</c:v>
                </c:pt>
                <c:pt idx="207" c:formatCode="yyyy/m/d;@">
                  <c:v>45925</c:v>
                </c:pt>
                <c:pt idx="208" c:formatCode="yyyy/m/d;@">
                  <c:v>45939</c:v>
                </c:pt>
                <c:pt idx="209" c:formatCode="yyyy/m/d;@">
                  <c:v>45946</c:v>
                </c:pt>
                <c:pt idx="210" c:formatCode="yyyy/m/d;@">
                  <c:v>45953</c:v>
                </c:pt>
                <c:pt idx="211" c:formatCode="yyyy/m/d;@">
                  <c:v>45960</c:v>
                </c:pt>
                <c:pt idx="212" c:formatCode="yyyy/m/d;@">
                  <c:v>45967</c:v>
                </c:pt>
                <c:pt idx="213" c:formatCode="yyyy/m/d;@">
                  <c:v>45974</c:v>
                </c:pt>
                <c:pt idx="214" c:formatCode="yyyy/m/d;@">
                  <c:v>45981</c:v>
                </c:pt>
                <c:pt idx="215" c:formatCode="yyyy/m/d;@">
                  <c:v>45988</c:v>
                </c:pt>
                <c:pt idx="216" c:formatCode="yyyy/m/d;@">
                  <c:v>45995</c:v>
                </c:pt>
                <c:pt idx="217" c:formatCode="yyyy/m/d;@">
                  <c:v>46002</c:v>
                </c:pt>
                <c:pt idx="218" c:formatCode="yyyy/m/d;@">
                  <c:v>46009</c:v>
                </c:pt>
                <c:pt idx="219" c:formatCode="yyyy/m/d;@">
                  <c:v>46016</c:v>
                </c:pt>
                <c:pt idx="220" c:formatCode="yyyy/m/d;@">
                  <c:v>46023</c:v>
                </c:pt>
                <c:pt idx="221" c:formatCode="yyyy/m/d;@">
                  <c:v>46030</c:v>
                </c:pt>
                <c:pt idx="222" c:formatCode="yyyy/m/d;@">
                  <c:v>46037</c:v>
                </c:pt>
                <c:pt idx="223" c:formatCode="yyyy/m/d;@">
                  <c:v>46044</c:v>
                </c:pt>
                <c:pt idx="224" c:formatCode="yyyy/m/d;@">
                  <c:v>46051</c:v>
                </c:pt>
                <c:pt idx="225" c:formatCode="yyyy/m/d;@">
                  <c:v>46058</c:v>
                </c:pt>
                <c:pt idx="226" c:formatCode="yyyy/m/d;@">
                  <c:v>46065</c:v>
                </c:pt>
                <c:pt idx="227" c:formatCode="yyyy/m/d;@">
                  <c:v>46079</c:v>
                </c:pt>
                <c:pt idx="228" c:formatCode="yyyy/m/d;@">
                  <c:v>46086</c:v>
                </c:pt>
                <c:pt idx="229" c:formatCode="yyyy/m/d;@">
                  <c:v>46093</c:v>
                </c:pt>
                <c:pt idx="230" c:formatCode="yyyy/m/d;@">
                  <c:v>46100</c:v>
                </c:pt>
                <c:pt idx="231" c:formatCode="yyyy/m/d;@">
                  <c:v>46107</c:v>
                </c:pt>
                <c:pt idx="232" c:formatCode="yyyy/m/d;@">
                  <c:v>46114</c:v>
                </c:pt>
                <c:pt idx="233" c:formatCode="yyyy/m/d;@">
                  <c:v>46121</c:v>
                </c:pt>
                <c:pt idx="234" c:formatCode="yyyy/m/d;@">
                  <c:v>46128</c:v>
                </c:pt>
                <c:pt idx="235" c:formatCode="yyyy/m/d;@">
                  <c:v>46135</c:v>
                </c:pt>
                <c:pt idx="236" c:formatCode="yyyy/m/d;@">
                  <c:v>46142</c:v>
                </c:pt>
                <c:pt idx="237" c:formatCode="yyyy/m/d;@">
                  <c:v>46149</c:v>
                </c:pt>
                <c:pt idx="238" c:formatCode="yyyy/m/d;@">
                  <c:v>46156</c:v>
                </c:pt>
                <c:pt idx="239" c:formatCode="yyyy/m/d;@">
                  <c:v>46163</c:v>
                </c:pt>
                <c:pt idx="240" c:formatCode="yyyy/m/d;@">
                  <c:v>46170</c:v>
                </c:pt>
                <c:pt idx="241" c:formatCode="yyyy/m/d;@">
                  <c:v>46177</c:v>
                </c:pt>
                <c:pt idx="242" c:formatCode="yyyy/m/d;@">
                  <c:v>46184</c:v>
                </c:pt>
                <c:pt idx="243" c:formatCode="yyyy/m/d;@">
                  <c:v>46191</c:v>
                </c:pt>
                <c:pt idx="244" c:formatCode="yyyy/m/d;@">
                  <c:v>46198</c:v>
                </c:pt>
                <c:pt idx="245" c:formatCode="yyyy/m/d;@">
                  <c:v>46205</c:v>
                </c:pt>
                <c:pt idx="246" c:formatCode="yyyy/m/d;@">
                  <c:v>46212</c:v>
                </c:pt>
                <c:pt idx="247" c:formatCode="yyyy/m/d;@">
                  <c:v>46219</c:v>
                </c:pt>
                <c:pt idx="248" c:formatCode="yyyy/m/d;@">
                  <c:v>46226</c:v>
                </c:pt>
                <c:pt idx="249" c:formatCode="yyyy/m/d;@">
                  <c:v>46233</c:v>
                </c:pt>
                <c:pt idx="250" c:formatCode="yyyy/m/d;@">
                  <c:v>46240</c:v>
                </c:pt>
                <c:pt idx="251" c:formatCode="yyyy/m/d;@">
                  <c:v>46247</c:v>
                </c:pt>
                <c:pt idx="252" c:formatCode="yyyy/m/d;@">
                  <c:v>46254</c:v>
                </c:pt>
                <c:pt idx="253" c:formatCode="yyyy/m/d;@">
                  <c:v>46261</c:v>
                </c:pt>
                <c:pt idx="254" c:formatCode="yyyy/m/d;@">
                  <c:v>46268</c:v>
                </c:pt>
                <c:pt idx="255" c:formatCode="yyyy/m/d;@">
                  <c:v>46275</c:v>
                </c:pt>
                <c:pt idx="256" c:formatCode="yyyy/m/d;@">
                  <c:v>46282</c:v>
                </c:pt>
                <c:pt idx="257" c:formatCode="yyyy/m/d;@">
                  <c:v>46289</c:v>
                </c:pt>
              </c:numCache>
            </c:numRef>
          </c:cat>
          <c:val>
            <c:numRef>
              <c:f>养殖利润!$D$4:$D$308</c:f>
              <c:numCache>
                <c:formatCode>0.00_ </c:formatCode>
                <c:ptCount val="305"/>
                <c:pt idx="0">
                  <c:v>-1371.52</c:v>
                </c:pt>
                <c:pt idx="1">
                  <c:v>-1424.36</c:v>
                </c:pt>
                <c:pt idx="2">
                  <c:v>-1491.85</c:v>
                </c:pt>
                <c:pt idx="3">
                  <c:v>-1453.64</c:v>
                </c:pt>
                <c:pt idx="4">
                  <c:v>-1547.91</c:v>
                </c:pt>
                <c:pt idx="5">
                  <c:v>-1497.97</c:v>
                </c:pt>
                <c:pt idx="6">
                  <c:v>-1584.95</c:v>
                </c:pt>
                <c:pt idx="7">
                  <c:v>-1443.6</c:v>
                </c:pt>
                <c:pt idx="8">
                  <c:v>-1313.46</c:v>
                </c:pt>
                <c:pt idx="9">
                  <c:v>-1201.42</c:v>
                </c:pt>
                <c:pt idx="10">
                  <c:v>-877.46</c:v>
                </c:pt>
                <c:pt idx="11">
                  <c:v>-862.34</c:v>
                </c:pt>
                <c:pt idx="12">
                  <c:v>-619.28</c:v>
                </c:pt>
                <c:pt idx="13">
                  <c:v>-496.83</c:v>
                </c:pt>
                <c:pt idx="14">
                  <c:v>-226.08</c:v>
                </c:pt>
                <c:pt idx="15">
                  <c:v>-159.01</c:v>
                </c:pt>
                <c:pt idx="16">
                  <c:v>-242.4745</c:v>
                </c:pt>
                <c:pt idx="17">
                  <c:v>-394.5365</c:v>
                </c:pt>
                <c:pt idx="18">
                  <c:v>-399.17</c:v>
                </c:pt>
                <c:pt idx="19">
                  <c:v>-48.24</c:v>
                </c:pt>
                <c:pt idx="20">
                  <c:v>-73.58</c:v>
                </c:pt>
                <c:pt idx="21">
                  <c:v>-207.6</c:v>
                </c:pt>
                <c:pt idx="22">
                  <c:v>-230.35</c:v>
                </c:pt>
                <c:pt idx="23">
                  <c:v>-225.04</c:v>
                </c:pt>
                <c:pt idx="24">
                  <c:v>-80.54</c:v>
                </c:pt>
                <c:pt idx="25">
                  <c:v>-289.81</c:v>
                </c:pt>
                <c:pt idx="26">
                  <c:v>-224.5248</c:v>
                </c:pt>
                <c:pt idx="27">
                  <c:v>-258.2805</c:v>
                </c:pt>
                <c:pt idx="28">
                  <c:v>-207.26</c:v>
                </c:pt>
                <c:pt idx="29">
                  <c:v>-165.79</c:v>
                </c:pt>
                <c:pt idx="30">
                  <c:v>-178.36</c:v>
                </c:pt>
                <c:pt idx="31">
                  <c:v>-117.18</c:v>
                </c:pt>
                <c:pt idx="32">
                  <c:v>-87.82</c:v>
                </c:pt>
                <c:pt idx="33">
                  <c:v>-113.55</c:v>
                </c:pt>
                <c:pt idx="34">
                  <c:v>1.17</c:v>
                </c:pt>
                <c:pt idx="35">
                  <c:v>118.3</c:v>
                </c:pt>
                <c:pt idx="36">
                  <c:v>156.53</c:v>
                </c:pt>
                <c:pt idx="37">
                  <c:v>174.77</c:v>
                </c:pt>
                <c:pt idx="38">
                  <c:v>227.28</c:v>
                </c:pt>
                <c:pt idx="39">
                  <c:v>259.53</c:v>
                </c:pt>
                <c:pt idx="40">
                  <c:v>68.42</c:v>
                </c:pt>
                <c:pt idx="41">
                  <c:v>27.11</c:v>
                </c:pt>
                <c:pt idx="42">
                  <c:v>48.63</c:v>
                </c:pt>
                <c:pt idx="43">
                  <c:v>145.65</c:v>
                </c:pt>
                <c:pt idx="44">
                  <c:v>417.78</c:v>
                </c:pt>
                <c:pt idx="45">
                  <c:v>805.94</c:v>
                </c:pt>
                <c:pt idx="46">
                  <c:v>855.57</c:v>
                </c:pt>
                <c:pt idx="47">
                  <c:v>813.18</c:v>
                </c:pt>
                <c:pt idx="48">
                  <c:v>674.67</c:v>
                </c:pt>
                <c:pt idx="49">
                  <c:v>694.43</c:v>
                </c:pt>
                <c:pt idx="50">
                  <c:v>674.83</c:v>
                </c:pt>
                <c:pt idx="51">
                  <c:v>675.83</c:v>
                </c:pt>
                <c:pt idx="52">
                  <c:v>719.4</c:v>
                </c:pt>
                <c:pt idx="53">
                  <c:v>877.18</c:v>
                </c:pt>
                <c:pt idx="54">
                  <c:v>896.83</c:v>
                </c:pt>
                <c:pt idx="55">
                  <c:v>857.67</c:v>
                </c:pt>
                <c:pt idx="56">
                  <c:v>918.11</c:v>
                </c:pt>
                <c:pt idx="57">
                  <c:v>953.29</c:v>
                </c:pt>
                <c:pt idx="58">
                  <c:v>1149.12</c:v>
                </c:pt>
                <c:pt idx="59">
                  <c:v>1169.59</c:v>
                </c:pt>
                <c:pt idx="60">
                  <c:v>1337.4</c:v>
                </c:pt>
                <c:pt idx="61">
                  <c:v>1242.53</c:v>
                </c:pt>
                <c:pt idx="62">
                  <c:v>1055.68</c:v>
                </c:pt>
                <c:pt idx="63">
                  <c:v>944.16</c:v>
                </c:pt>
                <c:pt idx="64">
                  <c:v>830.61</c:v>
                </c:pt>
                <c:pt idx="65">
                  <c:v>664.45</c:v>
                </c:pt>
                <c:pt idx="66">
                  <c:v>475.46</c:v>
                </c:pt>
                <c:pt idx="67">
                  <c:v>523.3</c:v>
                </c:pt>
                <c:pt idx="68">
                  <c:v>132.94</c:v>
                </c:pt>
                <c:pt idx="69">
                  <c:v>-177.03</c:v>
                </c:pt>
                <c:pt idx="70">
                  <c:v>-128.57</c:v>
                </c:pt>
                <c:pt idx="71">
                  <c:v>-376.92</c:v>
                </c:pt>
                <c:pt idx="72">
                  <c:v>-353.69</c:v>
                </c:pt>
                <c:pt idx="73">
                  <c:v>-395.24</c:v>
                </c:pt>
                <c:pt idx="74">
                  <c:v>-419.25</c:v>
                </c:pt>
                <c:pt idx="75">
                  <c:v>-348.56</c:v>
                </c:pt>
                <c:pt idx="76" c:formatCode="General">
                  <c:v>-188.76</c:v>
                </c:pt>
                <c:pt idx="77">
                  <c:v>-135.25</c:v>
                </c:pt>
                <c:pt idx="78">
                  <c:v>-162.29</c:v>
                </c:pt>
                <c:pt idx="79">
                  <c:v>-229.45</c:v>
                </c:pt>
                <c:pt idx="80">
                  <c:v>-237.3</c:v>
                </c:pt>
                <c:pt idx="81">
                  <c:v>-240.22</c:v>
                </c:pt>
                <c:pt idx="82">
                  <c:v>-279.94</c:v>
                </c:pt>
                <c:pt idx="83">
                  <c:v>-307.15</c:v>
                </c:pt>
                <c:pt idx="84">
                  <c:v>-336.31</c:v>
                </c:pt>
                <c:pt idx="85">
                  <c:v>-244.05</c:v>
                </c:pt>
                <c:pt idx="86">
                  <c:v>-284.52</c:v>
                </c:pt>
                <c:pt idx="87">
                  <c:v>-340.8</c:v>
                </c:pt>
                <c:pt idx="88">
                  <c:v>-369.29</c:v>
                </c:pt>
                <c:pt idx="89">
                  <c:v>-395.6</c:v>
                </c:pt>
                <c:pt idx="90">
                  <c:v>-312.46</c:v>
                </c:pt>
                <c:pt idx="91">
                  <c:v>-280.39</c:v>
                </c:pt>
                <c:pt idx="92">
                  <c:v>-284.98</c:v>
                </c:pt>
                <c:pt idx="93">
                  <c:v>-267.17</c:v>
                </c:pt>
                <c:pt idx="94">
                  <c:v>-321.9</c:v>
                </c:pt>
                <c:pt idx="95">
                  <c:v>-275.58</c:v>
                </c:pt>
                <c:pt idx="96">
                  <c:v>-212.77</c:v>
                </c:pt>
                <c:pt idx="97">
                  <c:v>-307.48</c:v>
                </c:pt>
                <c:pt idx="98">
                  <c:v>-278.54</c:v>
                </c:pt>
                <c:pt idx="99">
                  <c:v>-132.47</c:v>
                </c:pt>
                <c:pt idx="100">
                  <c:v>-21.84</c:v>
                </c:pt>
                <c:pt idx="101">
                  <c:v>-53.46</c:v>
                </c:pt>
                <c:pt idx="102">
                  <c:v>-74.57</c:v>
                </c:pt>
                <c:pt idx="103">
                  <c:v>-11.02</c:v>
                </c:pt>
                <c:pt idx="104">
                  <c:v>-44.22</c:v>
                </c:pt>
                <c:pt idx="105">
                  <c:v>-78.6</c:v>
                </c:pt>
                <c:pt idx="106">
                  <c:v>-81.18</c:v>
                </c:pt>
                <c:pt idx="107">
                  <c:v>-119.75</c:v>
                </c:pt>
                <c:pt idx="108">
                  <c:v>-144.17</c:v>
                </c:pt>
                <c:pt idx="109">
                  <c:v>-221.44</c:v>
                </c:pt>
                <c:pt idx="110">
                  <c:v>-219.44</c:v>
                </c:pt>
                <c:pt idx="111">
                  <c:v>-265.7</c:v>
                </c:pt>
                <c:pt idx="112">
                  <c:v>-334.25</c:v>
                </c:pt>
                <c:pt idx="113">
                  <c:v>-174.46</c:v>
                </c:pt>
                <c:pt idx="114">
                  <c:v>-177.42</c:v>
                </c:pt>
                <c:pt idx="115">
                  <c:v>-107.7</c:v>
                </c:pt>
                <c:pt idx="116">
                  <c:v>-135.16</c:v>
                </c:pt>
                <c:pt idx="117">
                  <c:v>-140.65</c:v>
                </c:pt>
                <c:pt idx="118">
                  <c:v>-122.4</c:v>
                </c:pt>
                <c:pt idx="119">
                  <c:v>-53.29</c:v>
                </c:pt>
                <c:pt idx="120">
                  <c:v>-89.45</c:v>
                </c:pt>
                <c:pt idx="121">
                  <c:v>-176.51</c:v>
                </c:pt>
                <c:pt idx="122">
                  <c:v>-233.43</c:v>
                </c:pt>
                <c:pt idx="123">
                  <c:v>-272.97</c:v>
                </c:pt>
                <c:pt idx="124">
                  <c:v>-183.71</c:v>
                </c:pt>
                <c:pt idx="125">
                  <c:v>69.99</c:v>
                </c:pt>
                <c:pt idx="126">
                  <c:v>-9.71</c:v>
                </c:pt>
                <c:pt idx="127">
                  <c:v>46.25</c:v>
                </c:pt>
                <c:pt idx="128">
                  <c:v>111.72</c:v>
                </c:pt>
                <c:pt idx="129">
                  <c:v>158.08</c:v>
                </c:pt>
                <c:pt idx="130">
                  <c:v>312.56</c:v>
                </c:pt>
                <c:pt idx="131">
                  <c:v>381.49</c:v>
                </c:pt>
                <c:pt idx="132">
                  <c:v>377.33</c:v>
                </c:pt>
                <c:pt idx="133">
                  <c:v>369.27</c:v>
                </c:pt>
                <c:pt idx="134">
                  <c:v>330.61</c:v>
                </c:pt>
                <c:pt idx="135">
                  <c:v>299.21</c:v>
                </c:pt>
                <c:pt idx="136">
                  <c:v>284.4</c:v>
                </c:pt>
                <c:pt idx="137">
                  <c:v>293.46</c:v>
                </c:pt>
                <c:pt idx="138">
                  <c:v>322.02</c:v>
                </c:pt>
                <c:pt idx="139">
                  <c:v>421.16</c:v>
                </c:pt>
                <c:pt idx="140">
                  <c:v>584.27</c:v>
                </c:pt>
                <c:pt idx="141">
                  <c:v>722.72</c:v>
                </c:pt>
                <c:pt idx="142">
                  <c:v>774.1</c:v>
                </c:pt>
                <c:pt idx="143">
                  <c:v>740.06</c:v>
                </c:pt>
                <c:pt idx="144">
                  <c:v>474.98</c:v>
                </c:pt>
                <c:pt idx="145">
                  <c:v>485.24</c:v>
                </c:pt>
                <c:pt idx="146">
                  <c:v>501.38</c:v>
                </c:pt>
                <c:pt idx="147">
                  <c:v>487.69</c:v>
                </c:pt>
                <c:pt idx="148">
                  <c:v>511.59</c:v>
                </c:pt>
                <c:pt idx="149">
                  <c:v>583.39</c:v>
                </c:pt>
                <c:pt idx="150">
                  <c:v>729.81</c:v>
                </c:pt>
                <c:pt idx="151">
                  <c:v>836.51</c:v>
                </c:pt>
                <c:pt idx="152">
                  <c:v>792.97</c:v>
                </c:pt>
                <c:pt idx="153">
                  <c:v>653.93</c:v>
                </c:pt>
                <c:pt idx="154">
                  <c:v>582.1</c:v>
                </c:pt>
                <c:pt idx="155">
                  <c:v>489.98</c:v>
                </c:pt>
                <c:pt idx="156">
                  <c:v>380.43</c:v>
                </c:pt>
                <c:pt idx="157">
                  <c:v>276.5</c:v>
                </c:pt>
                <c:pt idx="158">
                  <c:v>225.31</c:v>
                </c:pt>
                <c:pt idx="159">
                  <c:v>296.9</c:v>
                </c:pt>
                <c:pt idx="160">
                  <c:v>221.88</c:v>
                </c:pt>
                <c:pt idx="161">
                  <c:v>213.35</c:v>
                </c:pt>
                <c:pt idx="162">
                  <c:v>166.19</c:v>
                </c:pt>
                <c:pt idx="163">
                  <c:v>65.76</c:v>
                </c:pt>
                <c:pt idx="164">
                  <c:v>-48.16</c:v>
                </c:pt>
                <c:pt idx="165">
                  <c:v>-12.74</c:v>
                </c:pt>
                <c:pt idx="166">
                  <c:v>-30.8</c:v>
                </c:pt>
                <c:pt idx="167">
                  <c:v>-37.78</c:v>
                </c:pt>
                <c:pt idx="168">
                  <c:v>33.98</c:v>
                </c:pt>
                <c:pt idx="169">
                  <c:v>30.66</c:v>
                </c:pt>
                <c:pt idx="170">
                  <c:v>90.76</c:v>
                </c:pt>
                <c:pt idx="171">
                  <c:v>83.15</c:v>
                </c:pt>
                <c:pt idx="172">
                  <c:v>72.55</c:v>
                </c:pt>
                <c:pt idx="173">
                  <c:v>26.73</c:v>
                </c:pt>
                <c:pt idx="174">
                  <c:v>55.88</c:v>
                </c:pt>
                <c:pt idx="175">
                  <c:v>0</c:v>
                </c:pt>
                <c:pt idx="176">
                  <c:v>82.95</c:v>
                </c:pt>
                <c:pt idx="177">
                  <c:v>123.99</c:v>
                </c:pt>
                <c:pt idx="178">
                  <c:v>139.77</c:v>
                </c:pt>
                <c:pt idx="179">
                  <c:v>104.89</c:v>
                </c:pt>
                <c:pt idx="180">
                  <c:v>97.58</c:v>
                </c:pt>
                <c:pt idx="181">
                  <c:v>63.03</c:v>
                </c:pt>
                <c:pt idx="182">
                  <c:v>30.93</c:v>
                </c:pt>
                <c:pt idx="183">
                  <c:v>56.68</c:v>
                </c:pt>
                <c:pt idx="184">
                  <c:v>92.57</c:v>
                </c:pt>
                <c:pt idx="185">
                  <c:v>123.78</c:v>
                </c:pt>
                <c:pt idx="186">
                  <c:v>118.88</c:v>
                </c:pt>
                <c:pt idx="187">
                  <c:v>132.3</c:v>
                </c:pt>
                <c:pt idx="188">
                  <c:v>118.04</c:v>
                </c:pt>
                <c:pt idx="189">
                  <c:v>93.15</c:v>
                </c:pt>
                <c:pt idx="190">
                  <c:v>89.13</c:v>
                </c:pt>
                <c:pt idx="191">
                  <c:v>96.88</c:v>
                </c:pt>
                <c:pt idx="192">
                  <c:v>48.95</c:v>
                </c:pt>
                <c:pt idx="193">
                  <c:v>20.52</c:v>
                </c:pt>
                <c:pt idx="194">
                  <c:v>-2.56</c:v>
                </c:pt>
                <c:pt idx="195">
                  <c:v>14.15</c:v>
                </c:pt>
                <c:pt idx="196">
                  <c:v>-43.87</c:v>
                </c:pt>
                <c:pt idx="197">
                  <c:v>-126.25</c:v>
                </c:pt>
                <c:pt idx="198">
                  <c:v>-62.96</c:v>
                </c:pt>
                <c:pt idx="199">
                  <c:v>-81.91</c:v>
                </c:pt>
                <c:pt idx="200">
                  <c:v>-53.68</c:v>
                </c:pt>
                <c:pt idx="201">
                  <c:v>-52.41</c:v>
                </c:pt>
                <c:pt idx="202">
                  <c:v>-57.59</c:v>
                </c:pt>
                <c:pt idx="203">
                  <c:v>-107.38</c:v>
                </c:pt>
                <c:pt idx="204">
                  <c:v>-112.84</c:v>
                </c:pt>
                <c:pt idx="205">
                  <c:v>-175.8</c:v>
                </c:pt>
                <c:pt idx="206">
                  <c:v>-246.62</c:v>
                </c:pt>
                <c:pt idx="207">
                  <c:v>-307.23</c:v>
                </c:pt>
                <c:pt idx="208">
                  <c:v>-319.92</c:v>
                </c:pt>
                <c:pt idx="209">
                  <c:v>-432.2</c:v>
                </c:pt>
                <c:pt idx="210">
                  <c:v>-378.58</c:v>
                </c:pt>
                <c:pt idx="211">
                  <c:v>-257.93</c:v>
                </c:pt>
                <c:pt idx="212">
                  <c:v>-259.17</c:v>
                </c:pt>
                <c:pt idx="213">
                  <c:v>-274.95</c:v>
                </c:pt>
                <c:pt idx="214">
                  <c:v>-273.08</c:v>
                </c:pt>
                <c:pt idx="215">
                  <c:v>-270.07</c:v>
                </c:pt>
                <c:pt idx="216">
                  <c:v>-270.03</c:v>
                </c:pt>
                <c:pt idx="217">
                  <c:v>-264.45</c:v>
                </c:pt>
                <c:pt idx="218">
                  <c:v>-238.23</c:v>
                </c:pt>
                <c:pt idx="219">
                  <c:v>-255.51</c:v>
                </c:pt>
                <c:pt idx="220">
                  <c:v>-160.83</c:v>
                </c:pt>
                <c:pt idx="221">
                  <c:v>-129.83</c:v>
                </c:pt>
                <c:pt idx="222">
                  <c:v>-100.5</c:v>
                </c:pt>
                <c:pt idx="223">
                  <c:v>-38.67</c:v>
                </c:pt>
                <c:pt idx="224">
                  <c:v>-34.52</c:v>
                </c:pt>
                <c:pt idx="225">
                  <c:v>-24.21</c:v>
                </c:pt>
                <c:pt idx="226">
                  <c:v>-95.8</c:v>
                </c:pt>
                <c:pt idx="227">
                  <c:v>-145.61</c:v>
                </c:pt>
                <c:pt idx="228">
                  <c:v>-152.5</c:v>
                </c:pt>
                <c:pt idx="229">
                  <c:v>-199.25</c:v>
                </c:pt>
                <c:pt idx="230">
                  <c:v>-189.07</c:v>
                </c:pt>
                <c:pt idx="231">
                  <c:v>-209.8</c:v>
                </c:pt>
                <c:pt idx="232">
                  <c:v>-239.59</c:v>
                </c:pt>
                <c:pt idx="233">
                  <c:v>-280.37</c:v>
                </c:pt>
                <c:pt idx="234">
                  <c:v>-307.02</c:v>
                </c:pt>
                <c:pt idx="235">
                  <c:v>-187.62</c:v>
                </c:pt>
                <c:pt idx="236">
                  <c:v>-164.71</c:v>
                </c:pt>
                <c:pt idx="237">
                  <c:v>-163.64</c:v>
                </c:pt>
                <c:pt idx="238">
                  <c:v>-204.79</c:v>
                </c:pt>
                <c:pt idx="239">
                  <c:v>-235.69</c:v>
                </c:pt>
                <c:pt idx="240">
                  <c:v>-220.25</c:v>
                </c:pt>
                <c:pt idx="241">
                  <c:v>-237.51</c:v>
                </c:pt>
                <c:pt idx="242">
                  <c:v>-267.69</c:v>
                </c:pt>
                <c:pt idx="243">
                  <c:v>-336.1</c:v>
                </c:pt>
                <c:pt idx="244">
                  <c:v>-362.98</c:v>
                </c:pt>
                <c:pt idx="245">
                  <c:v>-321.25</c:v>
                </c:pt>
                <c:pt idx="246">
                  <c:v>-169</c:v>
                </c:pt>
                <c:pt idx="247">
                  <c:v>-158.84</c:v>
                </c:pt>
                <c:pt idx="248">
                  <c:v>-205.04</c:v>
                </c:pt>
                <c:pt idx="249">
                  <c:v>-257.36</c:v>
                </c:pt>
                <c:pt idx="250">
                  <c:v>-251.08</c:v>
                </c:pt>
                <c:pt idx="251">
                  <c:v>-185.75</c:v>
                </c:pt>
                <c:pt idx="252">
                  <c:v>-102.7</c:v>
                </c:pt>
                <c:pt idx="253">
                  <c:v>-97.86</c:v>
                </c:pt>
                <c:pt idx="254">
                  <c:v>-20.67</c:v>
                </c:pt>
                <c:pt idx="255">
                  <c:v>-32.33</c:v>
                </c:pt>
                <c:pt idx="256">
                  <c:v>-59.45</c:v>
                </c:pt>
                <c:pt idx="257">
                  <c:v>-103.06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07428153"/>
        <c:axId val="425627216"/>
      </c:lineChart>
      <c:dateAx>
        <c:axId val="407428153"/>
        <c:scaling>
          <c:orientation val="minMax"/>
          <c:max val="46289"/>
          <c:min val="45559"/>
        </c:scaling>
        <c:delete val="0"/>
        <c:axPos val="b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0" vertOverflow="ellipsis" vert="horz" wrap="square" anchor="t" anchorCtr="0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425627216"/>
        <c:crosses val="autoZero"/>
        <c:auto val="1"/>
        <c:lblOffset val="100"/>
        <c:baseTimeUnit val="days"/>
        <c:majorUnit val="2"/>
        <c:majorTimeUnit val="months"/>
      </c:dateAx>
      <c:valAx>
        <c:axId val="425627216"/>
        <c:scaling>
          <c:orientation val="minMax"/>
          <c:max val="750"/>
          <c:min val="-500"/>
        </c:scaling>
        <c:delete val="0"/>
        <c:axPos val="l"/>
        <c:numFmt formatCode="0.00_ 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407428153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ayout/>
      <c:overlay val="1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809503-198a-4f7b-8406-d13926f44ec9}"/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  <a:sym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r>
              <a:rPr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预期商品猪出栏成本</a:t>
            </a:r>
            <a:endParaRPr b="1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  <a:p>
            <a:pPr defTabSz="914400">
              <a:defRPr lang="zh-CN" sz="1400" b="1" i="0" u="none" strike="noStrike" kern="1200" spc="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r>
              <a:rPr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（本周仔猪对应6个月后出栏）</a:t>
            </a:r>
            <a:endParaRPr b="1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养殖成本预期、当期!$B$2</c:f>
              <c:strCache>
                <c:ptCount val="1"/>
                <c:pt idx="0">
                  <c:v>5000-10000头母猪存栏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养殖成本预期、当期!$A$4:$A$402</c:f>
              <c:numCache>
                <c:formatCode>yyyy/m/d;@</c:formatCode>
                <c:ptCount val="399"/>
                <c:pt idx="0" c:formatCode="yyyy/m/d;@">
                  <c:v>44434</c:v>
                </c:pt>
                <c:pt idx="1" c:formatCode="yyyy/m/d;@">
                  <c:v>44441</c:v>
                </c:pt>
                <c:pt idx="2" c:formatCode="yyyy/m/d;@">
                  <c:v>44448</c:v>
                </c:pt>
                <c:pt idx="3" c:formatCode="yyyy/m/d;@">
                  <c:v>44455</c:v>
                </c:pt>
                <c:pt idx="4" c:formatCode="yyyy/m/d;@">
                  <c:v>44462</c:v>
                </c:pt>
                <c:pt idx="5" c:formatCode="yyyy/m/d;@">
                  <c:v>44469</c:v>
                </c:pt>
                <c:pt idx="6" c:formatCode="yyyy/m/d;@">
                  <c:v>44477</c:v>
                </c:pt>
                <c:pt idx="7" c:formatCode="yyyy/m/d;@">
                  <c:v>44483</c:v>
                </c:pt>
                <c:pt idx="8" c:formatCode="yyyy/m/d;@">
                  <c:v>44490</c:v>
                </c:pt>
                <c:pt idx="9" c:formatCode="yyyy/m/d;@">
                  <c:v>44497</c:v>
                </c:pt>
                <c:pt idx="10" c:formatCode="yyyy/m/d;@">
                  <c:v>44504</c:v>
                </c:pt>
                <c:pt idx="11" c:formatCode="yyyy/m/d;@">
                  <c:v>44511</c:v>
                </c:pt>
                <c:pt idx="12" c:formatCode="yyyy/m/d;@">
                  <c:v>44518</c:v>
                </c:pt>
                <c:pt idx="13" c:formatCode="yyyy/m/d;@">
                  <c:v>44525</c:v>
                </c:pt>
                <c:pt idx="14" c:formatCode="yyyy/m/d;@">
                  <c:v>44532</c:v>
                </c:pt>
                <c:pt idx="15" c:formatCode="yyyy/m/d;@">
                  <c:v>44539</c:v>
                </c:pt>
                <c:pt idx="16" c:formatCode="yyyy/m/d;@">
                  <c:v>44546</c:v>
                </c:pt>
                <c:pt idx="17" c:formatCode="yyyy/m/d;@">
                  <c:v>44553</c:v>
                </c:pt>
                <c:pt idx="18" c:formatCode="yyyy/m/d;@">
                  <c:v>44560</c:v>
                </c:pt>
                <c:pt idx="19" c:formatCode="yyyy/m/d;@">
                  <c:v>44567</c:v>
                </c:pt>
                <c:pt idx="20" c:formatCode="yyyy/m/d;@">
                  <c:v>44574</c:v>
                </c:pt>
                <c:pt idx="21" c:formatCode="yyyy/m/d;@">
                  <c:v>44581</c:v>
                </c:pt>
                <c:pt idx="22" c:formatCode="yyyy/m/d;@">
                  <c:v>44587</c:v>
                </c:pt>
                <c:pt idx="23" c:formatCode="yyyy/m/d;@">
                  <c:v>44602</c:v>
                </c:pt>
                <c:pt idx="24" c:formatCode="yyyy/m/d;@">
                  <c:v>44609</c:v>
                </c:pt>
                <c:pt idx="25" c:formatCode="yyyy/m/d;@">
                  <c:v>44616</c:v>
                </c:pt>
                <c:pt idx="26" c:formatCode="yyyy/m/d;@">
                  <c:v>44623</c:v>
                </c:pt>
                <c:pt idx="27" c:formatCode="yyyy/m/d;@">
                  <c:v>44630</c:v>
                </c:pt>
                <c:pt idx="28" c:formatCode="yyyy/m/d;@">
                  <c:v>44637</c:v>
                </c:pt>
                <c:pt idx="29" c:formatCode="yyyy/m/d;@">
                  <c:v>44644</c:v>
                </c:pt>
                <c:pt idx="30" c:formatCode="yyyy/m/d;@">
                  <c:v>44651</c:v>
                </c:pt>
                <c:pt idx="31" c:formatCode="yyyy/m/d;@">
                  <c:v>44658</c:v>
                </c:pt>
                <c:pt idx="32" c:formatCode="yyyy/m/d;@">
                  <c:v>44665</c:v>
                </c:pt>
                <c:pt idx="33" c:formatCode="yyyy/m/d;@">
                  <c:v>44672</c:v>
                </c:pt>
                <c:pt idx="34" c:formatCode="yyyy/m/d;@">
                  <c:v>44679</c:v>
                </c:pt>
                <c:pt idx="35" c:formatCode="yyyy/m/d;@">
                  <c:v>44686</c:v>
                </c:pt>
                <c:pt idx="36" c:formatCode="yyyy/m/d;@">
                  <c:v>44693</c:v>
                </c:pt>
                <c:pt idx="37" c:formatCode="yyyy/m/d;@">
                  <c:v>44700</c:v>
                </c:pt>
                <c:pt idx="38" c:formatCode="yyyy/m/d;@">
                  <c:v>44707</c:v>
                </c:pt>
                <c:pt idx="39" c:formatCode="yyyy/m/d;@">
                  <c:v>44714</c:v>
                </c:pt>
                <c:pt idx="40" c:formatCode="yyyy/m/d;@">
                  <c:v>44721</c:v>
                </c:pt>
                <c:pt idx="41" c:formatCode="yyyy/m/d;@">
                  <c:v>44728</c:v>
                </c:pt>
                <c:pt idx="42" c:formatCode="yyyy/m/d;@">
                  <c:v>44735</c:v>
                </c:pt>
                <c:pt idx="43" c:formatCode="yyyy/m/d;@">
                  <c:v>44742</c:v>
                </c:pt>
                <c:pt idx="44" c:formatCode="yyyy/m/d;@">
                  <c:v>44749</c:v>
                </c:pt>
                <c:pt idx="45" c:formatCode="yyyy/m/d;@">
                  <c:v>44756</c:v>
                </c:pt>
                <c:pt idx="46" c:formatCode="yyyy/m/d;@">
                  <c:v>44763</c:v>
                </c:pt>
                <c:pt idx="47" c:formatCode="yyyy/m/d;@">
                  <c:v>44770</c:v>
                </c:pt>
                <c:pt idx="48" c:formatCode="yyyy/m/d;@">
                  <c:v>44777</c:v>
                </c:pt>
                <c:pt idx="49" c:formatCode="yyyy/m/d;@">
                  <c:v>44784</c:v>
                </c:pt>
                <c:pt idx="50" c:formatCode="yyyy/m/d;@">
                  <c:v>44791</c:v>
                </c:pt>
                <c:pt idx="51" c:formatCode="yyyy/m/d;@">
                  <c:v>44798</c:v>
                </c:pt>
                <c:pt idx="52" c:formatCode="yyyy/m/d;@">
                  <c:v>44805</c:v>
                </c:pt>
                <c:pt idx="53" c:formatCode="yyyy/m/d;@">
                  <c:v>44812</c:v>
                </c:pt>
                <c:pt idx="54" c:formatCode="yyyy/m/d;@">
                  <c:v>44819</c:v>
                </c:pt>
                <c:pt idx="55" c:formatCode="yyyy/m/d;@">
                  <c:v>44826</c:v>
                </c:pt>
                <c:pt idx="56" c:formatCode="yyyy/m/d;@">
                  <c:v>44833</c:v>
                </c:pt>
                <c:pt idx="57" c:formatCode="yyyy/m/d;@">
                  <c:v>44842</c:v>
                </c:pt>
                <c:pt idx="58" c:formatCode="yyyy/m/d;@">
                  <c:v>44847</c:v>
                </c:pt>
                <c:pt idx="59" c:formatCode="yyyy/m/d;@">
                  <c:v>44854</c:v>
                </c:pt>
                <c:pt idx="60" c:formatCode="yyyy/m/d;@">
                  <c:v>44861</c:v>
                </c:pt>
                <c:pt idx="61" c:formatCode="yyyy/m/d;@">
                  <c:v>44868</c:v>
                </c:pt>
                <c:pt idx="62" c:formatCode="yyyy/m/d;@">
                  <c:v>44875</c:v>
                </c:pt>
                <c:pt idx="63" c:formatCode="yyyy/m/d;@">
                  <c:v>44882</c:v>
                </c:pt>
                <c:pt idx="64" c:formatCode="yyyy/m/d;@">
                  <c:v>44889</c:v>
                </c:pt>
                <c:pt idx="65" c:formatCode="yyyy/m/d;@">
                  <c:v>44896</c:v>
                </c:pt>
                <c:pt idx="66" c:formatCode="yyyy/m/d;@">
                  <c:v>44903</c:v>
                </c:pt>
                <c:pt idx="67" c:formatCode="yyyy/m/d;@">
                  <c:v>44910</c:v>
                </c:pt>
                <c:pt idx="68" c:formatCode="yyyy/m/d;@">
                  <c:v>44917</c:v>
                </c:pt>
                <c:pt idx="69" c:formatCode="yyyy/m/d;@">
                  <c:v>44924</c:v>
                </c:pt>
                <c:pt idx="70" c:formatCode="yyyy/m/d;@">
                  <c:v>44931</c:v>
                </c:pt>
                <c:pt idx="71" c:formatCode="yyyy/m/d;@">
                  <c:v>44938</c:v>
                </c:pt>
                <c:pt idx="72" c:formatCode="yyyy/m/d;@">
                  <c:v>44959</c:v>
                </c:pt>
                <c:pt idx="73" c:formatCode="yyyy/m/d;@">
                  <c:v>44966</c:v>
                </c:pt>
                <c:pt idx="74" c:formatCode="yyyy/m/d;@">
                  <c:v>44973</c:v>
                </c:pt>
                <c:pt idx="75" c:formatCode="yyyy/m/d;@">
                  <c:v>44980</c:v>
                </c:pt>
                <c:pt idx="76" c:formatCode="yyyy/m/d;@">
                  <c:v>44987</c:v>
                </c:pt>
                <c:pt idx="77" c:formatCode="yyyy/m/d;@">
                  <c:v>44994</c:v>
                </c:pt>
                <c:pt idx="78" c:formatCode="yyyy/m/d;@">
                  <c:v>45001</c:v>
                </c:pt>
                <c:pt idx="79" c:formatCode="yyyy/m/d;@">
                  <c:v>45008</c:v>
                </c:pt>
                <c:pt idx="80" c:formatCode="yyyy/m/d;@">
                  <c:v>45015</c:v>
                </c:pt>
                <c:pt idx="81" c:formatCode="yyyy/m/d;@">
                  <c:v>45022</c:v>
                </c:pt>
                <c:pt idx="82" c:formatCode="yyyy/m/d;@">
                  <c:v>45029</c:v>
                </c:pt>
                <c:pt idx="83" c:formatCode="yyyy/m/d;@">
                  <c:v>45036</c:v>
                </c:pt>
                <c:pt idx="84" c:formatCode="yyyy/m/d;@">
                  <c:v>45043</c:v>
                </c:pt>
                <c:pt idx="85" c:formatCode="yyyy/m/d;@">
                  <c:v>45050</c:v>
                </c:pt>
                <c:pt idx="86" c:formatCode="yyyy/m/d;@">
                  <c:v>45057</c:v>
                </c:pt>
                <c:pt idx="87" c:formatCode="yyyy/m/d;@">
                  <c:v>45064</c:v>
                </c:pt>
                <c:pt idx="88" c:formatCode="yyyy/m/d;@">
                  <c:v>45071</c:v>
                </c:pt>
                <c:pt idx="89" c:formatCode="yyyy/m/d;@">
                  <c:v>45078</c:v>
                </c:pt>
                <c:pt idx="90" c:formatCode="yyyy/m/d;@">
                  <c:v>45085</c:v>
                </c:pt>
                <c:pt idx="91" c:formatCode="yyyy/m/d;@">
                  <c:v>45092</c:v>
                </c:pt>
                <c:pt idx="92" c:formatCode="yyyy/m/d;@">
                  <c:v>45098</c:v>
                </c:pt>
                <c:pt idx="93" c:formatCode="yyyy/m/d;@">
                  <c:v>45106</c:v>
                </c:pt>
                <c:pt idx="94" c:formatCode="yyyy/m/d;@">
                  <c:v>45113</c:v>
                </c:pt>
                <c:pt idx="95" c:formatCode="yyyy/m/d;@">
                  <c:v>45120</c:v>
                </c:pt>
                <c:pt idx="96" c:formatCode="yyyy/m/d;@">
                  <c:v>45127</c:v>
                </c:pt>
                <c:pt idx="97" c:formatCode="yyyy/m/d;@">
                  <c:v>45134</c:v>
                </c:pt>
                <c:pt idx="98" c:formatCode="yyyy/m/d;@">
                  <c:v>45141</c:v>
                </c:pt>
                <c:pt idx="99" c:formatCode="yyyy/m/d;@">
                  <c:v>45148</c:v>
                </c:pt>
                <c:pt idx="100" c:formatCode="yyyy/m/d;@">
                  <c:v>45155</c:v>
                </c:pt>
                <c:pt idx="101" c:formatCode="yyyy/m/d;@">
                  <c:v>45162</c:v>
                </c:pt>
                <c:pt idx="102" c:formatCode="yyyy/m/d;@">
                  <c:v>45169</c:v>
                </c:pt>
                <c:pt idx="103" c:formatCode="yyyy/m/d;@">
                  <c:v>45176</c:v>
                </c:pt>
                <c:pt idx="104" c:formatCode="yyyy/m/d;@">
                  <c:v>45183</c:v>
                </c:pt>
                <c:pt idx="105" c:formatCode="yyyy/m/d;@">
                  <c:v>45190</c:v>
                </c:pt>
                <c:pt idx="106" c:formatCode="yyyy/m/d;@">
                  <c:v>45197</c:v>
                </c:pt>
                <c:pt idx="107" c:formatCode="yyyy/m/d;@">
                  <c:v>45205</c:v>
                </c:pt>
                <c:pt idx="108" c:formatCode="yyyy/m/d;@">
                  <c:v>45211</c:v>
                </c:pt>
                <c:pt idx="109" c:formatCode="yyyy/m/d;@">
                  <c:v>45218</c:v>
                </c:pt>
                <c:pt idx="110" c:formatCode="yyyy/m/d;@">
                  <c:v>45225</c:v>
                </c:pt>
                <c:pt idx="111" c:formatCode="yyyy/m/d;@">
                  <c:v>45232</c:v>
                </c:pt>
                <c:pt idx="112" c:formatCode="yyyy/m/d;@">
                  <c:v>45239</c:v>
                </c:pt>
                <c:pt idx="113" c:formatCode="yyyy/m/d;@">
                  <c:v>45246</c:v>
                </c:pt>
                <c:pt idx="114" c:formatCode="yyyy/m/d;@">
                  <c:v>45253</c:v>
                </c:pt>
                <c:pt idx="115" c:formatCode="yyyy/m/d;@">
                  <c:v>45260</c:v>
                </c:pt>
                <c:pt idx="116" c:formatCode="yyyy/m/d;@">
                  <c:v>45267</c:v>
                </c:pt>
                <c:pt idx="117" c:formatCode="yyyy/m/d;@">
                  <c:v>45274</c:v>
                </c:pt>
                <c:pt idx="118" c:formatCode="yyyy/m/d;@">
                  <c:v>45281</c:v>
                </c:pt>
                <c:pt idx="119" c:formatCode="yyyy/m/d;@">
                  <c:v>45288</c:v>
                </c:pt>
                <c:pt idx="120" c:formatCode="yyyy/m/d;@">
                  <c:v>45295</c:v>
                </c:pt>
                <c:pt idx="121" c:formatCode="yyyy/m/d;@">
                  <c:v>45302</c:v>
                </c:pt>
                <c:pt idx="122" c:formatCode="yyyy/m/d;@">
                  <c:v>45309</c:v>
                </c:pt>
                <c:pt idx="123" c:formatCode="yyyy/m/d;@">
                  <c:v>45316</c:v>
                </c:pt>
                <c:pt idx="124" c:formatCode="yyyy/m/d;@">
                  <c:v>45323</c:v>
                </c:pt>
                <c:pt idx="125" c:formatCode="yyyy/m/d;@">
                  <c:v>45344</c:v>
                </c:pt>
                <c:pt idx="126" c:formatCode="yyyy/m/d;@">
                  <c:v>45351</c:v>
                </c:pt>
                <c:pt idx="127" c:formatCode="yyyy/m/d;@">
                  <c:v>45358</c:v>
                </c:pt>
                <c:pt idx="128" c:formatCode="yyyy/m/d;@">
                  <c:v>45365</c:v>
                </c:pt>
                <c:pt idx="129" c:formatCode="yyyy/m/d;@">
                  <c:v>45372</c:v>
                </c:pt>
                <c:pt idx="130" c:formatCode="yyyy/m/d;@">
                  <c:v>45379</c:v>
                </c:pt>
                <c:pt idx="131" c:formatCode="yyyy/m/d;@">
                  <c:v>45385</c:v>
                </c:pt>
                <c:pt idx="132" c:formatCode="yyyy/m/d;@">
                  <c:v>45393</c:v>
                </c:pt>
                <c:pt idx="133" c:formatCode="yyyy/m/d;@">
                  <c:v>45400</c:v>
                </c:pt>
                <c:pt idx="134" c:formatCode="yyyy/m/d;@">
                  <c:v>45407</c:v>
                </c:pt>
                <c:pt idx="135" c:formatCode="yyyy/m/d;@">
                  <c:v>45414</c:v>
                </c:pt>
                <c:pt idx="136" c:formatCode="yyyy/m/d;@">
                  <c:v>45421</c:v>
                </c:pt>
                <c:pt idx="137" c:formatCode="yyyy/m/d;@">
                  <c:v>45428</c:v>
                </c:pt>
                <c:pt idx="138" c:formatCode="yyyy/m/d;@">
                  <c:v>45435</c:v>
                </c:pt>
                <c:pt idx="139" c:formatCode="yyyy/m/d;@">
                  <c:v>45442</c:v>
                </c:pt>
                <c:pt idx="140" c:formatCode="yyyy/m/d;@">
                  <c:v>45449</c:v>
                </c:pt>
                <c:pt idx="141" c:formatCode="yyyy/m/d;@">
                  <c:v>45456</c:v>
                </c:pt>
                <c:pt idx="142" c:formatCode="yyyy/m/d;@">
                  <c:v>45463</c:v>
                </c:pt>
                <c:pt idx="143" c:formatCode="yyyy/m/d;@">
                  <c:v>45470</c:v>
                </c:pt>
                <c:pt idx="144" c:formatCode="yyyy/m/d;@">
                  <c:v>45477</c:v>
                </c:pt>
                <c:pt idx="145" c:formatCode="yyyy/m/d;@">
                  <c:v>45484</c:v>
                </c:pt>
                <c:pt idx="146" c:formatCode="yyyy/m/d;@">
                  <c:v>45491</c:v>
                </c:pt>
                <c:pt idx="147" c:formatCode="yyyy/m/d;@">
                  <c:v>45498</c:v>
                </c:pt>
                <c:pt idx="148" c:formatCode="yyyy/m/d;@">
                  <c:v>45505</c:v>
                </c:pt>
                <c:pt idx="149" c:formatCode="yyyy/m/d;@">
                  <c:v>45512</c:v>
                </c:pt>
                <c:pt idx="150" c:formatCode="yyyy/m/d;@">
                  <c:v>45519</c:v>
                </c:pt>
                <c:pt idx="151" c:formatCode="yyyy/m/d;@">
                  <c:v>45526</c:v>
                </c:pt>
                <c:pt idx="152" c:formatCode="yyyy/m/d;@">
                  <c:v>45533</c:v>
                </c:pt>
                <c:pt idx="153" c:formatCode="yyyy/m/d;@">
                  <c:v>45540</c:v>
                </c:pt>
                <c:pt idx="154" c:formatCode="yyyy/m/d;@">
                  <c:v>45547</c:v>
                </c:pt>
                <c:pt idx="155" c:formatCode="yyyy/m/d;@">
                  <c:v>45554</c:v>
                </c:pt>
                <c:pt idx="156" c:formatCode="yyyy/m/d;@">
                  <c:v>45561</c:v>
                </c:pt>
                <c:pt idx="157" c:formatCode="yyyy/m/d;@">
                  <c:v>45575</c:v>
                </c:pt>
                <c:pt idx="158" c:formatCode="yyyy/m/d;@">
                  <c:v>45582</c:v>
                </c:pt>
                <c:pt idx="159" c:formatCode="yyyy/m/d;@">
                  <c:v>45589</c:v>
                </c:pt>
                <c:pt idx="160" c:formatCode="yyyy/m/d;@">
                  <c:v>45596</c:v>
                </c:pt>
                <c:pt idx="161" c:formatCode="yyyy/m/d;@">
                  <c:v>45603</c:v>
                </c:pt>
                <c:pt idx="162" c:formatCode="yyyy/m/d;@">
                  <c:v>45610</c:v>
                </c:pt>
                <c:pt idx="163" c:formatCode="yyyy/m/d;@">
                  <c:v>45617</c:v>
                </c:pt>
                <c:pt idx="164" c:formatCode="yyyy/m/d;@">
                  <c:v>45624</c:v>
                </c:pt>
                <c:pt idx="165" c:formatCode="yyyy/m/d;@">
                  <c:v>45631</c:v>
                </c:pt>
                <c:pt idx="166" c:formatCode="yyyy/m/d;@">
                  <c:v>45638</c:v>
                </c:pt>
                <c:pt idx="167" c:formatCode="yyyy/m/d;@">
                  <c:v>45645</c:v>
                </c:pt>
                <c:pt idx="168" c:formatCode="yyyy/m/d;@">
                  <c:v>45652</c:v>
                </c:pt>
                <c:pt idx="169" c:formatCode="yyyy/m/d;@">
                  <c:v>45659</c:v>
                </c:pt>
                <c:pt idx="170" c:formatCode="yyyy/m/d;@">
                  <c:v>45666</c:v>
                </c:pt>
                <c:pt idx="171" c:formatCode="yyyy/m/d;@">
                  <c:v>45673</c:v>
                </c:pt>
                <c:pt idx="172" c:formatCode="yyyy/m/d;@">
                  <c:v>45680</c:v>
                </c:pt>
                <c:pt idx="173" c:formatCode="yyyy/m/d;@">
                  <c:v>45694</c:v>
                </c:pt>
                <c:pt idx="174" c:formatCode="yyyy/m/d;@">
                  <c:v>45701</c:v>
                </c:pt>
                <c:pt idx="175" c:formatCode="yyyy/m/d;@">
                  <c:v>45708</c:v>
                </c:pt>
                <c:pt idx="176" c:formatCode="yyyy/m/d;@">
                  <c:v>45715</c:v>
                </c:pt>
                <c:pt idx="177" c:formatCode="yyyy/m/d;@">
                  <c:v>45722</c:v>
                </c:pt>
                <c:pt idx="178" c:formatCode="yyyy/m/d;@">
                  <c:v>45729</c:v>
                </c:pt>
                <c:pt idx="179" c:formatCode="yyyy/m/d;@">
                  <c:v>45736</c:v>
                </c:pt>
                <c:pt idx="180" c:formatCode="yyyy/m/d;@">
                  <c:v>45743</c:v>
                </c:pt>
                <c:pt idx="181" c:formatCode="yyyy/m/d;@">
                  <c:v>45750</c:v>
                </c:pt>
                <c:pt idx="182" c:formatCode="yyyy/m/d;@">
                  <c:v>45757</c:v>
                </c:pt>
                <c:pt idx="183" c:formatCode="yyyy/m/d;@">
                  <c:v>45764</c:v>
                </c:pt>
                <c:pt idx="184" c:formatCode="yyyy/m/d;@">
                  <c:v>45771</c:v>
                </c:pt>
                <c:pt idx="185" c:formatCode="yyyy/m/d;@">
                  <c:v>45777</c:v>
                </c:pt>
                <c:pt idx="186" c:formatCode="yyyy/m/d;@">
                  <c:v>45785</c:v>
                </c:pt>
                <c:pt idx="187" c:formatCode="yyyy/m/d;@">
                  <c:v>45792</c:v>
                </c:pt>
                <c:pt idx="188" c:formatCode="yyyy/m/d;@">
                  <c:v>45799</c:v>
                </c:pt>
                <c:pt idx="189" c:formatCode="yyyy/m/d;@">
                  <c:v>45806</c:v>
                </c:pt>
                <c:pt idx="190" c:formatCode="yyyy/m/d;@">
                  <c:v>45813</c:v>
                </c:pt>
                <c:pt idx="191" c:formatCode="yyyy/m/d;@">
                  <c:v>45820</c:v>
                </c:pt>
                <c:pt idx="192" c:formatCode="yyyy/m/d;@">
                  <c:v>45827</c:v>
                </c:pt>
                <c:pt idx="193" c:formatCode="yyyy/m/d;@">
                  <c:v>45834</c:v>
                </c:pt>
                <c:pt idx="194" c:formatCode="yyyy/m/d;@">
                  <c:v>45841</c:v>
                </c:pt>
                <c:pt idx="195" c:formatCode="yyyy/m/d;@">
                  <c:v>45848</c:v>
                </c:pt>
                <c:pt idx="196" c:formatCode="yyyy/m/d;@">
                  <c:v>45855</c:v>
                </c:pt>
                <c:pt idx="197" c:formatCode="yyyy/m/d;@">
                  <c:v>45862</c:v>
                </c:pt>
                <c:pt idx="198" c:formatCode="yyyy/m/d;@">
                  <c:v>45869</c:v>
                </c:pt>
                <c:pt idx="199" c:formatCode="yyyy/m/d;@">
                  <c:v>45876</c:v>
                </c:pt>
                <c:pt idx="200" c:formatCode="yyyy/m/d;@">
                  <c:v>45883</c:v>
                </c:pt>
                <c:pt idx="201" c:formatCode="yyyy/m/d;@">
                  <c:v>45890</c:v>
                </c:pt>
                <c:pt idx="202" c:formatCode="yyyy/m/d;@">
                  <c:v>45897</c:v>
                </c:pt>
                <c:pt idx="203" c:formatCode="yyyy/m/d;@">
                  <c:v>45904</c:v>
                </c:pt>
                <c:pt idx="204" c:formatCode="yyyy/m/d;@">
                  <c:v>45911</c:v>
                </c:pt>
                <c:pt idx="205" c:formatCode="yyyy/m/d;@">
                  <c:v>45918</c:v>
                </c:pt>
                <c:pt idx="206" c:formatCode="yyyy/m/d;@">
                  <c:v>45925</c:v>
                </c:pt>
                <c:pt idx="207" c:formatCode="yyyy/m/d;@">
                  <c:v>45939</c:v>
                </c:pt>
                <c:pt idx="208" c:formatCode="yyyy/m/d;@">
                  <c:v>45946</c:v>
                </c:pt>
                <c:pt idx="209" c:formatCode="yyyy/m/d;@">
                  <c:v>45953</c:v>
                </c:pt>
                <c:pt idx="210" c:formatCode="yyyy/m/d;@">
                  <c:v>45960</c:v>
                </c:pt>
                <c:pt idx="211" c:formatCode="yyyy/m/d;@">
                  <c:v>45967</c:v>
                </c:pt>
                <c:pt idx="212" c:formatCode="yyyy/m/d;@">
                  <c:v>45974</c:v>
                </c:pt>
                <c:pt idx="213" c:formatCode="yyyy/m/d;@">
                  <c:v>45981</c:v>
                </c:pt>
                <c:pt idx="214" c:formatCode="yyyy/m/d;@">
                  <c:v>45988</c:v>
                </c:pt>
                <c:pt idx="215" c:formatCode="yyyy/m/d;@">
                  <c:v>45995</c:v>
                </c:pt>
                <c:pt idx="216" c:formatCode="yyyy/m/d;@">
                  <c:v>46002</c:v>
                </c:pt>
                <c:pt idx="217" c:formatCode="yyyy/m/d;@">
                  <c:v>46009</c:v>
                </c:pt>
                <c:pt idx="218" c:formatCode="yyyy/m/d;@">
                  <c:v>46016</c:v>
                </c:pt>
                <c:pt idx="219" c:formatCode="yyyy/m/d;@">
                  <c:v>46023</c:v>
                </c:pt>
                <c:pt idx="220" c:formatCode="yyyy/m/d;@">
                  <c:v>46030</c:v>
                </c:pt>
                <c:pt idx="221" c:formatCode="yyyy/m/d;@">
                  <c:v>46037</c:v>
                </c:pt>
                <c:pt idx="222" c:formatCode="yyyy/m/d;@">
                  <c:v>46044</c:v>
                </c:pt>
                <c:pt idx="223" c:formatCode="yyyy/m/d;@">
                  <c:v>46051</c:v>
                </c:pt>
                <c:pt idx="224" c:formatCode="yyyy/m/d;@">
                  <c:v>46058</c:v>
                </c:pt>
                <c:pt idx="225" c:formatCode="yyyy/m/d;@">
                  <c:v>46065</c:v>
                </c:pt>
                <c:pt idx="226" c:formatCode="yyyy/m/d;@">
                  <c:v>46079</c:v>
                </c:pt>
                <c:pt idx="227" c:formatCode="yyyy/m/d;@">
                  <c:v>46086</c:v>
                </c:pt>
                <c:pt idx="228" c:formatCode="yyyy/m/d;@">
                  <c:v>46093</c:v>
                </c:pt>
                <c:pt idx="229" c:formatCode="yyyy/m/d;@">
                  <c:v>46100</c:v>
                </c:pt>
                <c:pt idx="230" c:formatCode="yyyy/m/d;@">
                  <c:v>46107</c:v>
                </c:pt>
                <c:pt idx="231" c:formatCode="yyyy/m/d;@">
                  <c:v>46114</c:v>
                </c:pt>
                <c:pt idx="232" c:formatCode="yyyy/m/d;@">
                  <c:v>46121</c:v>
                </c:pt>
                <c:pt idx="233" c:formatCode="yyyy/m/d;@">
                  <c:v>46128</c:v>
                </c:pt>
                <c:pt idx="234" c:formatCode="yyyy/m/d;@">
                  <c:v>46135</c:v>
                </c:pt>
                <c:pt idx="235" c:formatCode="yyyy/m/d;@">
                  <c:v>46142</c:v>
                </c:pt>
                <c:pt idx="236" c:formatCode="yyyy/m/d;@">
                  <c:v>46149</c:v>
                </c:pt>
                <c:pt idx="237" c:formatCode="yyyy/m/d;@">
                  <c:v>46156</c:v>
                </c:pt>
                <c:pt idx="238" c:formatCode="yyyy/m/d;@">
                  <c:v>46163</c:v>
                </c:pt>
                <c:pt idx="239" c:formatCode="yyyy/m/d;@">
                  <c:v>46170</c:v>
                </c:pt>
                <c:pt idx="240" c:formatCode="yyyy/m/d;@">
                  <c:v>46177</c:v>
                </c:pt>
                <c:pt idx="241" c:formatCode="yyyy/m/d;@">
                  <c:v>46184</c:v>
                </c:pt>
                <c:pt idx="242" c:formatCode="yyyy/m/d;@">
                  <c:v>46191</c:v>
                </c:pt>
                <c:pt idx="243" c:formatCode="yyyy/m/d;@">
                  <c:v>46198</c:v>
                </c:pt>
                <c:pt idx="244" c:formatCode="yyyy/m/d;@">
                  <c:v>46205</c:v>
                </c:pt>
                <c:pt idx="245" c:formatCode="yyyy/m/d;@">
                  <c:v>46212</c:v>
                </c:pt>
                <c:pt idx="246" c:formatCode="yyyy/m/d;@">
                  <c:v>46219</c:v>
                </c:pt>
                <c:pt idx="247" c:formatCode="yyyy/m/d;@">
                  <c:v>46226</c:v>
                </c:pt>
                <c:pt idx="248" c:formatCode="yyyy/m/d;@">
                  <c:v>46233</c:v>
                </c:pt>
                <c:pt idx="249" c:formatCode="yyyy/m/d;@">
                  <c:v>46240</c:v>
                </c:pt>
                <c:pt idx="250" c:formatCode="yyyy/m/d;@">
                  <c:v>46247</c:v>
                </c:pt>
                <c:pt idx="251" c:formatCode="yyyy/m/d;@">
                  <c:v>46254</c:v>
                </c:pt>
                <c:pt idx="252" c:formatCode="yyyy/m/d;@">
                  <c:v>46261</c:v>
                </c:pt>
                <c:pt idx="253" c:formatCode="yyyy/m/d;@">
                  <c:v>46268</c:v>
                </c:pt>
                <c:pt idx="254" c:formatCode="yyyy/m/d;@">
                  <c:v>46275</c:v>
                </c:pt>
                <c:pt idx="255" c:formatCode="yyyy/m/d;@">
                  <c:v>46282</c:v>
                </c:pt>
                <c:pt idx="256" c:formatCode="yyyy/m/d;@">
                  <c:v>46289</c:v>
                </c:pt>
              </c:numCache>
            </c:numRef>
          </c:cat>
          <c:val>
            <c:numRef>
              <c:f>养殖成本预期、当期!$B$4:$B$402</c:f>
              <c:numCache>
                <c:formatCode>0.00_);[Red]\(0.00\)</c:formatCode>
                <c:ptCount val="399"/>
                <c:pt idx="0">
                  <c:v>15.83</c:v>
                </c:pt>
                <c:pt idx="1">
                  <c:v>15.83</c:v>
                </c:pt>
                <c:pt idx="2">
                  <c:v>15.35</c:v>
                </c:pt>
                <c:pt idx="3">
                  <c:v>15.3</c:v>
                </c:pt>
                <c:pt idx="4">
                  <c:v>15.01</c:v>
                </c:pt>
                <c:pt idx="5">
                  <c:v>14.98</c:v>
                </c:pt>
                <c:pt idx="6">
                  <c:v>14.92</c:v>
                </c:pt>
                <c:pt idx="7">
                  <c:v>14.92</c:v>
                </c:pt>
                <c:pt idx="8">
                  <c:v>14.92</c:v>
                </c:pt>
                <c:pt idx="9">
                  <c:v>15</c:v>
                </c:pt>
                <c:pt idx="10">
                  <c:v>14.77</c:v>
                </c:pt>
                <c:pt idx="11">
                  <c:v>14.77</c:v>
                </c:pt>
                <c:pt idx="12">
                  <c:v>14.77</c:v>
                </c:pt>
                <c:pt idx="13">
                  <c:v>14.68</c:v>
                </c:pt>
                <c:pt idx="14">
                  <c:v>14.68</c:v>
                </c:pt>
                <c:pt idx="15">
                  <c:v>14.59</c:v>
                </c:pt>
                <c:pt idx="16">
                  <c:v>15.09</c:v>
                </c:pt>
                <c:pt idx="17">
                  <c:v>15.09</c:v>
                </c:pt>
                <c:pt idx="18">
                  <c:v>15.09</c:v>
                </c:pt>
                <c:pt idx="19">
                  <c:v>15.24</c:v>
                </c:pt>
                <c:pt idx="20">
                  <c:v>15.41</c:v>
                </c:pt>
                <c:pt idx="21">
                  <c:v>15.22</c:v>
                </c:pt>
                <c:pt idx="22">
                  <c:v>15.22</c:v>
                </c:pt>
                <c:pt idx="23">
                  <c:v>14.93</c:v>
                </c:pt>
                <c:pt idx="24">
                  <c:v>14.77</c:v>
                </c:pt>
                <c:pt idx="25">
                  <c:v>14.99</c:v>
                </c:pt>
                <c:pt idx="26">
                  <c:v>15.39</c:v>
                </c:pt>
                <c:pt idx="27">
                  <c:v>15.47</c:v>
                </c:pt>
                <c:pt idx="28">
                  <c:v>15.58</c:v>
                </c:pt>
                <c:pt idx="29">
                  <c:v>15.61</c:v>
                </c:pt>
                <c:pt idx="30">
                  <c:v>15.61</c:v>
                </c:pt>
                <c:pt idx="31">
                  <c:v>15.61</c:v>
                </c:pt>
                <c:pt idx="32">
                  <c:v>15.61</c:v>
                </c:pt>
                <c:pt idx="33">
                  <c:v>15.75</c:v>
                </c:pt>
                <c:pt idx="34">
                  <c:v>15.66</c:v>
                </c:pt>
                <c:pt idx="35">
                  <c:v>15.75</c:v>
                </c:pt>
                <c:pt idx="36">
                  <c:v>15.75</c:v>
                </c:pt>
                <c:pt idx="37">
                  <c:v>15.75</c:v>
                </c:pt>
                <c:pt idx="38">
                  <c:v>15.75</c:v>
                </c:pt>
                <c:pt idx="39" c:formatCode="0.00_ ">
                  <c:v>16.26</c:v>
                </c:pt>
                <c:pt idx="40" c:formatCode="0.00_ ">
                  <c:v>16.26</c:v>
                </c:pt>
                <c:pt idx="41" c:formatCode="0.00_ ">
                  <c:v>16.26</c:v>
                </c:pt>
                <c:pt idx="42" c:formatCode="0.00_ ">
                  <c:v>16.26</c:v>
                </c:pt>
                <c:pt idx="43" c:formatCode="0.00_ ">
                  <c:v>16.26</c:v>
                </c:pt>
                <c:pt idx="44" c:formatCode="0.00_ ">
                  <c:v>16.26</c:v>
                </c:pt>
                <c:pt idx="45" c:formatCode="0.00_ ">
                  <c:v>16.26</c:v>
                </c:pt>
                <c:pt idx="46" c:formatCode="0.00_ ">
                  <c:v>16.28</c:v>
                </c:pt>
                <c:pt idx="47" c:formatCode="0.00_ ">
                  <c:v>16.19</c:v>
                </c:pt>
                <c:pt idx="48" c:formatCode="0.00_ ">
                  <c:v>16.19</c:v>
                </c:pt>
                <c:pt idx="49" c:formatCode="0.00_ ">
                  <c:v>16.19</c:v>
                </c:pt>
                <c:pt idx="50" c:formatCode="0.00_ ">
                  <c:v>16.19</c:v>
                </c:pt>
                <c:pt idx="51" c:formatCode="0.00_ ">
                  <c:v>16.19</c:v>
                </c:pt>
                <c:pt idx="52" c:formatCode="0.00_ ">
                  <c:v>16.19</c:v>
                </c:pt>
                <c:pt idx="53" c:formatCode="0.00_ ">
                  <c:v>16.19</c:v>
                </c:pt>
                <c:pt idx="54" c:formatCode="0.00_ ">
                  <c:v>16.28</c:v>
                </c:pt>
                <c:pt idx="55" c:formatCode="0.00_ ">
                  <c:v>16.4</c:v>
                </c:pt>
                <c:pt idx="56" c:formatCode="0.00_ ">
                  <c:v>16.49</c:v>
                </c:pt>
                <c:pt idx="57" c:formatCode="0.00_ ">
                  <c:v>16.49</c:v>
                </c:pt>
                <c:pt idx="58" c:formatCode="0.00_ ">
                  <c:v>16.49</c:v>
                </c:pt>
                <c:pt idx="59" c:formatCode="0.00_ ">
                  <c:v>17.08</c:v>
                </c:pt>
                <c:pt idx="60" c:formatCode="0.00_ ">
                  <c:v>17.08</c:v>
                </c:pt>
                <c:pt idx="61" c:formatCode="0.00_ ">
                  <c:v>17.08</c:v>
                </c:pt>
                <c:pt idx="62" c:formatCode="0.00_ ">
                  <c:v>17.1</c:v>
                </c:pt>
                <c:pt idx="63" c:formatCode="0.00_ ">
                  <c:v>17.2</c:v>
                </c:pt>
                <c:pt idx="64" c:formatCode="0.00_ ">
                  <c:v>17.2</c:v>
                </c:pt>
                <c:pt idx="65" c:formatCode="0.00_ ">
                  <c:v>17.2</c:v>
                </c:pt>
                <c:pt idx="66" c:formatCode="0.00_ ">
                  <c:v>17.2</c:v>
                </c:pt>
                <c:pt idx="67" c:formatCode="0.00_ ">
                  <c:v>17.2</c:v>
                </c:pt>
                <c:pt idx="68" c:formatCode="0.00_ ">
                  <c:v>17.04</c:v>
                </c:pt>
                <c:pt idx="69" c:formatCode="#,##0.00_ ">
                  <c:v>17.04</c:v>
                </c:pt>
                <c:pt idx="70" c:formatCode="#,##0.00_ ">
                  <c:v>17.04</c:v>
                </c:pt>
                <c:pt idx="71" c:formatCode="#,##0.00_ ">
                  <c:v>16.93</c:v>
                </c:pt>
                <c:pt idx="72" c:formatCode="#,##0.00_ ">
                  <c:v>16.65</c:v>
                </c:pt>
                <c:pt idx="73" c:formatCode="#,##0.00_ ">
                  <c:v>16.65</c:v>
                </c:pt>
                <c:pt idx="74" c:formatCode="#,##0.00_ ">
                  <c:v>16.29</c:v>
                </c:pt>
                <c:pt idx="75" c:formatCode="#,##0.00_ ">
                  <c:v>15.93</c:v>
                </c:pt>
                <c:pt idx="76" c:formatCode="#,##0.00_ ">
                  <c:v>15.91</c:v>
                </c:pt>
                <c:pt idx="77" c:formatCode="#,##0.00_ ">
                  <c:v>15.91</c:v>
                </c:pt>
                <c:pt idx="78" c:formatCode="#,##0.00_ ">
                  <c:v>15.91</c:v>
                </c:pt>
                <c:pt idx="79" c:formatCode="#,##0.00_ ">
                  <c:v>15.91</c:v>
                </c:pt>
                <c:pt idx="80" c:formatCode="#,##0.00_ ">
                  <c:v>15.71</c:v>
                </c:pt>
                <c:pt idx="81" c:formatCode="#,##0.00_ ">
                  <c:v>15.71</c:v>
                </c:pt>
                <c:pt idx="82" c:formatCode="#,##0.00_ ">
                  <c:v>15.71</c:v>
                </c:pt>
                <c:pt idx="83" c:formatCode="#,##0.00_ ">
                  <c:v>15.72</c:v>
                </c:pt>
                <c:pt idx="84" c:formatCode="#,##0.00_ ">
                  <c:v>15.71</c:v>
                </c:pt>
                <c:pt idx="85" c:formatCode="#,##0.00_ ">
                  <c:v>15.83</c:v>
                </c:pt>
                <c:pt idx="86" c:formatCode="#,##0.00_ ">
                  <c:v>15.85</c:v>
                </c:pt>
                <c:pt idx="87" c:formatCode="#,##0.00_ ">
                  <c:v>15.85</c:v>
                </c:pt>
                <c:pt idx="88" c:formatCode="#,##0.00_ ">
                  <c:v>15.85</c:v>
                </c:pt>
                <c:pt idx="89" c:formatCode="#,##0.00_ ">
                  <c:v>15.84</c:v>
                </c:pt>
                <c:pt idx="90" c:formatCode="#,##0.00_ ">
                  <c:v>15.46</c:v>
                </c:pt>
                <c:pt idx="91" c:formatCode="#,##0.00_ ">
                  <c:v>15.38</c:v>
                </c:pt>
                <c:pt idx="92" c:formatCode="#,##0.00_ ">
                  <c:v>15.33</c:v>
                </c:pt>
                <c:pt idx="93" c:formatCode="#,##0.00_ ">
                  <c:v>15.33</c:v>
                </c:pt>
                <c:pt idx="94" c:formatCode="#,##0.00_ ">
                  <c:v>15.28</c:v>
                </c:pt>
                <c:pt idx="95" c:formatCode="#,##0.00_ ">
                  <c:v>15.28</c:v>
                </c:pt>
                <c:pt idx="96" c:formatCode="#,##0.00_ ">
                  <c:v>15.4</c:v>
                </c:pt>
                <c:pt idx="97" c:formatCode="#,##0.00_ ">
                  <c:v>15.49</c:v>
                </c:pt>
                <c:pt idx="98" c:formatCode="#,##0.00_ ">
                  <c:v>15.52</c:v>
                </c:pt>
                <c:pt idx="99" c:formatCode="#,##0.00_ ">
                  <c:v>15.54</c:v>
                </c:pt>
                <c:pt idx="100" c:formatCode="#,##0.00_ ">
                  <c:v>15.54</c:v>
                </c:pt>
                <c:pt idx="101" c:formatCode="#,##0.00_ ">
                  <c:v>15.63</c:v>
                </c:pt>
                <c:pt idx="102" c:formatCode="#,##0.00_ ">
                  <c:v>15.69</c:v>
                </c:pt>
                <c:pt idx="103" c:formatCode="#,##0.00_ ">
                  <c:v>15.79</c:v>
                </c:pt>
                <c:pt idx="104" c:formatCode="#,##0.00_ ">
                  <c:v>15.9</c:v>
                </c:pt>
                <c:pt idx="105" c:formatCode="#,##0.00_ ">
                  <c:v>15.9</c:v>
                </c:pt>
                <c:pt idx="106" c:formatCode="#,##0.00_ ">
                  <c:v>15.93</c:v>
                </c:pt>
                <c:pt idx="107" c:formatCode="#,##0.00_ ">
                  <c:v>15.84</c:v>
                </c:pt>
                <c:pt idx="108" c:formatCode="#,##0.00_ ">
                  <c:v>15.82</c:v>
                </c:pt>
                <c:pt idx="109" c:formatCode="#,##0.00_ ">
                  <c:v>15.49</c:v>
                </c:pt>
                <c:pt idx="110" c:formatCode="#,##0.00_ ">
                  <c:v>15.49</c:v>
                </c:pt>
                <c:pt idx="111" c:formatCode="#,##0.00_ ">
                  <c:v>15.59</c:v>
                </c:pt>
                <c:pt idx="112" c:formatCode="#,##0.00_ ">
                  <c:v>15.21</c:v>
                </c:pt>
                <c:pt idx="113" c:formatCode="#,##0.00_ ">
                  <c:v>15.21</c:v>
                </c:pt>
                <c:pt idx="114" c:formatCode="#,##0.00_ ">
                  <c:v>15.21</c:v>
                </c:pt>
                <c:pt idx="115" c:formatCode="#,##0.00_ ">
                  <c:v>15.25</c:v>
                </c:pt>
                <c:pt idx="116" c:formatCode="#,##0.00_ ">
                  <c:v>15.25</c:v>
                </c:pt>
                <c:pt idx="117" c:formatCode="#,##0.00_ ">
                  <c:v>15.1</c:v>
                </c:pt>
                <c:pt idx="118" c:formatCode="#,##0.00_ ">
                  <c:v>15.1</c:v>
                </c:pt>
                <c:pt idx="119" c:formatCode="#,##0.00_ ">
                  <c:v>15.11</c:v>
                </c:pt>
                <c:pt idx="120" c:formatCode="#,##0.00_ ">
                  <c:v>15.11</c:v>
                </c:pt>
                <c:pt idx="121" c:formatCode="#,##0.00_ ">
                  <c:v>15.11</c:v>
                </c:pt>
                <c:pt idx="122" c:formatCode="#,##0.00_ ">
                  <c:v>15.11</c:v>
                </c:pt>
                <c:pt idx="123" c:formatCode="#,##0.00_ ">
                  <c:v>15.11</c:v>
                </c:pt>
                <c:pt idx="124" c:formatCode="#,##0.00_ ">
                  <c:v>15.06</c:v>
                </c:pt>
                <c:pt idx="125" c:formatCode="#,##0.00_ ">
                  <c:v>14.87</c:v>
                </c:pt>
                <c:pt idx="126" c:formatCode="#,##0.00_ ">
                  <c:v>13.97</c:v>
                </c:pt>
                <c:pt idx="127" c:formatCode="#,##0.00_ ">
                  <c:v>13.97</c:v>
                </c:pt>
                <c:pt idx="128" c:formatCode="#,##0.00_ ">
                  <c:v>13.97</c:v>
                </c:pt>
                <c:pt idx="129" c:formatCode="#,##0.00_ ">
                  <c:v>13.83</c:v>
                </c:pt>
                <c:pt idx="130" c:formatCode="#,##0.00_ ">
                  <c:v>13.83</c:v>
                </c:pt>
                <c:pt idx="131" c:formatCode="#,##0.00_ ">
                  <c:v>13.77</c:v>
                </c:pt>
                <c:pt idx="132" c:formatCode="#,##0.00_ ">
                  <c:v>13.77</c:v>
                </c:pt>
                <c:pt idx="133" c:formatCode="#,##0.00_ ">
                  <c:v>13.77</c:v>
                </c:pt>
                <c:pt idx="134" c:formatCode="#,##0.00_ ">
                  <c:v>13.77</c:v>
                </c:pt>
                <c:pt idx="135" c:formatCode="#,##0.00_ ">
                  <c:v>13.72</c:v>
                </c:pt>
                <c:pt idx="136" c:formatCode="#,##0.00_ ">
                  <c:v>13.7</c:v>
                </c:pt>
                <c:pt idx="137" c:formatCode="#,##0.00_ ">
                  <c:v>13.74</c:v>
                </c:pt>
                <c:pt idx="138" c:formatCode="#,##0.00_ ">
                  <c:v>13.75</c:v>
                </c:pt>
                <c:pt idx="139" c:formatCode="#,##0.00_ ">
                  <c:v>13.71</c:v>
                </c:pt>
                <c:pt idx="140" c:formatCode="#,##0.00_ ">
                  <c:v>13.67</c:v>
                </c:pt>
                <c:pt idx="141" c:formatCode="#,##0.00_ ">
                  <c:v>13.66</c:v>
                </c:pt>
                <c:pt idx="142" c:formatCode="#,##0.00_ ">
                  <c:v>13.66</c:v>
                </c:pt>
                <c:pt idx="143" c:formatCode="#,##0.00_ ">
                  <c:v>13.66</c:v>
                </c:pt>
                <c:pt idx="144" c:formatCode="#,##0.00_ ">
                  <c:v>13.68</c:v>
                </c:pt>
                <c:pt idx="145" c:formatCode="#,##0.00_ ">
                  <c:v>13.68</c:v>
                </c:pt>
                <c:pt idx="146" c:formatCode="#,##0.00_ ">
                  <c:v>13.73</c:v>
                </c:pt>
                <c:pt idx="147" c:formatCode="#,##0.00_ ">
                  <c:v>13.76</c:v>
                </c:pt>
                <c:pt idx="148" c:formatCode="#,##0.00_ ">
                  <c:v>13.76</c:v>
                </c:pt>
                <c:pt idx="149" c:formatCode="#,##0.00_ ">
                  <c:v>13.76</c:v>
                </c:pt>
                <c:pt idx="150" c:formatCode="#,##0.00_ ">
                  <c:v>13.76</c:v>
                </c:pt>
                <c:pt idx="151" c:formatCode="#,##0.00_ ">
                  <c:v>13.65</c:v>
                </c:pt>
                <c:pt idx="152" c:formatCode="#,##0.00_ ">
                  <c:v>13.65</c:v>
                </c:pt>
                <c:pt idx="153" c:formatCode="#,##0.00_ ">
                  <c:v>13.65</c:v>
                </c:pt>
                <c:pt idx="154" c:formatCode="#,##0.00_ ">
                  <c:v>13.65</c:v>
                </c:pt>
                <c:pt idx="155" c:formatCode="#,##0.00_ ">
                  <c:v>13.67</c:v>
                </c:pt>
                <c:pt idx="156" c:formatCode="#,##0.00_ ">
                  <c:v>13.67</c:v>
                </c:pt>
                <c:pt idx="157" c:formatCode="#,##0.00_ ">
                  <c:v>13.65</c:v>
                </c:pt>
                <c:pt idx="158" c:formatCode="#,##0.00_ ">
                  <c:v>13.55</c:v>
                </c:pt>
                <c:pt idx="159" c:formatCode="#,##0.00_ ">
                  <c:v>13.55</c:v>
                </c:pt>
                <c:pt idx="160" c:formatCode="#,##0.00_ ">
                  <c:v>13.53</c:v>
                </c:pt>
                <c:pt idx="161" c:formatCode="#,##0.00_ ">
                  <c:v>13.53</c:v>
                </c:pt>
                <c:pt idx="162" c:formatCode="#,##0.00_ ">
                  <c:v>13.51</c:v>
                </c:pt>
                <c:pt idx="163" c:formatCode="#,##0.00_ ">
                  <c:v>13.51</c:v>
                </c:pt>
                <c:pt idx="164" c:formatCode="#,##0.00_ ">
                  <c:v>13.35</c:v>
                </c:pt>
                <c:pt idx="165" c:formatCode="#,##0.00_ ">
                  <c:v>13.35</c:v>
                </c:pt>
                <c:pt idx="166" c:formatCode="#,##0.00_ ">
                  <c:v>13.35</c:v>
                </c:pt>
                <c:pt idx="167" c:formatCode="#,##0.00_ ">
                  <c:v>13.25</c:v>
                </c:pt>
                <c:pt idx="168" c:formatCode="#,##0.00_ ">
                  <c:v>13.06</c:v>
                </c:pt>
                <c:pt idx="169" c:formatCode="#,##0.00_ ">
                  <c:v>13.06</c:v>
                </c:pt>
                <c:pt idx="170" c:formatCode="#,##0.00_ ">
                  <c:v>13.06</c:v>
                </c:pt>
                <c:pt idx="171" c:formatCode="#,##0.00_ ">
                  <c:v>13.03</c:v>
                </c:pt>
                <c:pt idx="172" c:formatCode="#,##0.00_ ">
                  <c:v>13.02</c:v>
                </c:pt>
                <c:pt idx="173" c:formatCode="#,##0.00_ ">
                  <c:v>12.88</c:v>
                </c:pt>
                <c:pt idx="174" c:formatCode="#,##0.00_ ">
                  <c:v>12.88</c:v>
                </c:pt>
                <c:pt idx="175" c:formatCode="#,##0.00_ ">
                  <c:v>12.89</c:v>
                </c:pt>
                <c:pt idx="176" c:formatCode="#,##0.00_ ">
                  <c:v>13.04</c:v>
                </c:pt>
                <c:pt idx="177" c:formatCode="#,##0.00_ ">
                  <c:v>13.18</c:v>
                </c:pt>
                <c:pt idx="178" c:formatCode="#,##0.00_ ">
                  <c:v>13.24</c:v>
                </c:pt>
                <c:pt idx="179" c:formatCode="#,##0.00_ ">
                  <c:v>13.32</c:v>
                </c:pt>
                <c:pt idx="180" c:formatCode="#,##0.00_ ">
                  <c:v>13.32</c:v>
                </c:pt>
                <c:pt idx="181" c:formatCode="#,##0.00_ ">
                  <c:v>13.28</c:v>
                </c:pt>
                <c:pt idx="182" c:formatCode="#,##0.00_ ">
                  <c:v>13.14</c:v>
                </c:pt>
                <c:pt idx="183" c:formatCode="#,##0.00_ ">
                  <c:v>13.11</c:v>
                </c:pt>
                <c:pt idx="184" c:formatCode="#,##0.00_ ">
                  <c:v>12.92</c:v>
                </c:pt>
                <c:pt idx="185" c:formatCode="#,##0.00_ ">
                  <c:v>12.93</c:v>
                </c:pt>
                <c:pt idx="186" c:formatCode="#,##0.00_ ">
                  <c:v>12.98</c:v>
                </c:pt>
                <c:pt idx="187" c:formatCode="#,##0.00_ ">
                  <c:v>13.09</c:v>
                </c:pt>
                <c:pt idx="188" c:formatCode="#,##0.00_ ">
                  <c:v>13.09</c:v>
                </c:pt>
                <c:pt idx="189" c:formatCode="#,##0.00_ ">
                  <c:v>13.09</c:v>
                </c:pt>
                <c:pt idx="190" c:formatCode="#,##0.00_ ">
                  <c:v>13.09</c:v>
                </c:pt>
                <c:pt idx="191" c:formatCode="#,##0.00_ ">
                  <c:v>13.11</c:v>
                </c:pt>
                <c:pt idx="192" c:formatCode="#,##0.00_ ">
                  <c:v>13.1</c:v>
                </c:pt>
                <c:pt idx="193" c:formatCode="#,##0.00_ ">
                  <c:v>13.11</c:v>
                </c:pt>
                <c:pt idx="194" c:formatCode="#,##0.00_ ">
                  <c:v>13.4</c:v>
                </c:pt>
                <c:pt idx="195" c:formatCode="#,##0.00_ ">
                  <c:v>13.47</c:v>
                </c:pt>
                <c:pt idx="196" c:formatCode="#,##0.00_ ">
                  <c:v>13.47</c:v>
                </c:pt>
                <c:pt idx="197" c:formatCode="#,##0.00_ ">
                  <c:v>12.8</c:v>
                </c:pt>
                <c:pt idx="198" c:formatCode="#,##0.00_ ">
                  <c:v>12.8</c:v>
                </c:pt>
                <c:pt idx="199" c:formatCode="#,##0.00_ ">
                  <c:v>12.82</c:v>
                </c:pt>
                <c:pt idx="200" c:formatCode="#,##0.00_ ">
                  <c:v>12.82</c:v>
                </c:pt>
                <c:pt idx="201" c:formatCode="#,##0.00_ ">
                  <c:v>12.83</c:v>
                </c:pt>
                <c:pt idx="202" c:formatCode="#,##0.00_ ">
                  <c:v>12.83</c:v>
                </c:pt>
                <c:pt idx="203" c:formatCode="#,##0.00_ ">
                  <c:v>12.83</c:v>
                </c:pt>
                <c:pt idx="204" c:formatCode="#,##0.00_ ">
                  <c:v>12.83</c:v>
                </c:pt>
                <c:pt idx="205" c:formatCode="#,##0.00_ ">
                  <c:v>12.83</c:v>
                </c:pt>
                <c:pt idx="206" c:formatCode="#,##0.00_ ">
                  <c:v>12.83</c:v>
                </c:pt>
                <c:pt idx="207" c:formatCode="#,##0.00_ ">
                  <c:v>12.15</c:v>
                </c:pt>
                <c:pt idx="208" c:formatCode="#,##0.00_ ">
                  <c:v>12.15</c:v>
                </c:pt>
                <c:pt idx="209" c:formatCode="#,##0.00_ ">
                  <c:v>12.14</c:v>
                </c:pt>
                <c:pt idx="210" c:formatCode="#,##0.00_ ">
                  <c:v>12.14</c:v>
                </c:pt>
                <c:pt idx="211" c:formatCode="#,##0.00_ ">
                  <c:v>12.14</c:v>
                </c:pt>
                <c:pt idx="212" c:formatCode="#,##0.00_ ">
                  <c:v>12.08</c:v>
                </c:pt>
                <c:pt idx="213" c:formatCode="#,##0.00_ ">
                  <c:v>12.03</c:v>
                </c:pt>
                <c:pt idx="214" c:formatCode="#,##0.00_ ">
                  <c:v>12.03</c:v>
                </c:pt>
                <c:pt idx="215" c:formatCode="#,##0.00_ ">
                  <c:v>12.05</c:v>
                </c:pt>
                <c:pt idx="216" c:formatCode="#,##0.00_ ">
                  <c:v>12.09</c:v>
                </c:pt>
                <c:pt idx="217" c:formatCode="#,##0.00_ ">
                  <c:v>12.09</c:v>
                </c:pt>
                <c:pt idx="218" c:formatCode="#,##0.00_ ">
                  <c:v>12.09</c:v>
                </c:pt>
                <c:pt idx="219" c:formatCode="#,##0.00_ ">
                  <c:v>12.13</c:v>
                </c:pt>
                <c:pt idx="220" c:formatCode="#,##0.00_ ">
                  <c:v>12.13</c:v>
                </c:pt>
                <c:pt idx="221" c:formatCode="#,##0.00_ ">
                  <c:v>12.15</c:v>
                </c:pt>
                <c:pt idx="222" c:formatCode="#,##0.00_ ">
                  <c:v>12.15</c:v>
                </c:pt>
                <c:pt idx="223" c:formatCode="#,##0.00_ ">
                  <c:v>12.18</c:v>
                </c:pt>
                <c:pt idx="224" c:formatCode="#,##0.00_ ">
                  <c:v>12.08</c:v>
                </c:pt>
                <c:pt idx="225" c:formatCode="#,##0.00_ ">
                  <c:v>12.08</c:v>
                </c:pt>
                <c:pt idx="226" c:formatCode="#,##0.00_ ">
                  <c:v>12.1</c:v>
                </c:pt>
                <c:pt idx="227" c:formatCode="#,##0.00_ ">
                  <c:v>12.1</c:v>
                </c:pt>
                <c:pt idx="228" c:formatCode="#,##0.00_ ">
                  <c:v>12.21</c:v>
                </c:pt>
                <c:pt idx="229" c:formatCode="#,##0.00_ ">
                  <c:v>12.21</c:v>
                </c:pt>
                <c:pt idx="230" c:formatCode="#,##0.00_ ">
                  <c:v>12.24</c:v>
                </c:pt>
                <c:pt idx="231" c:formatCode="#,##0.00_ ">
                  <c:v>12.25</c:v>
                </c:pt>
                <c:pt idx="232" c:formatCode="#,##0.00_ ">
                  <c:v>12.25</c:v>
                </c:pt>
                <c:pt idx="233" c:formatCode="#,##0.00_ ">
                  <c:v>12.25</c:v>
                </c:pt>
                <c:pt idx="234" c:formatCode="#,##0.00_ ">
                  <c:v>12.22</c:v>
                </c:pt>
                <c:pt idx="235" c:formatCode="#,##0.00_ ">
                  <c:v>12.22</c:v>
                </c:pt>
                <c:pt idx="236" c:formatCode="#,##0.00_ ">
                  <c:v>12.08</c:v>
                </c:pt>
                <c:pt idx="237" c:formatCode="#,##0.00_ ">
                  <c:v>12.04</c:v>
                </c:pt>
                <c:pt idx="238" c:formatCode="#,##0.00_ ">
                  <c:v>12.04</c:v>
                </c:pt>
                <c:pt idx="239" c:formatCode="#,##0.00_ ">
                  <c:v>12.01</c:v>
                </c:pt>
                <c:pt idx="240" c:formatCode="#,##0.00_ ">
                  <c:v>12.01</c:v>
                </c:pt>
                <c:pt idx="241" c:formatCode="#,##0.00_ ">
                  <c:v>11.88</c:v>
                </c:pt>
                <c:pt idx="242" c:formatCode="#,##0.00_ ">
                  <c:v>11.88</c:v>
                </c:pt>
                <c:pt idx="243" c:formatCode="#,##0.00_ ">
                  <c:v>11.88</c:v>
                </c:pt>
                <c:pt idx="244" c:formatCode="#,##0.00_ ">
                  <c:v>11.88</c:v>
                </c:pt>
                <c:pt idx="245" c:formatCode="#,##0.00_ ">
                  <c:v>11.88</c:v>
                </c:pt>
                <c:pt idx="246" c:formatCode="#,##0.00_ ">
                  <c:v>11.88</c:v>
                </c:pt>
                <c:pt idx="247" c:formatCode="#,##0.00_ ">
                  <c:v>11.88</c:v>
                </c:pt>
                <c:pt idx="248" c:formatCode="#,##0.00_ ">
                  <c:v>11.88</c:v>
                </c:pt>
                <c:pt idx="249" c:formatCode="#,##0.00_ ">
                  <c:v>11.88</c:v>
                </c:pt>
                <c:pt idx="250" c:formatCode="#,##0.00_ ">
                  <c:v>11.88</c:v>
                </c:pt>
                <c:pt idx="251" c:formatCode="#,##0.00_ ">
                  <c:v>11.88</c:v>
                </c:pt>
                <c:pt idx="252" c:formatCode="#,##0.00_ ">
                  <c:v>11.88</c:v>
                </c:pt>
                <c:pt idx="253" c:formatCode="#,##0.00_ ">
                  <c:v>11.9</c:v>
                </c:pt>
                <c:pt idx="254" c:formatCode="#,##0.00_ ">
                  <c:v>12</c:v>
                </c:pt>
                <c:pt idx="255" c:formatCode="#,##0.00_ ">
                  <c:v>12</c:v>
                </c:pt>
                <c:pt idx="256" c:formatCode="#,##0.00_ ">
                  <c:v>12.02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养殖成本预期、当期!$C$2</c:f>
              <c:strCache>
                <c:ptCount val="1"/>
                <c:pt idx="0">
                  <c:v>外购仔猪育肥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养殖成本预期、当期!$A$4:$A$402</c:f>
              <c:numCache>
                <c:formatCode>yyyy/m/d;@</c:formatCode>
                <c:ptCount val="399"/>
                <c:pt idx="0" c:formatCode="yyyy/m/d;@">
                  <c:v>44434</c:v>
                </c:pt>
                <c:pt idx="1" c:formatCode="yyyy/m/d;@">
                  <c:v>44441</c:v>
                </c:pt>
                <c:pt idx="2" c:formatCode="yyyy/m/d;@">
                  <c:v>44448</c:v>
                </c:pt>
                <c:pt idx="3" c:formatCode="yyyy/m/d;@">
                  <c:v>44455</c:v>
                </c:pt>
                <c:pt idx="4" c:formatCode="yyyy/m/d;@">
                  <c:v>44462</c:v>
                </c:pt>
                <c:pt idx="5" c:formatCode="yyyy/m/d;@">
                  <c:v>44469</c:v>
                </c:pt>
                <c:pt idx="6" c:formatCode="yyyy/m/d;@">
                  <c:v>44477</c:v>
                </c:pt>
                <c:pt idx="7" c:formatCode="yyyy/m/d;@">
                  <c:v>44483</c:v>
                </c:pt>
                <c:pt idx="8" c:formatCode="yyyy/m/d;@">
                  <c:v>44490</c:v>
                </c:pt>
                <c:pt idx="9" c:formatCode="yyyy/m/d;@">
                  <c:v>44497</c:v>
                </c:pt>
                <c:pt idx="10" c:formatCode="yyyy/m/d;@">
                  <c:v>44504</c:v>
                </c:pt>
                <c:pt idx="11" c:formatCode="yyyy/m/d;@">
                  <c:v>44511</c:v>
                </c:pt>
                <c:pt idx="12" c:formatCode="yyyy/m/d;@">
                  <c:v>44518</c:v>
                </c:pt>
                <c:pt idx="13" c:formatCode="yyyy/m/d;@">
                  <c:v>44525</c:v>
                </c:pt>
                <c:pt idx="14" c:formatCode="yyyy/m/d;@">
                  <c:v>44532</c:v>
                </c:pt>
                <c:pt idx="15" c:formatCode="yyyy/m/d;@">
                  <c:v>44539</c:v>
                </c:pt>
                <c:pt idx="16" c:formatCode="yyyy/m/d;@">
                  <c:v>44546</c:v>
                </c:pt>
                <c:pt idx="17" c:formatCode="yyyy/m/d;@">
                  <c:v>44553</c:v>
                </c:pt>
                <c:pt idx="18" c:formatCode="yyyy/m/d;@">
                  <c:v>44560</c:v>
                </c:pt>
                <c:pt idx="19" c:formatCode="yyyy/m/d;@">
                  <c:v>44567</c:v>
                </c:pt>
                <c:pt idx="20" c:formatCode="yyyy/m/d;@">
                  <c:v>44574</c:v>
                </c:pt>
                <c:pt idx="21" c:formatCode="yyyy/m/d;@">
                  <c:v>44581</c:v>
                </c:pt>
                <c:pt idx="22" c:formatCode="yyyy/m/d;@">
                  <c:v>44587</c:v>
                </c:pt>
                <c:pt idx="23" c:formatCode="yyyy/m/d;@">
                  <c:v>44602</c:v>
                </c:pt>
                <c:pt idx="24" c:formatCode="yyyy/m/d;@">
                  <c:v>44609</c:v>
                </c:pt>
                <c:pt idx="25" c:formatCode="yyyy/m/d;@">
                  <c:v>44616</c:v>
                </c:pt>
                <c:pt idx="26" c:formatCode="yyyy/m/d;@">
                  <c:v>44623</c:v>
                </c:pt>
                <c:pt idx="27" c:formatCode="yyyy/m/d;@">
                  <c:v>44630</c:v>
                </c:pt>
                <c:pt idx="28" c:formatCode="yyyy/m/d;@">
                  <c:v>44637</c:v>
                </c:pt>
                <c:pt idx="29" c:formatCode="yyyy/m/d;@">
                  <c:v>44644</c:v>
                </c:pt>
                <c:pt idx="30" c:formatCode="yyyy/m/d;@">
                  <c:v>44651</c:v>
                </c:pt>
                <c:pt idx="31" c:formatCode="yyyy/m/d;@">
                  <c:v>44658</c:v>
                </c:pt>
                <c:pt idx="32" c:formatCode="yyyy/m/d;@">
                  <c:v>44665</c:v>
                </c:pt>
                <c:pt idx="33" c:formatCode="yyyy/m/d;@">
                  <c:v>44672</c:v>
                </c:pt>
                <c:pt idx="34" c:formatCode="yyyy/m/d;@">
                  <c:v>44679</c:v>
                </c:pt>
                <c:pt idx="35" c:formatCode="yyyy/m/d;@">
                  <c:v>44686</c:v>
                </c:pt>
                <c:pt idx="36" c:formatCode="yyyy/m/d;@">
                  <c:v>44693</c:v>
                </c:pt>
                <c:pt idx="37" c:formatCode="yyyy/m/d;@">
                  <c:v>44700</c:v>
                </c:pt>
                <c:pt idx="38" c:formatCode="yyyy/m/d;@">
                  <c:v>44707</c:v>
                </c:pt>
                <c:pt idx="39" c:formatCode="yyyy/m/d;@">
                  <c:v>44714</c:v>
                </c:pt>
                <c:pt idx="40" c:formatCode="yyyy/m/d;@">
                  <c:v>44721</c:v>
                </c:pt>
                <c:pt idx="41" c:formatCode="yyyy/m/d;@">
                  <c:v>44728</c:v>
                </c:pt>
                <c:pt idx="42" c:formatCode="yyyy/m/d;@">
                  <c:v>44735</c:v>
                </c:pt>
                <c:pt idx="43" c:formatCode="yyyy/m/d;@">
                  <c:v>44742</c:v>
                </c:pt>
                <c:pt idx="44" c:formatCode="yyyy/m/d;@">
                  <c:v>44749</c:v>
                </c:pt>
                <c:pt idx="45" c:formatCode="yyyy/m/d;@">
                  <c:v>44756</c:v>
                </c:pt>
                <c:pt idx="46" c:formatCode="yyyy/m/d;@">
                  <c:v>44763</c:v>
                </c:pt>
                <c:pt idx="47" c:formatCode="yyyy/m/d;@">
                  <c:v>44770</c:v>
                </c:pt>
                <c:pt idx="48" c:formatCode="yyyy/m/d;@">
                  <c:v>44777</c:v>
                </c:pt>
                <c:pt idx="49" c:formatCode="yyyy/m/d;@">
                  <c:v>44784</c:v>
                </c:pt>
                <c:pt idx="50" c:formatCode="yyyy/m/d;@">
                  <c:v>44791</c:v>
                </c:pt>
                <c:pt idx="51" c:formatCode="yyyy/m/d;@">
                  <c:v>44798</c:v>
                </c:pt>
                <c:pt idx="52" c:formatCode="yyyy/m/d;@">
                  <c:v>44805</c:v>
                </c:pt>
                <c:pt idx="53" c:formatCode="yyyy/m/d;@">
                  <c:v>44812</c:v>
                </c:pt>
                <c:pt idx="54" c:formatCode="yyyy/m/d;@">
                  <c:v>44819</c:v>
                </c:pt>
                <c:pt idx="55" c:formatCode="yyyy/m/d;@">
                  <c:v>44826</c:v>
                </c:pt>
                <c:pt idx="56" c:formatCode="yyyy/m/d;@">
                  <c:v>44833</c:v>
                </c:pt>
                <c:pt idx="57" c:formatCode="yyyy/m/d;@">
                  <c:v>44842</c:v>
                </c:pt>
                <c:pt idx="58" c:formatCode="yyyy/m/d;@">
                  <c:v>44847</c:v>
                </c:pt>
                <c:pt idx="59" c:formatCode="yyyy/m/d;@">
                  <c:v>44854</c:v>
                </c:pt>
                <c:pt idx="60" c:formatCode="yyyy/m/d;@">
                  <c:v>44861</c:v>
                </c:pt>
                <c:pt idx="61" c:formatCode="yyyy/m/d;@">
                  <c:v>44868</c:v>
                </c:pt>
                <c:pt idx="62" c:formatCode="yyyy/m/d;@">
                  <c:v>44875</c:v>
                </c:pt>
                <c:pt idx="63" c:formatCode="yyyy/m/d;@">
                  <c:v>44882</c:v>
                </c:pt>
                <c:pt idx="64" c:formatCode="yyyy/m/d;@">
                  <c:v>44889</c:v>
                </c:pt>
                <c:pt idx="65" c:formatCode="yyyy/m/d;@">
                  <c:v>44896</c:v>
                </c:pt>
                <c:pt idx="66" c:formatCode="yyyy/m/d;@">
                  <c:v>44903</c:v>
                </c:pt>
                <c:pt idx="67" c:formatCode="yyyy/m/d;@">
                  <c:v>44910</c:v>
                </c:pt>
                <c:pt idx="68" c:formatCode="yyyy/m/d;@">
                  <c:v>44917</c:v>
                </c:pt>
                <c:pt idx="69" c:formatCode="yyyy/m/d;@">
                  <c:v>44924</c:v>
                </c:pt>
                <c:pt idx="70" c:formatCode="yyyy/m/d;@">
                  <c:v>44931</c:v>
                </c:pt>
                <c:pt idx="71" c:formatCode="yyyy/m/d;@">
                  <c:v>44938</c:v>
                </c:pt>
                <c:pt idx="72" c:formatCode="yyyy/m/d;@">
                  <c:v>44959</c:v>
                </c:pt>
                <c:pt idx="73" c:formatCode="yyyy/m/d;@">
                  <c:v>44966</c:v>
                </c:pt>
                <c:pt idx="74" c:formatCode="yyyy/m/d;@">
                  <c:v>44973</c:v>
                </c:pt>
                <c:pt idx="75" c:formatCode="yyyy/m/d;@">
                  <c:v>44980</c:v>
                </c:pt>
                <c:pt idx="76" c:formatCode="yyyy/m/d;@">
                  <c:v>44987</c:v>
                </c:pt>
                <c:pt idx="77" c:formatCode="yyyy/m/d;@">
                  <c:v>44994</c:v>
                </c:pt>
                <c:pt idx="78" c:formatCode="yyyy/m/d;@">
                  <c:v>45001</c:v>
                </c:pt>
                <c:pt idx="79" c:formatCode="yyyy/m/d;@">
                  <c:v>45008</c:v>
                </c:pt>
                <c:pt idx="80" c:formatCode="yyyy/m/d;@">
                  <c:v>45015</c:v>
                </c:pt>
                <c:pt idx="81" c:formatCode="yyyy/m/d;@">
                  <c:v>45022</c:v>
                </c:pt>
                <c:pt idx="82" c:formatCode="yyyy/m/d;@">
                  <c:v>45029</c:v>
                </c:pt>
                <c:pt idx="83" c:formatCode="yyyy/m/d;@">
                  <c:v>45036</c:v>
                </c:pt>
                <c:pt idx="84" c:formatCode="yyyy/m/d;@">
                  <c:v>45043</c:v>
                </c:pt>
                <c:pt idx="85" c:formatCode="yyyy/m/d;@">
                  <c:v>45050</c:v>
                </c:pt>
                <c:pt idx="86" c:formatCode="yyyy/m/d;@">
                  <c:v>45057</c:v>
                </c:pt>
                <c:pt idx="87" c:formatCode="yyyy/m/d;@">
                  <c:v>45064</c:v>
                </c:pt>
                <c:pt idx="88" c:formatCode="yyyy/m/d;@">
                  <c:v>45071</c:v>
                </c:pt>
                <c:pt idx="89" c:formatCode="yyyy/m/d;@">
                  <c:v>45078</c:v>
                </c:pt>
                <c:pt idx="90" c:formatCode="yyyy/m/d;@">
                  <c:v>45085</c:v>
                </c:pt>
                <c:pt idx="91" c:formatCode="yyyy/m/d;@">
                  <c:v>45092</c:v>
                </c:pt>
                <c:pt idx="92" c:formatCode="yyyy/m/d;@">
                  <c:v>45098</c:v>
                </c:pt>
                <c:pt idx="93" c:formatCode="yyyy/m/d;@">
                  <c:v>45106</c:v>
                </c:pt>
                <c:pt idx="94" c:formatCode="yyyy/m/d;@">
                  <c:v>45113</c:v>
                </c:pt>
                <c:pt idx="95" c:formatCode="yyyy/m/d;@">
                  <c:v>45120</c:v>
                </c:pt>
                <c:pt idx="96" c:formatCode="yyyy/m/d;@">
                  <c:v>45127</c:v>
                </c:pt>
                <c:pt idx="97" c:formatCode="yyyy/m/d;@">
                  <c:v>45134</c:v>
                </c:pt>
                <c:pt idx="98" c:formatCode="yyyy/m/d;@">
                  <c:v>45141</c:v>
                </c:pt>
                <c:pt idx="99" c:formatCode="yyyy/m/d;@">
                  <c:v>45148</c:v>
                </c:pt>
                <c:pt idx="100" c:formatCode="yyyy/m/d;@">
                  <c:v>45155</c:v>
                </c:pt>
                <c:pt idx="101" c:formatCode="yyyy/m/d;@">
                  <c:v>45162</c:v>
                </c:pt>
                <c:pt idx="102" c:formatCode="yyyy/m/d;@">
                  <c:v>45169</c:v>
                </c:pt>
                <c:pt idx="103" c:formatCode="yyyy/m/d;@">
                  <c:v>45176</c:v>
                </c:pt>
                <c:pt idx="104" c:formatCode="yyyy/m/d;@">
                  <c:v>45183</c:v>
                </c:pt>
                <c:pt idx="105" c:formatCode="yyyy/m/d;@">
                  <c:v>45190</c:v>
                </c:pt>
                <c:pt idx="106" c:formatCode="yyyy/m/d;@">
                  <c:v>45197</c:v>
                </c:pt>
                <c:pt idx="107" c:formatCode="yyyy/m/d;@">
                  <c:v>45205</c:v>
                </c:pt>
                <c:pt idx="108" c:formatCode="yyyy/m/d;@">
                  <c:v>45211</c:v>
                </c:pt>
                <c:pt idx="109" c:formatCode="yyyy/m/d;@">
                  <c:v>45218</c:v>
                </c:pt>
                <c:pt idx="110" c:formatCode="yyyy/m/d;@">
                  <c:v>45225</c:v>
                </c:pt>
                <c:pt idx="111" c:formatCode="yyyy/m/d;@">
                  <c:v>45232</c:v>
                </c:pt>
                <c:pt idx="112" c:formatCode="yyyy/m/d;@">
                  <c:v>45239</c:v>
                </c:pt>
                <c:pt idx="113" c:formatCode="yyyy/m/d;@">
                  <c:v>45246</c:v>
                </c:pt>
                <c:pt idx="114" c:formatCode="yyyy/m/d;@">
                  <c:v>45253</c:v>
                </c:pt>
                <c:pt idx="115" c:formatCode="yyyy/m/d;@">
                  <c:v>45260</c:v>
                </c:pt>
                <c:pt idx="116" c:formatCode="yyyy/m/d;@">
                  <c:v>45267</c:v>
                </c:pt>
                <c:pt idx="117" c:formatCode="yyyy/m/d;@">
                  <c:v>45274</c:v>
                </c:pt>
                <c:pt idx="118" c:formatCode="yyyy/m/d;@">
                  <c:v>45281</c:v>
                </c:pt>
                <c:pt idx="119" c:formatCode="yyyy/m/d;@">
                  <c:v>45288</c:v>
                </c:pt>
                <c:pt idx="120" c:formatCode="yyyy/m/d;@">
                  <c:v>45295</c:v>
                </c:pt>
                <c:pt idx="121" c:formatCode="yyyy/m/d;@">
                  <c:v>45302</c:v>
                </c:pt>
                <c:pt idx="122" c:formatCode="yyyy/m/d;@">
                  <c:v>45309</c:v>
                </c:pt>
                <c:pt idx="123" c:formatCode="yyyy/m/d;@">
                  <c:v>45316</c:v>
                </c:pt>
                <c:pt idx="124" c:formatCode="yyyy/m/d;@">
                  <c:v>45323</c:v>
                </c:pt>
                <c:pt idx="125" c:formatCode="yyyy/m/d;@">
                  <c:v>45344</c:v>
                </c:pt>
                <c:pt idx="126" c:formatCode="yyyy/m/d;@">
                  <c:v>45351</c:v>
                </c:pt>
                <c:pt idx="127" c:formatCode="yyyy/m/d;@">
                  <c:v>45358</c:v>
                </c:pt>
                <c:pt idx="128" c:formatCode="yyyy/m/d;@">
                  <c:v>45365</c:v>
                </c:pt>
                <c:pt idx="129" c:formatCode="yyyy/m/d;@">
                  <c:v>45372</c:v>
                </c:pt>
                <c:pt idx="130" c:formatCode="yyyy/m/d;@">
                  <c:v>45379</c:v>
                </c:pt>
                <c:pt idx="131" c:formatCode="yyyy/m/d;@">
                  <c:v>45385</c:v>
                </c:pt>
                <c:pt idx="132" c:formatCode="yyyy/m/d;@">
                  <c:v>45393</c:v>
                </c:pt>
                <c:pt idx="133" c:formatCode="yyyy/m/d;@">
                  <c:v>45400</c:v>
                </c:pt>
                <c:pt idx="134" c:formatCode="yyyy/m/d;@">
                  <c:v>45407</c:v>
                </c:pt>
                <c:pt idx="135" c:formatCode="yyyy/m/d;@">
                  <c:v>45414</c:v>
                </c:pt>
                <c:pt idx="136" c:formatCode="yyyy/m/d;@">
                  <c:v>45421</c:v>
                </c:pt>
                <c:pt idx="137" c:formatCode="yyyy/m/d;@">
                  <c:v>45428</c:v>
                </c:pt>
                <c:pt idx="138" c:formatCode="yyyy/m/d;@">
                  <c:v>45435</c:v>
                </c:pt>
                <c:pt idx="139" c:formatCode="yyyy/m/d;@">
                  <c:v>45442</c:v>
                </c:pt>
                <c:pt idx="140" c:formatCode="yyyy/m/d;@">
                  <c:v>45449</c:v>
                </c:pt>
                <c:pt idx="141" c:formatCode="yyyy/m/d;@">
                  <c:v>45456</c:v>
                </c:pt>
                <c:pt idx="142" c:formatCode="yyyy/m/d;@">
                  <c:v>45463</c:v>
                </c:pt>
                <c:pt idx="143" c:formatCode="yyyy/m/d;@">
                  <c:v>45470</c:v>
                </c:pt>
                <c:pt idx="144" c:formatCode="yyyy/m/d;@">
                  <c:v>45477</c:v>
                </c:pt>
                <c:pt idx="145" c:formatCode="yyyy/m/d;@">
                  <c:v>45484</c:v>
                </c:pt>
                <c:pt idx="146" c:formatCode="yyyy/m/d;@">
                  <c:v>45491</c:v>
                </c:pt>
                <c:pt idx="147" c:formatCode="yyyy/m/d;@">
                  <c:v>45498</c:v>
                </c:pt>
                <c:pt idx="148" c:formatCode="yyyy/m/d;@">
                  <c:v>45505</c:v>
                </c:pt>
                <c:pt idx="149" c:formatCode="yyyy/m/d;@">
                  <c:v>45512</c:v>
                </c:pt>
                <c:pt idx="150" c:formatCode="yyyy/m/d;@">
                  <c:v>45519</c:v>
                </c:pt>
                <c:pt idx="151" c:formatCode="yyyy/m/d;@">
                  <c:v>45526</c:v>
                </c:pt>
                <c:pt idx="152" c:formatCode="yyyy/m/d;@">
                  <c:v>45533</c:v>
                </c:pt>
                <c:pt idx="153" c:formatCode="yyyy/m/d;@">
                  <c:v>45540</c:v>
                </c:pt>
                <c:pt idx="154" c:formatCode="yyyy/m/d;@">
                  <c:v>45547</c:v>
                </c:pt>
                <c:pt idx="155" c:formatCode="yyyy/m/d;@">
                  <c:v>45554</c:v>
                </c:pt>
                <c:pt idx="156" c:formatCode="yyyy/m/d;@">
                  <c:v>45561</c:v>
                </c:pt>
                <c:pt idx="157" c:formatCode="yyyy/m/d;@">
                  <c:v>45575</c:v>
                </c:pt>
                <c:pt idx="158" c:formatCode="yyyy/m/d;@">
                  <c:v>45582</c:v>
                </c:pt>
                <c:pt idx="159" c:formatCode="yyyy/m/d;@">
                  <c:v>45589</c:v>
                </c:pt>
                <c:pt idx="160" c:formatCode="yyyy/m/d;@">
                  <c:v>45596</c:v>
                </c:pt>
                <c:pt idx="161" c:formatCode="yyyy/m/d;@">
                  <c:v>45603</c:v>
                </c:pt>
                <c:pt idx="162" c:formatCode="yyyy/m/d;@">
                  <c:v>45610</c:v>
                </c:pt>
                <c:pt idx="163" c:formatCode="yyyy/m/d;@">
                  <c:v>45617</c:v>
                </c:pt>
                <c:pt idx="164" c:formatCode="yyyy/m/d;@">
                  <c:v>45624</c:v>
                </c:pt>
                <c:pt idx="165" c:formatCode="yyyy/m/d;@">
                  <c:v>45631</c:v>
                </c:pt>
                <c:pt idx="166" c:formatCode="yyyy/m/d;@">
                  <c:v>45638</c:v>
                </c:pt>
                <c:pt idx="167" c:formatCode="yyyy/m/d;@">
                  <c:v>45645</c:v>
                </c:pt>
                <c:pt idx="168" c:formatCode="yyyy/m/d;@">
                  <c:v>45652</c:v>
                </c:pt>
                <c:pt idx="169" c:formatCode="yyyy/m/d;@">
                  <c:v>45659</c:v>
                </c:pt>
                <c:pt idx="170" c:formatCode="yyyy/m/d;@">
                  <c:v>45666</c:v>
                </c:pt>
                <c:pt idx="171" c:formatCode="yyyy/m/d;@">
                  <c:v>45673</c:v>
                </c:pt>
                <c:pt idx="172" c:formatCode="yyyy/m/d;@">
                  <c:v>45680</c:v>
                </c:pt>
                <c:pt idx="173" c:formatCode="yyyy/m/d;@">
                  <c:v>45694</c:v>
                </c:pt>
                <c:pt idx="174" c:formatCode="yyyy/m/d;@">
                  <c:v>45701</c:v>
                </c:pt>
                <c:pt idx="175" c:formatCode="yyyy/m/d;@">
                  <c:v>45708</c:v>
                </c:pt>
                <c:pt idx="176" c:formatCode="yyyy/m/d;@">
                  <c:v>45715</c:v>
                </c:pt>
                <c:pt idx="177" c:formatCode="yyyy/m/d;@">
                  <c:v>45722</c:v>
                </c:pt>
                <c:pt idx="178" c:formatCode="yyyy/m/d;@">
                  <c:v>45729</c:v>
                </c:pt>
                <c:pt idx="179" c:formatCode="yyyy/m/d;@">
                  <c:v>45736</c:v>
                </c:pt>
                <c:pt idx="180" c:formatCode="yyyy/m/d;@">
                  <c:v>45743</c:v>
                </c:pt>
                <c:pt idx="181" c:formatCode="yyyy/m/d;@">
                  <c:v>45750</c:v>
                </c:pt>
                <c:pt idx="182" c:formatCode="yyyy/m/d;@">
                  <c:v>45757</c:v>
                </c:pt>
                <c:pt idx="183" c:formatCode="yyyy/m/d;@">
                  <c:v>45764</c:v>
                </c:pt>
                <c:pt idx="184" c:formatCode="yyyy/m/d;@">
                  <c:v>45771</c:v>
                </c:pt>
                <c:pt idx="185" c:formatCode="yyyy/m/d;@">
                  <c:v>45777</c:v>
                </c:pt>
                <c:pt idx="186" c:formatCode="yyyy/m/d;@">
                  <c:v>45785</c:v>
                </c:pt>
                <c:pt idx="187" c:formatCode="yyyy/m/d;@">
                  <c:v>45792</c:v>
                </c:pt>
                <c:pt idx="188" c:formatCode="yyyy/m/d;@">
                  <c:v>45799</c:v>
                </c:pt>
                <c:pt idx="189" c:formatCode="yyyy/m/d;@">
                  <c:v>45806</c:v>
                </c:pt>
                <c:pt idx="190" c:formatCode="yyyy/m/d;@">
                  <c:v>45813</c:v>
                </c:pt>
                <c:pt idx="191" c:formatCode="yyyy/m/d;@">
                  <c:v>45820</c:v>
                </c:pt>
                <c:pt idx="192" c:formatCode="yyyy/m/d;@">
                  <c:v>45827</c:v>
                </c:pt>
                <c:pt idx="193" c:formatCode="yyyy/m/d;@">
                  <c:v>45834</c:v>
                </c:pt>
                <c:pt idx="194" c:formatCode="yyyy/m/d;@">
                  <c:v>45841</c:v>
                </c:pt>
                <c:pt idx="195" c:formatCode="yyyy/m/d;@">
                  <c:v>45848</c:v>
                </c:pt>
                <c:pt idx="196" c:formatCode="yyyy/m/d;@">
                  <c:v>45855</c:v>
                </c:pt>
                <c:pt idx="197" c:formatCode="yyyy/m/d;@">
                  <c:v>45862</c:v>
                </c:pt>
                <c:pt idx="198" c:formatCode="yyyy/m/d;@">
                  <c:v>45869</c:v>
                </c:pt>
                <c:pt idx="199" c:formatCode="yyyy/m/d;@">
                  <c:v>45876</c:v>
                </c:pt>
                <c:pt idx="200" c:formatCode="yyyy/m/d;@">
                  <c:v>45883</c:v>
                </c:pt>
                <c:pt idx="201" c:formatCode="yyyy/m/d;@">
                  <c:v>45890</c:v>
                </c:pt>
                <c:pt idx="202" c:formatCode="yyyy/m/d;@">
                  <c:v>45897</c:v>
                </c:pt>
                <c:pt idx="203" c:formatCode="yyyy/m/d;@">
                  <c:v>45904</c:v>
                </c:pt>
                <c:pt idx="204" c:formatCode="yyyy/m/d;@">
                  <c:v>45911</c:v>
                </c:pt>
                <c:pt idx="205" c:formatCode="yyyy/m/d;@">
                  <c:v>45918</c:v>
                </c:pt>
                <c:pt idx="206" c:formatCode="yyyy/m/d;@">
                  <c:v>45925</c:v>
                </c:pt>
                <c:pt idx="207" c:formatCode="yyyy/m/d;@">
                  <c:v>45939</c:v>
                </c:pt>
                <c:pt idx="208" c:formatCode="yyyy/m/d;@">
                  <c:v>45946</c:v>
                </c:pt>
                <c:pt idx="209" c:formatCode="yyyy/m/d;@">
                  <c:v>45953</c:v>
                </c:pt>
                <c:pt idx="210" c:formatCode="yyyy/m/d;@">
                  <c:v>45960</c:v>
                </c:pt>
                <c:pt idx="211" c:formatCode="yyyy/m/d;@">
                  <c:v>45967</c:v>
                </c:pt>
                <c:pt idx="212" c:formatCode="yyyy/m/d;@">
                  <c:v>45974</c:v>
                </c:pt>
                <c:pt idx="213" c:formatCode="yyyy/m/d;@">
                  <c:v>45981</c:v>
                </c:pt>
                <c:pt idx="214" c:formatCode="yyyy/m/d;@">
                  <c:v>45988</c:v>
                </c:pt>
                <c:pt idx="215" c:formatCode="yyyy/m/d;@">
                  <c:v>45995</c:v>
                </c:pt>
                <c:pt idx="216" c:formatCode="yyyy/m/d;@">
                  <c:v>46002</c:v>
                </c:pt>
                <c:pt idx="217" c:formatCode="yyyy/m/d;@">
                  <c:v>46009</c:v>
                </c:pt>
                <c:pt idx="218" c:formatCode="yyyy/m/d;@">
                  <c:v>46016</c:v>
                </c:pt>
                <c:pt idx="219" c:formatCode="yyyy/m/d;@">
                  <c:v>46023</c:v>
                </c:pt>
                <c:pt idx="220" c:formatCode="yyyy/m/d;@">
                  <c:v>46030</c:v>
                </c:pt>
                <c:pt idx="221" c:formatCode="yyyy/m/d;@">
                  <c:v>46037</c:v>
                </c:pt>
                <c:pt idx="222" c:formatCode="yyyy/m/d;@">
                  <c:v>46044</c:v>
                </c:pt>
                <c:pt idx="223" c:formatCode="yyyy/m/d;@">
                  <c:v>46051</c:v>
                </c:pt>
                <c:pt idx="224" c:formatCode="yyyy/m/d;@">
                  <c:v>46058</c:v>
                </c:pt>
                <c:pt idx="225" c:formatCode="yyyy/m/d;@">
                  <c:v>46065</c:v>
                </c:pt>
                <c:pt idx="226" c:formatCode="yyyy/m/d;@">
                  <c:v>46079</c:v>
                </c:pt>
                <c:pt idx="227" c:formatCode="yyyy/m/d;@">
                  <c:v>46086</c:v>
                </c:pt>
                <c:pt idx="228" c:formatCode="yyyy/m/d;@">
                  <c:v>46093</c:v>
                </c:pt>
                <c:pt idx="229" c:formatCode="yyyy/m/d;@">
                  <c:v>46100</c:v>
                </c:pt>
                <c:pt idx="230" c:formatCode="yyyy/m/d;@">
                  <c:v>46107</c:v>
                </c:pt>
                <c:pt idx="231" c:formatCode="yyyy/m/d;@">
                  <c:v>46114</c:v>
                </c:pt>
                <c:pt idx="232" c:formatCode="yyyy/m/d;@">
                  <c:v>46121</c:v>
                </c:pt>
                <c:pt idx="233" c:formatCode="yyyy/m/d;@">
                  <c:v>46128</c:v>
                </c:pt>
                <c:pt idx="234" c:formatCode="yyyy/m/d;@">
                  <c:v>46135</c:v>
                </c:pt>
                <c:pt idx="235" c:formatCode="yyyy/m/d;@">
                  <c:v>46142</c:v>
                </c:pt>
                <c:pt idx="236" c:formatCode="yyyy/m/d;@">
                  <c:v>46149</c:v>
                </c:pt>
                <c:pt idx="237" c:formatCode="yyyy/m/d;@">
                  <c:v>46156</c:v>
                </c:pt>
                <c:pt idx="238" c:formatCode="yyyy/m/d;@">
                  <c:v>46163</c:v>
                </c:pt>
                <c:pt idx="239" c:formatCode="yyyy/m/d;@">
                  <c:v>46170</c:v>
                </c:pt>
                <c:pt idx="240" c:formatCode="yyyy/m/d;@">
                  <c:v>46177</c:v>
                </c:pt>
                <c:pt idx="241" c:formatCode="yyyy/m/d;@">
                  <c:v>46184</c:v>
                </c:pt>
                <c:pt idx="242" c:formatCode="yyyy/m/d;@">
                  <c:v>46191</c:v>
                </c:pt>
                <c:pt idx="243" c:formatCode="yyyy/m/d;@">
                  <c:v>46198</c:v>
                </c:pt>
                <c:pt idx="244" c:formatCode="yyyy/m/d;@">
                  <c:v>46205</c:v>
                </c:pt>
                <c:pt idx="245" c:formatCode="yyyy/m/d;@">
                  <c:v>46212</c:v>
                </c:pt>
                <c:pt idx="246" c:formatCode="yyyy/m/d;@">
                  <c:v>46219</c:v>
                </c:pt>
                <c:pt idx="247" c:formatCode="yyyy/m/d;@">
                  <c:v>46226</c:v>
                </c:pt>
                <c:pt idx="248" c:formatCode="yyyy/m/d;@">
                  <c:v>46233</c:v>
                </c:pt>
                <c:pt idx="249" c:formatCode="yyyy/m/d;@">
                  <c:v>46240</c:v>
                </c:pt>
                <c:pt idx="250" c:formatCode="yyyy/m/d;@">
                  <c:v>46247</c:v>
                </c:pt>
                <c:pt idx="251" c:formatCode="yyyy/m/d;@">
                  <c:v>46254</c:v>
                </c:pt>
                <c:pt idx="252" c:formatCode="yyyy/m/d;@">
                  <c:v>46261</c:v>
                </c:pt>
                <c:pt idx="253" c:formatCode="yyyy/m/d;@">
                  <c:v>46268</c:v>
                </c:pt>
                <c:pt idx="254" c:formatCode="yyyy/m/d;@">
                  <c:v>46275</c:v>
                </c:pt>
                <c:pt idx="255" c:formatCode="yyyy/m/d;@">
                  <c:v>46282</c:v>
                </c:pt>
                <c:pt idx="256" c:formatCode="yyyy/m/d;@">
                  <c:v>46289</c:v>
                </c:pt>
              </c:numCache>
            </c:numRef>
          </c:cat>
          <c:val>
            <c:numRef>
              <c:f>养殖成本预期、当期!$C$4:$C$402</c:f>
              <c:numCache>
                <c:formatCode>0.00_);[Red]\(0.00\)</c:formatCode>
                <c:ptCount val="399"/>
                <c:pt idx="0">
                  <c:v>14.04</c:v>
                </c:pt>
                <c:pt idx="1">
                  <c:v>14.04</c:v>
                </c:pt>
                <c:pt idx="2">
                  <c:v>13.5</c:v>
                </c:pt>
                <c:pt idx="3">
                  <c:v>12.33</c:v>
                </c:pt>
                <c:pt idx="4">
                  <c:v>12.71</c:v>
                </c:pt>
                <c:pt idx="5">
                  <c:v>12.67</c:v>
                </c:pt>
                <c:pt idx="6">
                  <c:v>12.37</c:v>
                </c:pt>
                <c:pt idx="7">
                  <c:v>12.37</c:v>
                </c:pt>
                <c:pt idx="8">
                  <c:v>12.55</c:v>
                </c:pt>
                <c:pt idx="9">
                  <c:v>12.64</c:v>
                </c:pt>
                <c:pt idx="10">
                  <c:v>14.22</c:v>
                </c:pt>
                <c:pt idx="11">
                  <c:v>14.36</c:v>
                </c:pt>
                <c:pt idx="12">
                  <c:v>14.55</c:v>
                </c:pt>
                <c:pt idx="13">
                  <c:v>14.48</c:v>
                </c:pt>
                <c:pt idx="14">
                  <c:v>13.47</c:v>
                </c:pt>
                <c:pt idx="15">
                  <c:v>13.64</c:v>
                </c:pt>
                <c:pt idx="16">
                  <c:v>14.21</c:v>
                </c:pt>
                <c:pt idx="17">
                  <c:v>14.21</c:v>
                </c:pt>
                <c:pt idx="18">
                  <c:v>14.21</c:v>
                </c:pt>
                <c:pt idx="19">
                  <c:v>14.46</c:v>
                </c:pt>
                <c:pt idx="20">
                  <c:v>15.75</c:v>
                </c:pt>
                <c:pt idx="21">
                  <c:v>14.67</c:v>
                </c:pt>
                <c:pt idx="22">
                  <c:v>14.67</c:v>
                </c:pt>
                <c:pt idx="23">
                  <c:v>14.45</c:v>
                </c:pt>
                <c:pt idx="24">
                  <c:v>14.36</c:v>
                </c:pt>
                <c:pt idx="25">
                  <c:v>14.5</c:v>
                </c:pt>
                <c:pt idx="26">
                  <c:v>14.88</c:v>
                </c:pt>
                <c:pt idx="27">
                  <c:v>14.96</c:v>
                </c:pt>
                <c:pt idx="28">
                  <c:v>15.14</c:v>
                </c:pt>
                <c:pt idx="29">
                  <c:v>15.21</c:v>
                </c:pt>
                <c:pt idx="30">
                  <c:v>15.3</c:v>
                </c:pt>
                <c:pt idx="31">
                  <c:v>15.17</c:v>
                </c:pt>
                <c:pt idx="32">
                  <c:v>15.53</c:v>
                </c:pt>
                <c:pt idx="33">
                  <c:v>15.67</c:v>
                </c:pt>
                <c:pt idx="34">
                  <c:v>16.66</c:v>
                </c:pt>
                <c:pt idx="35">
                  <c:v>17.54</c:v>
                </c:pt>
                <c:pt idx="36">
                  <c:v>17.54</c:v>
                </c:pt>
                <c:pt idx="37">
                  <c:v>17.9</c:v>
                </c:pt>
                <c:pt idx="38">
                  <c:v>17.9</c:v>
                </c:pt>
                <c:pt idx="39" c:formatCode="0.00_ ">
                  <c:v>18.18</c:v>
                </c:pt>
                <c:pt idx="40" c:formatCode="0.00_ ">
                  <c:v>17.93</c:v>
                </c:pt>
                <c:pt idx="41" c:formatCode="0.00_ ">
                  <c:v>17.93</c:v>
                </c:pt>
                <c:pt idx="42" c:formatCode="0.00_ ">
                  <c:v>17.93</c:v>
                </c:pt>
                <c:pt idx="43" c:formatCode="0.00_ ">
                  <c:v>17.68</c:v>
                </c:pt>
                <c:pt idx="44" c:formatCode="0.00_ ">
                  <c:v>18.44</c:v>
                </c:pt>
                <c:pt idx="45" c:formatCode="0.00_ ">
                  <c:v>18.48</c:v>
                </c:pt>
                <c:pt idx="46" c:formatCode="0.00_ ">
                  <c:v>18.79</c:v>
                </c:pt>
                <c:pt idx="47" c:formatCode="0.00_ ">
                  <c:v>18.78</c:v>
                </c:pt>
                <c:pt idx="48" c:formatCode="0.00_ ">
                  <c:v>18.39</c:v>
                </c:pt>
                <c:pt idx="49" c:formatCode="0.00_ ">
                  <c:v>18.39</c:v>
                </c:pt>
                <c:pt idx="50" c:formatCode="0.00_ ">
                  <c:v>18.03</c:v>
                </c:pt>
                <c:pt idx="51" c:formatCode="0.00_ ">
                  <c:v>17.23</c:v>
                </c:pt>
                <c:pt idx="52" c:formatCode="0.00_ ">
                  <c:v>17.18</c:v>
                </c:pt>
                <c:pt idx="53" c:formatCode="0.00_ ">
                  <c:v>17.14</c:v>
                </c:pt>
                <c:pt idx="54" c:formatCode="0.00_ ">
                  <c:v>17.22</c:v>
                </c:pt>
                <c:pt idx="55" c:formatCode="0.00_ ">
                  <c:v>17.34</c:v>
                </c:pt>
                <c:pt idx="56" c:formatCode="0.00_ ">
                  <c:v>17.45</c:v>
                </c:pt>
                <c:pt idx="57" c:formatCode="0.00_ ">
                  <c:v>17.54</c:v>
                </c:pt>
                <c:pt idx="58" c:formatCode="0.00_ ">
                  <c:v>18.11</c:v>
                </c:pt>
                <c:pt idx="59" c:formatCode="0.00_ ">
                  <c:v>18.92</c:v>
                </c:pt>
                <c:pt idx="60" c:formatCode="0.00_ ">
                  <c:v>19.01</c:v>
                </c:pt>
                <c:pt idx="61" c:formatCode="0.00_ ">
                  <c:v>19.01</c:v>
                </c:pt>
                <c:pt idx="62" c:formatCode="0.00_ ">
                  <c:v>18.93</c:v>
                </c:pt>
                <c:pt idx="63" c:formatCode="0.00_ ">
                  <c:v>19.03</c:v>
                </c:pt>
                <c:pt idx="64" c:formatCode="0.00_ ">
                  <c:v>18.75</c:v>
                </c:pt>
                <c:pt idx="65" c:formatCode="0.00_ ">
                  <c:v>18.51</c:v>
                </c:pt>
                <c:pt idx="66" c:formatCode="0.00_ ">
                  <c:v>18.31</c:v>
                </c:pt>
                <c:pt idx="67" c:formatCode="0.00_ ">
                  <c:v>17.65</c:v>
                </c:pt>
                <c:pt idx="68" c:formatCode="0.00_ ">
                  <c:v>17.51</c:v>
                </c:pt>
                <c:pt idx="69" c:formatCode="#,##0.00_ ">
                  <c:v>17.46</c:v>
                </c:pt>
                <c:pt idx="70" c:formatCode="#,##0.00_ ">
                  <c:v>17.36</c:v>
                </c:pt>
                <c:pt idx="71" c:formatCode="#,##0.00_ ">
                  <c:v>16.96</c:v>
                </c:pt>
                <c:pt idx="72" c:formatCode="#,##0.00_ ">
                  <c:v>17.23</c:v>
                </c:pt>
                <c:pt idx="73" c:formatCode="#,##0.00_ ">
                  <c:v>17.44</c:v>
                </c:pt>
                <c:pt idx="74" c:formatCode="#,##0.00_ ">
                  <c:v>17.32</c:v>
                </c:pt>
                <c:pt idx="75" c:formatCode="#,##0.00_ ">
                  <c:v>17.26</c:v>
                </c:pt>
                <c:pt idx="76" c:formatCode="#,##0.00_ ">
                  <c:v>17.94</c:v>
                </c:pt>
                <c:pt idx="77" c:formatCode="#,##0.00_ ">
                  <c:v>17.94</c:v>
                </c:pt>
                <c:pt idx="78" c:formatCode="#,##0.00_ ">
                  <c:v>17.85</c:v>
                </c:pt>
                <c:pt idx="79" c:formatCode="#,##0.00_ ">
                  <c:v>17.78</c:v>
                </c:pt>
                <c:pt idx="80" c:formatCode="#,##0.00_ ">
                  <c:v>17.48</c:v>
                </c:pt>
                <c:pt idx="81" c:formatCode="#,##0.00_ ">
                  <c:v>17.44</c:v>
                </c:pt>
                <c:pt idx="82" c:formatCode="#,##0.00_ ">
                  <c:v>17.4</c:v>
                </c:pt>
                <c:pt idx="83" c:formatCode="#,##0.00_ ">
                  <c:v>17.4</c:v>
                </c:pt>
                <c:pt idx="84" c:formatCode="#,##0.00_ ">
                  <c:v>17.34</c:v>
                </c:pt>
                <c:pt idx="85" c:formatCode="#,##0.00_ ">
                  <c:v>17.5</c:v>
                </c:pt>
                <c:pt idx="86" c:formatCode="#,##0.00_ ">
                  <c:v>17.63</c:v>
                </c:pt>
                <c:pt idx="87" c:formatCode="#,##0.00_ ">
                  <c:v>17.72</c:v>
                </c:pt>
                <c:pt idx="88" c:formatCode="#,##0.00_ ">
                  <c:v>17.72</c:v>
                </c:pt>
                <c:pt idx="89" c:formatCode="#,##0.00_ ">
                  <c:v>17.53</c:v>
                </c:pt>
                <c:pt idx="90" c:formatCode="#,##0.00_ ">
                  <c:v>17.15</c:v>
                </c:pt>
                <c:pt idx="91" c:formatCode="#,##0.00_ ">
                  <c:v>17.07</c:v>
                </c:pt>
                <c:pt idx="92" c:formatCode="#,##0.00_ ">
                  <c:v>17.01</c:v>
                </c:pt>
                <c:pt idx="93" c:formatCode="#,##0.00_ ">
                  <c:v>17.07</c:v>
                </c:pt>
                <c:pt idx="94" c:formatCode="#,##0.00_ ">
                  <c:v>16.35</c:v>
                </c:pt>
                <c:pt idx="95" c:formatCode="#,##0.00_ ">
                  <c:v>15.81</c:v>
                </c:pt>
                <c:pt idx="96" c:formatCode="#,##0.00_ ">
                  <c:v>15.75</c:v>
                </c:pt>
                <c:pt idx="97" c:formatCode="#,##0.00_ ">
                  <c:v>15.86</c:v>
                </c:pt>
                <c:pt idx="98" c:formatCode="#,##0.00_ ">
                  <c:v>15.89</c:v>
                </c:pt>
                <c:pt idx="99" c:formatCode="#,##0.00_ ">
                  <c:v>15.93</c:v>
                </c:pt>
                <c:pt idx="100" c:formatCode="#,##0.00_ ">
                  <c:v>16.18</c:v>
                </c:pt>
                <c:pt idx="101" c:formatCode="#,##0.00_ ">
                  <c:v>15.91</c:v>
                </c:pt>
                <c:pt idx="102" c:formatCode="#,##0.00_ ">
                  <c:v>15.83</c:v>
                </c:pt>
                <c:pt idx="103" c:formatCode="#,##0.00_ ">
                  <c:v>15.62</c:v>
                </c:pt>
                <c:pt idx="104" c:formatCode="#,##0.00_ ">
                  <c:v>15.41</c:v>
                </c:pt>
                <c:pt idx="105" c:formatCode="#,##0.00_ ">
                  <c:v>15.32</c:v>
                </c:pt>
                <c:pt idx="106" c:formatCode="#,##0.00_ ">
                  <c:v>14.9</c:v>
                </c:pt>
                <c:pt idx="107" c:formatCode="#,##0.00_ ">
                  <c:v>14.44</c:v>
                </c:pt>
                <c:pt idx="108" c:formatCode="#,##0.00_ ">
                  <c:v>14.25</c:v>
                </c:pt>
                <c:pt idx="109" c:formatCode="#,##0.00_ ">
                  <c:v>13.82</c:v>
                </c:pt>
                <c:pt idx="110" c:formatCode="#,##0.00_ ">
                  <c:v>13.82</c:v>
                </c:pt>
                <c:pt idx="111" c:formatCode="#,##0.00_ ">
                  <c:v>14.15</c:v>
                </c:pt>
                <c:pt idx="112" c:formatCode="#,##0.00_ ">
                  <c:v>13.94</c:v>
                </c:pt>
                <c:pt idx="113" c:formatCode="#,##0.00_ ">
                  <c:v>14.08</c:v>
                </c:pt>
                <c:pt idx="114" c:formatCode="#,##0.00_ ">
                  <c:v>14.17</c:v>
                </c:pt>
                <c:pt idx="115" c:formatCode="#,##0.00_ ">
                  <c:v>14.23</c:v>
                </c:pt>
                <c:pt idx="116" c:formatCode="#,##0.00_ ">
                  <c:v>14.23</c:v>
                </c:pt>
                <c:pt idx="117" c:formatCode="#,##0.00_ ">
                  <c:v>14.08</c:v>
                </c:pt>
                <c:pt idx="118" c:formatCode="#,##0.00_ ">
                  <c:v>13.9</c:v>
                </c:pt>
                <c:pt idx="119" c:formatCode="#,##0.00_ ">
                  <c:v>13.85</c:v>
                </c:pt>
                <c:pt idx="120" c:formatCode="#,##0.00_ ">
                  <c:v>13.84</c:v>
                </c:pt>
                <c:pt idx="121" c:formatCode="#,##0.00_ ">
                  <c:v>13.82</c:v>
                </c:pt>
                <c:pt idx="122" c:formatCode="#,##0.00_ ">
                  <c:v>14.24</c:v>
                </c:pt>
                <c:pt idx="123" c:formatCode="#,##0.00_ ">
                  <c:v>15.36</c:v>
                </c:pt>
                <c:pt idx="124" c:formatCode="#,##0.00_ ">
                  <c:v>15.55</c:v>
                </c:pt>
                <c:pt idx="125" c:formatCode="#,##0.00_ ">
                  <c:v>16.2</c:v>
                </c:pt>
                <c:pt idx="126" c:formatCode="#,##0.00_ ">
                  <c:v>14.93</c:v>
                </c:pt>
                <c:pt idx="127" c:formatCode="#,##0.00_ ">
                  <c:v>14.67</c:v>
                </c:pt>
                <c:pt idx="128" c:formatCode="#,##0.00_ ">
                  <c:v>14.93</c:v>
                </c:pt>
                <c:pt idx="129" c:formatCode="#,##0.00_ ">
                  <c:v>15.48</c:v>
                </c:pt>
                <c:pt idx="130" c:formatCode="#,##0.00_ ">
                  <c:v>16.26</c:v>
                </c:pt>
                <c:pt idx="131" c:formatCode="#,##0.00_ ">
                  <c:v>16.29</c:v>
                </c:pt>
                <c:pt idx="132" c:formatCode="#,##0.00_ ">
                  <c:v>16.12</c:v>
                </c:pt>
                <c:pt idx="133" c:formatCode="#,##0.00_ ">
                  <c:v>16.12</c:v>
                </c:pt>
                <c:pt idx="134" c:formatCode="#,##0.00_ ">
                  <c:v>16.03</c:v>
                </c:pt>
                <c:pt idx="135" c:formatCode="#,##0.00_ ">
                  <c:v>15.89</c:v>
                </c:pt>
                <c:pt idx="136" c:formatCode="#,##0.00_ ">
                  <c:v>15.83</c:v>
                </c:pt>
                <c:pt idx="137" c:formatCode="#,##0.00_ ">
                  <c:v>15.85</c:v>
                </c:pt>
                <c:pt idx="138" c:formatCode="#,##0.00_ ">
                  <c:v>16.01</c:v>
                </c:pt>
                <c:pt idx="139" c:formatCode="#,##0.00_ ">
                  <c:v>16.32</c:v>
                </c:pt>
                <c:pt idx="140" c:formatCode="#,##0.00_ ">
                  <c:v>16.71</c:v>
                </c:pt>
                <c:pt idx="141" c:formatCode="#,##0.00_ ">
                  <c:v>16.81</c:v>
                </c:pt>
                <c:pt idx="142" c:formatCode="#,##0.00_ ">
                  <c:v>16.66</c:v>
                </c:pt>
                <c:pt idx="143" c:formatCode="#,##0.00_ ">
                  <c:v>16.38</c:v>
                </c:pt>
                <c:pt idx="144" c:formatCode="#,##0.00_ ">
                  <c:v>15.89</c:v>
                </c:pt>
                <c:pt idx="145" c:formatCode="#,##0.00_ ">
                  <c:v>15.63</c:v>
                </c:pt>
                <c:pt idx="146" c:formatCode="#,##0.00_ ">
                  <c:v>15.47</c:v>
                </c:pt>
                <c:pt idx="147" c:formatCode="#,##0.00_ ">
                  <c:v>15.8</c:v>
                </c:pt>
                <c:pt idx="148" c:formatCode="#,##0.00_ ">
                  <c:v>15.76</c:v>
                </c:pt>
                <c:pt idx="149" c:formatCode="#,##0.00_ ">
                  <c:v>15.8</c:v>
                </c:pt>
                <c:pt idx="150" c:formatCode="#,##0.00_ ">
                  <c:v>15.63</c:v>
                </c:pt>
                <c:pt idx="151" c:formatCode="#,##0.00_ ">
                  <c:v>15.52</c:v>
                </c:pt>
                <c:pt idx="152" c:formatCode="#,##0.00_ ">
                  <c:v>15.52</c:v>
                </c:pt>
                <c:pt idx="153" c:formatCode="#,##0.00_ ">
                  <c:v>15.17</c:v>
                </c:pt>
                <c:pt idx="154" c:formatCode="#,##0.00_ ">
                  <c:v>14.65</c:v>
                </c:pt>
                <c:pt idx="155" c:formatCode="#,##0.00_ ">
                  <c:v>14.06</c:v>
                </c:pt>
                <c:pt idx="156" c:formatCode="#,##0.00_ ">
                  <c:v>13.53</c:v>
                </c:pt>
                <c:pt idx="157" c:formatCode="#,##0.00_ ">
                  <c:v>13.31</c:v>
                </c:pt>
                <c:pt idx="158" c:formatCode="#,##0.00_ ">
                  <c:v>13.59</c:v>
                </c:pt>
                <c:pt idx="159" c:formatCode="#,##0.00_ ">
                  <c:v>13.81</c:v>
                </c:pt>
                <c:pt idx="160" c:formatCode="#,##0.00_ ">
                  <c:v>14.09</c:v>
                </c:pt>
                <c:pt idx="161" c:formatCode="#,##0.00_ ">
                  <c:v>14.27</c:v>
                </c:pt>
                <c:pt idx="162" c:formatCode="#,##0.00_ ">
                  <c:v>14.08</c:v>
                </c:pt>
                <c:pt idx="163" c:formatCode="#,##0.00_ ">
                  <c:v>13.95</c:v>
                </c:pt>
                <c:pt idx="164" c:formatCode="#,##0.00_ ">
                  <c:v>13.96</c:v>
                </c:pt>
                <c:pt idx="165" c:formatCode="#,##0.00_ ">
                  <c:v>13.74</c:v>
                </c:pt>
                <c:pt idx="166" c:formatCode="#,##0.00_ ">
                  <c:v>13.65</c:v>
                </c:pt>
                <c:pt idx="167" c:formatCode="#,##0.00_ ">
                  <c:v>13.51</c:v>
                </c:pt>
                <c:pt idx="168" c:formatCode="#,##0.00_ ">
                  <c:v>13.36</c:v>
                </c:pt>
                <c:pt idx="169" c:formatCode="#,##0.00_ ">
                  <c:v>13.75</c:v>
                </c:pt>
                <c:pt idx="170" c:formatCode="#,##0.00_ ">
                  <c:v>14.19</c:v>
                </c:pt>
                <c:pt idx="171" c:formatCode="#,##0.00_ ">
                  <c:v>14.41</c:v>
                </c:pt>
                <c:pt idx="172" c:formatCode="#,##0.00_ ">
                  <c:v>14.93</c:v>
                </c:pt>
                <c:pt idx="173" c:formatCode="#,##0.00_ ">
                  <c:v>14.97</c:v>
                </c:pt>
                <c:pt idx="174" c:formatCode="#,##0.00_ ">
                  <c:v>14.8</c:v>
                </c:pt>
                <c:pt idx="175" c:formatCode="#,##0.00_ ">
                  <c:v>14.49</c:v>
                </c:pt>
                <c:pt idx="176" c:formatCode="#,##0.00_ ">
                  <c:v>14.35</c:v>
                </c:pt>
                <c:pt idx="177" c:formatCode="#,##0.00_ ">
                  <c:v>14.48</c:v>
                </c:pt>
                <c:pt idx="178" c:formatCode="#,##0.00_ ">
                  <c:v>14.92</c:v>
                </c:pt>
                <c:pt idx="179" c:formatCode="#,##0.00_ ">
                  <c:v>15.23</c:v>
                </c:pt>
                <c:pt idx="180" c:formatCode="#,##0.00_ ">
                  <c:v>15.38</c:v>
                </c:pt>
                <c:pt idx="181" c:formatCode="#,##0.00_ ">
                  <c:v>15.53</c:v>
                </c:pt>
                <c:pt idx="182" c:formatCode="#,##0.00_ ">
                  <c:v>15.39</c:v>
                </c:pt>
                <c:pt idx="183" c:formatCode="#,##0.00_ ">
                  <c:v>15.36</c:v>
                </c:pt>
                <c:pt idx="184" c:formatCode="#,##0.00_ ">
                  <c:v>15.09</c:v>
                </c:pt>
                <c:pt idx="185" c:formatCode="#,##0.00_ ">
                  <c:v>15.09</c:v>
                </c:pt>
                <c:pt idx="186" c:formatCode="#,##0.00_ ">
                  <c:v>15.13</c:v>
                </c:pt>
                <c:pt idx="187" c:formatCode="#,##0.00_ ">
                  <c:v>15.09</c:v>
                </c:pt>
                <c:pt idx="188" c:formatCode="#,##0.00_ ">
                  <c:v>15.06</c:v>
                </c:pt>
                <c:pt idx="189" c:formatCode="#,##0.00_ ">
                  <c:v>14.89</c:v>
                </c:pt>
                <c:pt idx="190" c:formatCode="#,##0.00_ ">
                  <c:v>14.68</c:v>
                </c:pt>
                <c:pt idx="191" c:formatCode="#,##0.00_ ">
                  <c:v>14.55</c:v>
                </c:pt>
                <c:pt idx="192" c:formatCode="#,##0.00_ ">
                  <c:v>14.35</c:v>
                </c:pt>
                <c:pt idx="193" c:formatCode="#,##0.00_ ">
                  <c:v>14.24</c:v>
                </c:pt>
                <c:pt idx="194" c:formatCode="#,##0.00_ ">
                  <c:v>14.33</c:v>
                </c:pt>
                <c:pt idx="195" c:formatCode="#,##0.00_ ">
                  <c:v>14.39</c:v>
                </c:pt>
                <c:pt idx="196" c:formatCode="#,##0.00_ ">
                  <c:v>14.5</c:v>
                </c:pt>
                <c:pt idx="197" c:formatCode="#,##0.00_ ">
                  <c:v>13.83</c:v>
                </c:pt>
                <c:pt idx="198" c:formatCode="#,##0.00_ ">
                  <c:v>13.7</c:v>
                </c:pt>
                <c:pt idx="199" c:formatCode="#,##0.00_ ">
                  <c:v>13.63</c:v>
                </c:pt>
                <c:pt idx="200" c:formatCode="#,##0.00_ ">
                  <c:v>13.35</c:v>
                </c:pt>
                <c:pt idx="201" c:formatCode="#,##0.00_ ">
                  <c:v>13.18</c:v>
                </c:pt>
                <c:pt idx="202" c:formatCode="#,##0.00_ ">
                  <c:v>13.02</c:v>
                </c:pt>
                <c:pt idx="203" c:formatCode="#,##0.00_ ">
                  <c:v>12.86</c:v>
                </c:pt>
                <c:pt idx="204" c:formatCode="#,##0.00_ ">
                  <c:v>12.58</c:v>
                </c:pt>
                <c:pt idx="205" c:formatCode="#,##0.00_ ">
                  <c:v>12.34</c:v>
                </c:pt>
                <c:pt idx="206" c:formatCode="#,##0.00_ ">
                  <c:v>12.15</c:v>
                </c:pt>
                <c:pt idx="207" c:formatCode="#,##0.00_ ">
                  <c:v>11.14</c:v>
                </c:pt>
                <c:pt idx="208" c:formatCode="#,##0.00_ ">
                  <c:v>11.08</c:v>
                </c:pt>
                <c:pt idx="209" c:formatCode="#,##0.00_ ">
                  <c:v>10.97</c:v>
                </c:pt>
                <c:pt idx="210" c:formatCode="#,##0.00_ ">
                  <c:v>11.07</c:v>
                </c:pt>
                <c:pt idx="211" c:formatCode="#,##0.00_ ">
                  <c:v>11.24</c:v>
                </c:pt>
                <c:pt idx="212" c:formatCode="#,##0.00_ ">
                  <c:v>11.35</c:v>
                </c:pt>
                <c:pt idx="213" c:formatCode="#,##0.00_ ">
                  <c:v>11.3</c:v>
                </c:pt>
                <c:pt idx="214" c:formatCode="#,##0.00_ ">
                  <c:v>11.29</c:v>
                </c:pt>
                <c:pt idx="215" c:formatCode="#,##0.00_ ">
                  <c:v>11.29</c:v>
                </c:pt>
                <c:pt idx="216" c:formatCode="#,##0.00_ ">
                  <c:v>11.41</c:v>
                </c:pt>
                <c:pt idx="217" c:formatCode="#,##0.00_ ">
                  <c:v>11.42</c:v>
                </c:pt>
                <c:pt idx="218" c:formatCode="#,##0.00_ ">
                  <c:v>11.43</c:v>
                </c:pt>
                <c:pt idx="219" c:formatCode="#,##0.00_ ">
                  <c:v>11.56</c:v>
                </c:pt>
                <c:pt idx="220" c:formatCode="#,##0.00_ ">
                  <c:v>11.75</c:v>
                </c:pt>
                <c:pt idx="221" c:formatCode="#,##0.00_ ">
                  <c:v>12.24</c:v>
                </c:pt>
                <c:pt idx="222" c:formatCode="#,##0.00_ ">
                  <c:v>12.63</c:v>
                </c:pt>
                <c:pt idx="223" c:formatCode="#,##0.00_ ">
                  <c:v>12.79</c:v>
                </c:pt>
                <c:pt idx="224" c:formatCode="#,##0.00_ ">
                  <c:v>12.65</c:v>
                </c:pt>
                <c:pt idx="225" c:formatCode="#,##0.00_ ">
                  <c:v>12.64</c:v>
                </c:pt>
                <c:pt idx="226" c:formatCode="#,##0.00_ ">
                  <c:v>12.6</c:v>
                </c:pt>
                <c:pt idx="227" c:formatCode="#,##0.00_ ">
                  <c:v>12.51</c:v>
                </c:pt>
                <c:pt idx="228" c:formatCode="#,##0.00_ ">
                  <c:v>12.42</c:v>
                </c:pt>
                <c:pt idx="229" c:formatCode="#,##0.00_ ">
                  <c:v>12.15</c:v>
                </c:pt>
                <c:pt idx="230" c:formatCode="#,##0.00_ ">
                  <c:v>11.81</c:v>
                </c:pt>
                <c:pt idx="231" c:formatCode="#,##0.00_ ">
                  <c:v>11.39</c:v>
                </c:pt>
                <c:pt idx="232" c:formatCode="#,##0.00_ ">
                  <c:v>11.39</c:v>
                </c:pt>
                <c:pt idx="233" c:formatCode="#,##0.00_ ">
                  <c:v>11.42</c:v>
                </c:pt>
                <c:pt idx="234" c:formatCode="#,##0.00_ ">
                  <c:v>11.55</c:v>
                </c:pt>
                <c:pt idx="235" c:formatCode="#,##0.00_ ">
                  <c:v>11.67</c:v>
                </c:pt>
                <c:pt idx="236" c:formatCode="#,##0.00_ ">
                  <c:v>11.6</c:v>
                </c:pt>
                <c:pt idx="237" c:formatCode="#,##0.00_ ">
                  <c:v>11.66</c:v>
                </c:pt>
                <c:pt idx="238" c:formatCode="#,##0.00_ ">
                  <c:v>11.75</c:v>
                </c:pt>
                <c:pt idx="239" c:formatCode="#,##0.00_ ">
                  <c:v>11.71</c:v>
                </c:pt>
                <c:pt idx="240" c:formatCode="#,##0.00_ ">
                  <c:v>11.59</c:v>
                </c:pt>
                <c:pt idx="241" c:formatCode="#,##0.00_ ">
                  <c:v>11.19</c:v>
                </c:pt>
                <c:pt idx="242" c:formatCode="#,##0.00_ ">
                  <c:v>10.84</c:v>
                </c:pt>
                <c:pt idx="243" c:formatCode="#,##0.00_ ">
                  <c:v>10.37</c:v>
                </c:pt>
                <c:pt idx="244" c:formatCode="#,##0.00_ ">
                  <c:v>10.82</c:v>
                </c:pt>
                <c:pt idx="245" c:formatCode="#,##0.00_ ">
                  <c:v>11.22</c:v>
                </c:pt>
                <c:pt idx="246" c:formatCode="#,##0.00_ ">
                  <c:v>11.53</c:v>
                </c:pt>
                <c:pt idx="247" c:formatCode="#,##0.00_ ">
                  <c:v>11.62</c:v>
                </c:pt>
                <c:pt idx="248" c:formatCode="#,##0.00_ ">
                  <c:v>11.34</c:v>
                </c:pt>
                <c:pt idx="249" c:formatCode="#,##0.00_ ">
                  <c:v>10.9</c:v>
                </c:pt>
                <c:pt idx="250" c:formatCode="#,##0.00_ ">
                  <c:v>10.7</c:v>
                </c:pt>
                <c:pt idx="251" c:formatCode="#,##0.00_ ">
                  <c:v>10.62</c:v>
                </c:pt>
                <c:pt idx="252" c:formatCode="#,##0.00_ ">
                  <c:v>10.57</c:v>
                </c:pt>
                <c:pt idx="253" c:formatCode="#,##0.00_ ">
                  <c:v>10.58</c:v>
                </c:pt>
                <c:pt idx="254" c:formatCode="#,##0.00_ ">
                  <c:v>10.69</c:v>
                </c:pt>
                <c:pt idx="255" c:formatCode="#,##0.00_ ">
                  <c:v>10.64</c:v>
                </c:pt>
                <c:pt idx="256" c:formatCode="#,##0.00_ ">
                  <c:v>10.54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6180558"/>
        <c:axId val="27347958"/>
      </c:lineChart>
      <c:dateAx>
        <c:axId val="756180558"/>
        <c:scaling>
          <c:orientation val="minMax"/>
          <c:max val="46289"/>
          <c:min val="45559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27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27347958"/>
        <c:crosses val="autoZero"/>
        <c:auto val="1"/>
        <c:lblOffset val="100"/>
        <c:baseTimeUnit val="days"/>
        <c:majorUnit val="4"/>
        <c:majorTimeUnit val="months"/>
      </c:dateAx>
      <c:valAx>
        <c:axId val="27347958"/>
        <c:scaling>
          <c:orientation val="minMax"/>
          <c:max val="16"/>
          <c:min val="10"/>
        </c:scaling>
        <c:delete val="0"/>
        <c:axPos val="l"/>
        <c:numFmt formatCode="0.00_);[Red]\(0.00\)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75618055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ayout/>
      <c:overlay val="1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dcdbf28-8030-4f57-8328-44b41843652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  <a:sym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r>
              <a:rPr lang="en-US" altLang="zh-CN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本周商品猪出栏成本</a:t>
            </a:r>
            <a:endParaRPr lang="en-US" altLang="zh-CN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  <a:p>
            <a:pPr defTabSz="914400">
              <a:defRPr lang="zh-CN" sz="1400" b="1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r>
              <a:rPr lang="en-US" altLang="zh-CN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（6个月前仔猪对应本周出栏）</a:t>
            </a:r>
            <a:endParaRPr lang="en-US" altLang="zh-CN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养殖成本预期、当期!$L$2</c:f>
              <c:strCache>
                <c:ptCount val="1"/>
                <c:pt idx="0">
                  <c:v>5000-10000头母猪存栏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养殖成本预期、当期!$K$3:$K$469</c:f>
              <c:numCache>
                <c:formatCode>yyyy/m/d;@</c:formatCode>
                <c:ptCount val="467"/>
                <c:pt idx="0" c:formatCode="yyyy/m/d;@">
                  <c:v>44427</c:v>
                </c:pt>
                <c:pt idx="1" c:formatCode="yyyy/m/d;@">
                  <c:v>44434</c:v>
                </c:pt>
                <c:pt idx="2" c:formatCode="yyyy/m/d;@">
                  <c:v>44441</c:v>
                </c:pt>
                <c:pt idx="3" c:formatCode="yyyy/m/d;@">
                  <c:v>44448</c:v>
                </c:pt>
                <c:pt idx="4" c:formatCode="yyyy/m/d;@">
                  <c:v>44455</c:v>
                </c:pt>
                <c:pt idx="5" c:formatCode="yyyy/m/d;@">
                  <c:v>44462</c:v>
                </c:pt>
                <c:pt idx="6" c:formatCode="yyyy/m/d;@">
                  <c:v>44469</c:v>
                </c:pt>
                <c:pt idx="7" c:formatCode="yyyy/m/d;@">
                  <c:v>44477</c:v>
                </c:pt>
                <c:pt idx="8" c:formatCode="yyyy/m/d;@">
                  <c:v>44483</c:v>
                </c:pt>
                <c:pt idx="9" c:formatCode="yyyy/m/d;@">
                  <c:v>44490</c:v>
                </c:pt>
                <c:pt idx="10" c:formatCode="yyyy/m/d;@">
                  <c:v>44497</c:v>
                </c:pt>
                <c:pt idx="11" c:formatCode="yyyy/m/d;@">
                  <c:v>44504</c:v>
                </c:pt>
                <c:pt idx="12" c:formatCode="yyyy/m/d;@">
                  <c:v>44511</c:v>
                </c:pt>
                <c:pt idx="13" c:formatCode="yyyy/m/d;@">
                  <c:v>44518</c:v>
                </c:pt>
                <c:pt idx="14" c:formatCode="yyyy/m/d;@">
                  <c:v>44525</c:v>
                </c:pt>
                <c:pt idx="15" c:formatCode="yyyy/m/d;@">
                  <c:v>44532</c:v>
                </c:pt>
                <c:pt idx="16" c:formatCode="yyyy/m/d;@">
                  <c:v>44539</c:v>
                </c:pt>
                <c:pt idx="17" c:formatCode="yyyy/m/d;@">
                  <c:v>44546</c:v>
                </c:pt>
                <c:pt idx="18" c:formatCode="yyyy/m/d;@">
                  <c:v>44553</c:v>
                </c:pt>
                <c:pt idx="19" c:formatCode="yyyy/m/d;@">
                  <c:v>44560</c:v>
                </c:pt>
                <c:pt idx="20" c:formatCode="yyyy/m/d;@">
                  <c:v>44567</c:v>
                </c:pt>
                <c:pt idx="21" c:formatCode="yyyy/m/d;@">
                  <c:v>44574</c:v>
                </c:pt>
                <c:pt idx="22" c:formatCode="yyyy/m/d;@">
                  <c:v>44581</c:v>
                </c:pt>
                <c:pt idx="23" c:formatCode="yyyy/m/d;@">
                  <c:v>44587</c:v>
                </c:pt>
                <c:pt idx="24" c:formatCode="yyyy/m/d;@">
                  <c:v>44602</c:v>
                </c:pt>
                <c:pt idx="25" c:formatCode="yyyy/m/d;@">
                  <c:v>44609</c:v>
                </c:pt>
                <c:pt idx="26" c:formatCode="yyyy/m/d;@">
                  <c:v>44616</c:v>
                </c:pt>
                <c:pt idx="27" c:formatCode="yyyy/m/d;@">
                  <c:v>44623</c:v>
                </c:pt>
                <c:pt idx="28" c:formatCode="yyyy/m/d;@">
                  <c:v>44630</c:v>
                </c:pt>
                <c:pt idx="29" c:formatCode="yyyy/m/d;@">
                  <c:v>44637</c:v>
                </c:pt>
                <c:pt idx="30" c:formatCode="yyyy/m/d;@">
                  <c:v>44644</c:v>
                </c:pt>
                <c:pt idx="31" c:formatCode="yyyy/m/d;@">
                  <c:v>44651</c:v>
                </c:pt>
                <c:pt idx="32" c:formatCode="yyyy/m/d;@">
                  <c:v>44658</c:v>
                </c:pt>
                <c:pt idx="33" c:formatCode="yyyy/m/d;@">
                  <c:v>44665</c:v>
                </c:pt>
                <c:pt idx="34" c:formatCode="yyyy/m/d;@">
                  <c:v>44672</c:v>
                </c:pt>
                <c:pt idx="35" c:formatCode="yyyy/m/d;@">
                  <c:v>44679</c:v>
                </c:pt>
                <c:pt idx="36" c:formatCode="yyyy/m/d;@">
                  <c:v>44686</c:v>
                </c:pt>
                <c:pt idx="37" c:formatCode="yyyy/m/d;@">
                  <c:v>44693</c:v>
                </c:pt>
                <c:pt idx="38" c:formatCode="yyyy/m/d;@">
                  <c:v>44700</c:v>
                </c:pt>
                <c:pt idx="39" c:formatCode="yyyy/m/d;@">
                  <c:v>44707</c:v>
                </c:pt>
                <c:pt idx="40" c:formatCode="yyyy/m/d;@">
                  <c:v>44714</c:v>
                </c:pt>
                <c:pt idx="41" c:formatCode="yyyy/m/d;@">
                  <c:v>44721</c:v>
                </c:pt>
                <c:pt idx="42" c:formatCode="yyyy/m/d;@">
                  <c:v>44728</c:v>
                </c:pt>
                <c:pt idx="43" c:formatCode="yyyy/m/d;@">
                  <c:v>44735</c:v>
                </c:pt>
                <c:pt idx="44" c:formatCode="yyyy/m/d;@">
                  <c:v>44742</c:v>
                </c:pt>
                <c:pt idx="45" c:formatCode="yyyy/m/d;@">
                  <c:v>44749</c:v>
                </c:pt>
                <c:pt idx="46" c:formatCode="yyyy/m/d;@">
                  <c:v>44756</c:v>
                </c:pt>
                <c:pt idx="47" c:formatCode="yyyy/m/d;@">
                  <c:v>44763</c:v>
                </c:pt>
                <c:pt idx="48" c:formatCode="yyyy/m/d;@">
                  <c:v>44770</c:v>
                </c:pt>
                <c:pt idx="49" c:formatCode="yyyy/m/d;@">
                  <c:v>44777</c:v>
                </c:pt>
                <c:pt idx="50" c:formatCode="yyyy/m/d;@">
                  <c:v>44784</c:v>
                </c:pt>
                <c:pt idx="51" c:formatCode="yyyy/m/d;@">
                  <c:v>44791</c:v>
                </c:pt>
                <c:pt idx="52" c:formatCode="yyyy/m/d;@">
                  <c:v>44798</c:v>
                </c:pt>
                <c:pt idx="53" c:formatCode="yyyy/m/d;@">
                  <c:v>44805</c:v>
                </c:pt>
                <c:pt idx="54" c:formatCode="yyyy/m/d;@">
                  <c:v>44812</c:v>
                </c:pt>
                <c:pt idx="55" c:formatCode="yyyy/m/d;@">
                  <c:v>44819</c:v>
                </c:pt>
                <c:pt idx="56" c:formatCode="yyyy/m/d;@">
                  <c:v>44826</c:v>
                </c:pt>
                <c:pt idx="57" c:formatCode="yyyy/m/d;@">
                  <c:v>44833</c:v>
                </c:pt>
                <c:pt idx="58" c:formatCode="yyyy/m/d;@">
                  <c:v>44842</c:v>
                </c:pt>
                <c:pt idx="59" c:formatCode="yyyy/m/d;@">
                  <c:v>44847</c:v>
                </c:pt>
                <c:pt idx="60" c:formatCode="yyyy/m/d;@">
                  <c:v>44854</c:v>
                </c:pt>
                <c:pt idx="61" c:formatCode="yyyy/m/d;@">
                  <c:v>44861</c:v>
                </c:pt>
                <c:pt idx="62" c:formatCode="yyyy/m/d;@">
                  <c:v>44868</c:v>
                </c:pt>
                <c:pt idx="63" c:formatCode="yyyy/m/d;@">
                  <c:v>44875</c:v>
                </c:pt>
                <c:pt idx="64" c:formatCode="yyyy/m/d;@">
                  <c:v>44882</c:v>
                </c:pt>
                <c:pt idx="65" c:formatCode="yyyy/m/d;@">
                  <c:v>44889</c:v>
                </c:pt>
                <c:pt idx="66" c:formatCode="yyyy/m/d;@">
                  <c:v>44896</c:v>
                </c:pt>
                <c:pt idx="67" c:formatCode="yyyy/m/d;@">
                  <c:v>44903</c:v>
                </c:pt>
                <c:pt idx="68" c:formatCode="yyyy/m/d;@">
                  <c:v>44910</c:v>
                </c:pt>
                <c:pt idx="69" c:formatCode="yyyy/m/d;@">
                  <c:v>44917</c:v>
                </c:pt>
                <c:pt idx="70" c:formatCode="yyyy/m/d;@">
                  <c:v>44924</c:v>
                </c:pt>
                <c:pt idx="71" c:formatCode="yyyy/m/d;@">
                  <c:v>44931</c:v>
                </c:pt>
                <c:pt idx="72" c:formatCode="yyyy/m/d;@">
                  <c:v>44938</c:v>
                </c:pt>
                <c:pt idx="73" c:formatCode="yyyy/m/d;@">
                  <c:v>44959</c:v>
                </c:pt>
                <c:pt idx="74" c:formatCode="yyyy/m/d;@">
                  <c:v>44966</c:v>
                </c:pt>
                <c:pt idx="75" c:formatCode="yyyy/m/d;@">
                  <c:v>44973</c:v>
                </c:pt>
                <c:pt idx="76" c:formatCode="yyyy/m/d;@">
                  <c:v>44980</c:v>
                </c:pt>
                <c:pt idx="77" c:formatCode="yyyy/m/d;@">
                  <c:v>44987</c:v>
                </c:pt>
                <c:pt idx="78" c:formatCode="yyyy/m/d;@">
                  <c:v>44994</c:v>
                </c:pt>
                <c:pt idx="79" c:formatCode="yyyy/m/d;@">
                  <c:v>45001</c:v>
                </c:pt>
                <c:pt idx="80" c:formatCode="yyyy/m/d;@">
                  <c:v>45008</c:v>
                </c:pt>
                <c:pt idx="81" c:formatCode="yyyy/m/d;@">
                  <c:v>45015</c:v>
                </c:pt>
                <c:pt idx="82" c:formatCode="yyyy/m/d;@">
                  <c:v>45022</c:v>
                </c:pt>
                <c:pt idx="83" c:formatCode="yyyy/m/d;@">
                  <c:v>45029</c:v>
                </c:pt>
                <c:pt idx="84" c:formatCode="yyyy/m/d;@">
                  <c:v>45036</c:v>
                </c:pt>
                <c:pt idx="85" c:formatCode="yyyy/m/d;@">
                  <c:v>45043</c:v>
                </c:pt>
                <c:pt idx="86" c:formatCode="yyyy/m/d;@">
                  <c:v>45050</c:v>
                </c:pt>
                <c:pt idx="87" c:formatCode="yyyy/m/d;@">
                  <c:v>45057</c:v>
                </c:pt>
                <c:pt idx="88" c:formatCode="yyyy/m/d;@">
                  <c:v>45064</c:v>
                </c:pt>
                <c:pt idx="89" c:formatCode="yyyy/m/d;@">
                  <c:v>45071</c:v>
                </c:pt>
                <c:pt idx="90" c:formatCode="yyyy/m/d;@">
                  <c:v>45078</c:v>
                </c:pt>
                <c:pt idx="91" c:formatCode="yyyy/m/d;@">
                  <c:v>45085</c:v>
                </c:pt>
                <c:pt idx="92" c:formatCode="yyyy/m/d;@">
                  <c:v>45092</c:v>
                </c:pt>
                <c:pt idx="93" c:formatCode="yyyy/m/d;@">
                  <c:v>45098</c:v>
                </c:pt>
                <c:pt idx="94" c:formatCode="yyyy/m/d;@">
                  <c:v>45106</c:v>
                </c:pt>
                <c:pt idx="95" c:formatCode="yyyy/m/d;@">
                  <c:v>45113</c:v>
                </c:pt>
                <c:pt idx="96" c:formatCode="yyyy/m/d;@">
                  <c:v>45120</c:v>
                </c:pt>
                <c:pt idx="97" c:formatCode="yyyy/m/d;@">
                  <c:v>45127</c:v>
                </c:pt>
                <c:pt idx="98" c:formatCode="yyyy/m/d;@">
                  <c:v>45134</c:v>
                </c:pt>
                <c:pt idx="99" c:formatCode="yyyy/m/d;@">
                  <c:v>45141</c:v>
                </c:pt>
                <c:pt idx="100" c:formatCode="yyyy/m/d;@">
                  <c:v>45148</c:v>
                </c:pt>
                <c:pt idx="101" c:formatCode="yyyy/m/d;@">
                  <c:v>45155</c:v>
                </c:pt>
                <c:pt idx="102" c:formatCode="yyyy/m/d;@">
                  <c:v>45162</c:v>
                </c:pt>
                <c:pt idx="103" c:formatCode="yyyy/m/d;@">
                  <c:v>45169</c:v>
                </c:pt>
                <c:pt idx="104" c:formatCode="yyyy/m/d;@">
                  <c:v>45176</c:v>
                </c:pt>
                <c:pt idx="105" c:formatCode="yyyy/m/d;@">
                  <c:v>45183</c:v>
                </c:pt>
                <c:pt idx="106" c:formatCode="yyyy/m/d;@">
                  <c:v>45190</c:v>
                </c:pt>
                <c:pt idx="107" c:formatCode="yyyy/m/d;@">
                  <c:v>45197</c:v>
                </c:pt>
                <c:pt idx="108" c:formatCode="yyyy/m/d;@">
                  <c:v>45205</c:v>
                </c:pt>
                <c:pt idx="109" c:formatCode="yyyy/m/d;@">
                  <c:v>45211</c:v>
                </c:pt>
                <c:pt idx="110" c:formatCode="yyyy/m/d;@">
                  <c:v>45218</c:v>
                </c:pt>
                <c:pt idx="111" c:formatCode="yyyy/m/d;@">
                  <c:v>45225</c:v>
                </c:pt>
                <c:pt idx="112" c:formatCode="yyyy/m/d;@">
                  <c:v>45232</c:v>
                </c:pt>
                <c:pt idx="113" c:formatCode="yyyy/m/d;@">
                  <c:v>45239</c:v>
                </c:pt>
                <c:pt idx="114" c:formatCode="yyyy/m/d;@">
                  <c:v>45246</c:v>
                </c:pt>
                <c:pt idx="115" c:formatCode="yyyy/m/d;@">
                  <c:v>45253</c:v>
                </c:pt>
                <c:pt idx="116" c:formatCode="yyyy/m/d;@">
                  <c:v>45260</c:v>
                </c:pt>
                <c:pt idx="117" c:formatCode="yyyy/m/d;@">
                  <c:v>45267</c:v>
                </c:pt>
                <c:pt idx="118" c:formatCode="yyyy/m/d;@">
                  <c:v>45274</c:v>
                </c:pt>
                <c:pt idx="119" c:formatCode="yyyy/m/d;@">
                  <c:v>45281</c:v>
                </c:pt>
                <c:pt idx="120" c:formatCode="yyyy/m/d;@">
                  <c:v>45288</c:v>
                </c:pt>
                <c:pt idx="121" c:formatCode="yyyy/m/d;@">
                  <c:v>45295</c:v>
                </c:pt>
                <c:pt idx="122" c:formatCode="yyyy/m/d;@">
                  <c:v>45302</c:v>
                </c:pt>
                <c:pt idx="123" c:formatCode="yyyy/m/d;@">
                  <c:v>45309</c:v>
                </c:pt>
                <c:pt idx="124" c:formatCode="yyyy/m/d;@">
                  <c:v>45316</c:v>
                </c:pt>
                <c:pt idx="125" c:formatCode="yyyy/m/d;@">
                  <c:v>45323</c:v>
                </c:pt>
                <c:pt idx="126" c:formatCode="yyyy/m/d;@">
                  <c:v>45344</c:v>
                </c:pt>
                <c:pt idx="127" c:formatCode="yyyy/m/d;@">
                  <c:v>45351</c:v>
                </c:pt>
                <c:pt idx="128" c:formatCode="yyyy/m/d;@">
                  <c:v>45358</c:v>
                </c:pt>
                <c:pt idx="129" c:formatCode="yyyy/m/d;@">
                  <c:v>45365</c:v>
                </c:pt>
                <c:pt idx="130" c:formatCode="yyyy/m/d;@">
                  <c:v>45372</c:v>
                </c:pt>
                <c:pt idx="131" c:formatCode="yyyy/m/d;@">
                  <c:v>45379</c:v>
                </c:pt>
                <c:pt idx="132" c:formatCode="yyyy/m/d;@">
                  <c:v>45385</c:v>
                </c:pt>
                <c:pt idx="133" c:formatCode="yyyy/m/d;@">
                  <c:v>45393</c:v>
                </c:pt>
                <c:pt idx="134" c:formatCode="yyyy/m/d;@">
                  <c:v>45400</c:v>
                </c:pt>
                <c:pt idx="135" c:formatCode="yyyy/m/d;@">
                  <c:v>45407</c:v>
                </c:pt>
                <c:pt idx="136" c:formatCode="yyyy/m/d;@">
                  <c:v>45414</c:v>
                </c:pt>
                <c:pt idx="137" c:formatCode="yyyy/m/d;@">
                  <c:v>45421</c:v>
                </c:pt>
                <c:pt idx="138" c:formatCode="yyyy/m/d;@">
                  <c:v>45428</c:v>
                </c:pt>
                <c:pt idx="139" c:formatCode="yyyy/m/d;@">
                  <c:v>45435</c:v>
                </c:pt>
                <c:pt idx="140" c:formatCode="yyyy/m/d;@">
                  <c:v>45442</c:v>
                </c:pt>
                <c:pt idx="141" c:formatCode="yyyy/m/d;@">
                  <c:v>45449</c:v>
                </c:pt>
                <c:pt idx="142" c:formatCode="yyyy/m/d;@">
                  <c:v>45456</c:v>
                </c:pt>
                <c:pt idx="143" c:formatCode="yyyy/m/d;@">
                  <c:v>45463</c:v>
                </c:pt>
                <c:pt idx="144" c:formatCode="yyyy/m/d;@">
                  <c:v>45470</c:v>
                </c:pt>
                <c:pt idx="145" c:formatCode="yyyy/m/d;@">
                  <c:v>45477</c:v>
                </c:pt>
                <c:pt idx="146" c:formatCode="yyyy/m/d;@">
                  <c:v>45484</c:v>
                </c:pt>
                <c:pt idx="147" c:formatCode="yyyy/m/d;@">
                  <c:v>45491</c:v>
                </c:pt>
                <c:pt idx="148" c:formatCode="yyyy/m/d;@">
                  <c:v>45498</c:v>
                </c:pt>
                <c:pt idx="149" c:formatCode="yyyy/m/d;@">
                  <c:v>45505</c:v>
                </c:pt>
                <c:pt idx="150" c:formatCode="yyyy/m/d;@">
                  <c:v>45512</c:v>
                </c:pt>
                <c:pt idx="151" c:formatCode="yyyy/m/d;@">
                  <c:v>45519</c:v>
                </c:pt>
                <c:pt idx="152" c:formatCode="yyyy/m/d;@">
                  <c:v>45526</c:v>
                </c:pt>
                <c:pt idx="153" c:formatCode="yyyy/m/d;@">
                  <c:v>45533</c:v>
                </c:pt>
                <c:pt idx="154" c:formatCode="yyyy/m/d;@">
                  <c:v>45540</c:v>
                </c:pt>
                <c:pt idx="155" c:formatCode="yyyy/m/d;@">
                  <c:v>45547</c:v>
                </c:pt>
                <c:pt idx="156" c:formatCode="yyyy/m/d;@">
                  <c:v>45554</c:v>
                </c:pt>
                <c:pt idx="157" c:formatCode="yyyy/m/d;@">
                  <c:v>45561</c:v>
                </c:pt>
                <c:pt idx="158" c:formatCode="yyyy/m/d;@">
                  <c:v>45575</c:v>
                </c:pt>
                <c:pt idx="159" c:formatCode="yyyy/m/d;@">
                  <c:v>45582</c:v>
                </c:pt>
                <c:pt idx="160" c:formatCode="yyyy/m/d;@">
                  <c:v>45589</c:v>
                </c:pt>
                <c:pt idx="161" c:formatCode="yyyy/m/d;@">
                  <c:v>45596</c:v>
                </c:pt>
                <c:pt idx="162" c:formatCode="yyyy/m/d;@">
                  <c:v>45603</c:v>
                </c:pt>
                <c:pt idx="163" c:formatCode="yyyy/m/d;@">
                  <c:v>45610</c:v>
                </c:pt>
                <c:pt idx="164" c:formatCode="yyyy/m/d;@">
                  <c:v>45617</c:v>
                </c:pt>
                <c:pt idx="165" c:formatCode="yyyy/m/d;@">
                  <c:v>45624</c:v>
                </c:pt>
                <c:pt idx="166" c:formatCode="yyyy/m/d;@">
                  <c:v>45631</c:v>
                </c:pt>
                <c:pt idx="167" c:formatCode="yyyy/m/d;@">
                  <c:v>45638</c:v>
                </c:pt>
                <c:pt idx="168" c:formatCode="yyyy/m/d;@">
                  <c:v>45645</c:v>
                </c:pt>
                <c:pt idx="169" c:formatCode="yyyy/m/d;@">
                  <c:v>45652</c:v>
                </c:pt>
                <c:pt idx="170" c:formatCode="yyyy/m/d;@">
                  <c:v>45659</c:v>
                </c:pt>
                <c:pt idx="171" c:formatCode="yyyy/m/d;@">
                  <c:v>45666</c:v>
                </c:pt>
                <c:pt idx="172" c:formatCode="yyyy/m/d;@">
                  <c:v>45673</c:v>
                </c:pt>
                <c:pt idx="173" c:formatCode="yyyy/m/d;@">
                  <c:v>45680</c:v>
                </c:pt>
                <c:pt idx="174" c:formatCode="yyyy/m/d;@">
                  <c:v>45694</c:v>
                </c:pt>
                <c:pt idx="175" c:formatCode="yyyy/m/d;@">
                  <c:v>45701</c:v>
                </c:pt>
                <c:pt idx="176" c:formatCode="yyyy/m/d;@">
                  <c:v>45708</c:v>
                </c:pt>
                <c:pt idx="177" c:formatCode="yyyy/m/d;@">
                  <c:v>45715</c:v>
                </c:pt>
                <c:pt idx="178" c:formatCode="yyyy/m/d;@">
                  <c:v>45722</c:v>
                </c:pt>
                <c:pt idx="179" c:formatCode="yyyy/m/d;@">
                  <c:v>45729</c:v>
                </c:pt>
                <c:pt idx="180" c:formatCode="yyyy/m/d;@">
                  <c:v>45736</c:v>
                </c:pt>
                <c:pt idx="181" c:formatCode="yyyy/m/d;@">
                  <c:v>45743</c:v>
                </c:pt>
                <c:pt idx="182" c:formatCode="yyyy/m/d;@">
                  <c:v>45750</c:v>
                </c:pt>
                <c:pt idx="183" c:formatCode="yyyy/m/d;@">
                  <c:v>45757</c:v>
                </c:pt>
                <c:pt idx="184" c:formatCode="yyyy/m/d;@">
                  <c:v>45764</c:v>
                </c:pt>
                <c:pt idx="185" c:formatCode="yyyy/m/d;@">
                  <c:v>45771</c:v>
                </c:pt>
                <c:pt idx="186" c:formatCode="yyyy/m/d;@">
                  <c:v>45777</c:v>
                </c:pt>
                <c:pt idx="187" c:formatCode="yyyy/m/d;@">
                  <c:v>45785</c:v>
                </c:pt>
                <c:pt idx="188" c:formatCode="yyyy/m/d;@">
                  <c:v>45792</c:v>
                </c:pt>
                <c:pt idx="189" c:formatCode="yyyy/m/d;@">
                  <c:v>45799</c:v>
                </c:pt>
                <c:pt idx="190" c:formatCode="yyyy/m/d;@">
                  <c:v>45806</c:v>
                </c:pt>
                <c:pt idx="191" c:formatCode="yyyy/m/d;@">
                  <c:v>45813</c:v>
                </c:pt>
                <c:pt idx="192" c:formatCode="yyyy/m/d;@">
                  <c:v>45820</c:v>
                </c:pt>
                <c:pt idx="193" c:formatCode="yyyy/m/d;@">
                  <c:v>45827</c:v>
                </c:pt>
                <c:pt idx="194" c:formatCode="yyyy/m/d;@">
                  <c:v>45834</c:v>
                </c:pt>
                <c:pt idx="195" c:formatCode="yyyy/m/d;@">
                  <c:v>45841</c:v>
                </c:pt>
                <c:pt idx="196" c:formatCode="yyyy/m/d;@">
                  <c:v>45848</c:v>
                </c:pt>
                <c:pt idx="197" c:formatCode="yyyy/m/d;@">
                  <c:v>45855</c:v>
                </c:pt>
                <c:pt idx="198" c:formatCode="yyyy/m/d;@">
                  <c:v>45862</c:v>
                </c:pt>
                <c:pt idx="199" c:formatCode="yyyy/m/d;@">
                  <c:v>45869</c:v>
                </c:pt>
                <c:pt idx="200" c:formatCode="yyyy/m/d;@">
                  <c:v>45876</c:v>
                </c:pt>
                <c:pt idx="201" c:formatCode="yyyy/m/d;@">
                  <c:v>45883</c:v>
                </c:pt>
                <c:pt idx="202" c:formatCode="yyyy/m/d;@">
                  <c:v>45890</c:v>
                </c:pt>
                <c:pt idx="203" c:formatCode="yyyy/m/d;@">
                  <c:v>45897</c:v>
                </c:pt>
                <c:pt idx="204" c:formatCode="yyyy/m/d;@">
                  <c:v>45904</c:v>
                </c:pt>
                <c:pt idx="205" c:formatCode="yyyy/m/d;@">
                  <c:v>45911</c:v>
                </c:pt>
                <c:pt idx="206" c:formatCode="yyyy/m/d;@">
                  <c:v>45918</c:v>
                </c:pt>
                <c:pt idx="207" c:formatCode="yyyy/m/d;@">
                  <c:v>45925</c:v>
                </c:pt>
                <c:pt idx="208" c:formatCode="yyyy/m/d;@">
                  <c:v>45939</c:v>
                </c:pt>
                <c:pt idx="209" c:formatCode="yyyy/m/d;@">
                  <c:v>45946</c:v>
                </c:pt>
                <c:pt idx="210" c:formatCode="yyyy/m/d;@">
                  <c:v>45953</c:v>
                </c:pt>
                <c:pt idx="211" c:formatCode="yyyy/m/d;@">
                  <c:v>45960</c:v>
                </c:pt>
                <c:pt idx="212" c:formatCode="yyyy/m/d;@">
                  <c:v>45967</c:v>
                </c:pt>
                <c:pt idx="213" c:formatCode="yyyy/m/d;@">
                  <c:v>45974</c:v>
                </c:pt>
                <c:pt idx="214" c:formatCode="yyyy/m/d;@">
                  <c:v>45981</c:v>
                </c:pt>
                <c:pt idx="215" c:formatCode="yyyy/m/d;@">
                  <c:v>45988</c:v>
                </c:pt>
                <c:pt idx="216" c:formatCode="yyyy/m/d;@">
                  <c:v>45995</c:v>
                </c:pt>
                <c:pt idx="217" c:formatCode="yyyy/m/d;@">
                  <c:v>46002</c:v>
                </c:pt>
                <c:pt idx="218" c:formatCode="yyyy/m/d;@">
                  <c:v>46009</c:v>
                </c:pt>
                <c:pt idx="219" c:formatCode="yyyy/m/d;@">
                  <c:v>46016</c:v>
                </c:pt>
                <c:pt idx="220" c:formatCode="yyyy/m/d;@">
                  <c:v>46023</c:v>
                </c:pt>
                <c:pt idx="221" c:formatCode="yyyy/m/d;@">
                  <c:v>46030</c:v>
                </c:pt>
                <c:pt idx="222" c:formatCode="yyyy/m/d;@">
                  <c:v>46037</c:v>
                </c:pt>
                <c:pt idx="223" c:formatCode="yyyy/m/d;@">
                  <c:v>46044</c:v>
                </c:pt>
                <c:pt idx="224" c:formatCode="yyyy/m/d;@">
                  <c:v>46051</c:v>
                </c:pt>
                <c:pt idx="225" c:formatCode="yyyy/m/d;@">
                  <c:v>46058</c:v>
                </c:pt>
                <c:pt idx="226" c:formatCode="yyyy/m/d;@">
                  <c:v>46065</c:v>
                </c:pt>
                <c:pt idx="227" c:formatCode="yyyy/m/d;@">
                  <c:v>46079</c:v>
                </c:pt>
                <c:pt idx="228" c:formatCode="yyyy/m/d;@">
                  <c:v>46086</c:v>
                </c:pt>
                <c:pt idx="229" c:formatCode="yyyy/m/d;@">
                  <c:v>46093</c:v>
                </c:pt>
                <c:pt idx="230" c:formatCode="yyyy/m/d;@">
                  <c:v>46100</c:v>
                </c:pt>
                <c:pt idx="231" c:formatCode="yyyy/m/d;@">
                  <c:v>46107</c:v>
                </c:pt>
                <c:pt idx="232" c:formatCode="yyyy/m/d;@">
                  <c:v>46114</c:v>
                </c:pt>
                <c:pt idx="233" c:formatCode="yyyy/m/d;@">
                  <c:v>46121</c:v>
                </c:pt>
                <c:pt idx="234" c:formatCode="yyyy/m/d;@">
                  <c:v>46128</c:v>
                </c:pt>
                <c:pt idx="235" c:formatCode="yyyy/m/d;@">
                  <c:v>46135</c:v>
                </c:pt>
                <c:pt idx="236" c:formatCode="yyyy/m/d;@">
                  <c:v>46142</c:v>
                </c:pt>
                <c:pt idx="237" c:formatCode="yyyy/m/d;@">
                  <c:v>46149</c:v>
                </c:pt>
                <c:pt idx="238" c:formatCode="yyyy/m/d;@">
                  <c:v>46156</c:v>
                </c:pt>
                <c:pt idx="239" c:formatCode="yyyy/m/d;@">
                  <c:v>46163</c:v>
                </c:pt>
                <c:pt idx="240" c:formatCode="yyyy/m/d;@">
                  <c:v>46170</c:v>
                </c:pt>
                <c:pt idx="241" c:formatCode="yyyy/m/d;@">
                  <c:v>46177</c:v>
                </c:pt>
                <c:pt idx="242" c:formatCode="yyyy/m/d;@">
                  <c:v>46184</c:v>
                </c:pt>
                <c:pt idx="243" c:formatCode="yyyy/m/d;@">
                  <c:v>46191</c:v>
                </c:pt>
                <c:pt idx="244" c:formatCode="yyyy/m/d;@">
                  <c:v>46198</c:v>
                </c:pt>
                <c:pt idx="245" c:formatCode="yyyy/m/d;@">
                  <c:v>46205</c:v>
                </c:pt>
                <c:pt idx="246" c:formatCode="yyyy/m/d;@">
                  <c:v>46212</c:v>
                </c:pt>
                <c:pt idx="247" c:formatCode="yyyy/m/d;@">
                  <c:v>46219</c:v>
                </c:pt>
                <c:pt idx="248" c:formatCode="yyyy/m/d;@">
                  <c:v>46226</c:v>
                </c:pt>
                <c:pt idx="249" c:formatCode="yyyy/m/d;@">
                  <c:v>46233</c:v>
                </c:pt>
                <c:pt idx="250" c:formatCode="yyyy/m/d;@">
                  <c:v>46240</c:v>
                </c:pt>
                <c:pt idx="251" c:formatCode="yyyy/m/d;@">
                  <c:v>46247</c:v>
                </c:pt>
                <c:pt idx="252" c:formatCode="yyyy/m/d;@">
                  <c:v>46254</c:v>
                </c:pt>
                <c:pt idx="253" c:formatCode="yyyy/m/d;@">
                  <c:v>46261</c:v>
                </c:pt>
                <c:pt idx="254" c:formatCode="yyyy/m/d;@">
                  <c:v>46268</c:v>
                </c:pt>
                <c:pt idx="255" c:formatCode="yyyy/m/d;@">
                  <c:v>46275</c:v>
                </c:pt>
                <c:pt idx="256" c:formatCode="yyyy/m/d;@">
                  <c:v>46282</c:v>
                </c:pt>
                <c:pt idx="257" c:formatCode="yyyy/m/d;@">
                  <c:v>46289</c:v>
                </c:pt>
              </c:numCache>
            </c:numRef>
          </c:cat>
          <c:val>
            <c:numRef>
              <c:f>养殖成本预期、当期!$L$3:$L$469</c:f>
              <c:numCache>
                <c:formatCode>0.00_);[Red]\(0.00\)</c:formatCode>
                <c:ptCount val="467"/>
                <c:pt idx="0">
                  <c:v>16.61</c:v>
                </c:pt>
                <c:pt idx="1">
                  <c:v>16.58</c:v>
                </c:pt>
                <c:pt idx="2">
                  <c:v>16.8</c:v>
                </c:pt>
                <c:pt idx="3">
                  <c:v>16.48</c:v>
                </c:pt>
                <c:pt idx="4">
                  <c:v>16.05</c:v>
                </c:pt>
                <c:pt idx="5">
                  <c:v>15.98</c:v>
                </c:pt>
                <c:pt idx="6">
                  <c:v>15.88</c:v>
                </c:pt>
                <c:pt idx="7">
                  <c:v>16.04</c:v>
                </c:pt>
                <c:pt idx="8">
                  <c:v>16.04</c:v>
                </c:pt>
                <c:pt idx="9">
                  <c:v>16.06</c:v>
                </c:pt>
                <c:pt idx="10">
                  <c:v>16.11</c:v>
                </c:pt>
                <c:pt idx="11">
                  <c:v>16.19</c:v>
                </c:pt>
                <c:pt idx="12">
                  <c:v>16.14</c:v>
                </c:pt>
                <c:pt idx="13">
                  <c:v>16.16</c:v>
                </c:pt>
                <c:pt idx="14">
                  <c:v>15.72</c:v>
                </c:pt>
                <c:pt idx="15">
                  <c:v>15.52</c:v>
                </c:pt>
                <c:pt idx="16">
                  <c:v>15.71</c:v>
                </c:pt>
                <c:pt idx="17">
                  <c:v>15.82</c:v>
                </c:pt>
                <c:pt idx="18">
                  <c:v>15.87</c:v>
                </c:pt>
                <c:pt idx="19">
                  <c:v>15.96</c:v>
                </c:pt>
                <c:pt idx="20">
                  <c:v>15.74</c:v>
                </c:pt>
                <c:pt idx="21">
                  <c:v>15.73</c:v>
                </c:pt>
                <c:pt idx="22">
                  <c:v>15.62</c:v>
                </c:pt>
                <c:pt idx="23">
                  <c:v>15.65</c:v>
                </c:pt>
                <c:pt idx="24">
                  <c:v>15.48</c:v>
                </c:pt>
                <c:pt idx="25">
                  <c:v>15.46</c:v>
                </c:pt>
                <c:pt idx="26">
                  <c:v>15.1</c:v>
                </c:pt>
                <c:pt idx="27">
                  <c:v>15.35</c:v>
                </c:pt>
                <c:pt idx="28">
                  <c:v>15.21</c:v>
                </c:pt>
                <c:pt idx="29">
                  <c:v>15.26</c:v>
                </c:pt>
                <c:pt idx="30">
                  <c:v>15.33</c:v>
                </c:pt>
                <c:pt idx="31">
                  <c:v>15.39</c:v>
                </c:pt>
                <c:pt idx="32">
                  <c:v>15.42</c:v>
                </c:pt>
                <c:pt idx="33">
                  <c:v>15.42</c:v>
                </c:pt>
                <c:pt idx="34">
                  <c:v>15.61</c:v>
                </c:pt>
                <c:pt idx="35">
                  <c:v>15.65</c:v>
                </c:pt>
                <c:pt idx="36">
                  <c:v>15.73</c:v>
                </c:pt>
                <c:pt idx="37">
                  <c:v>15.74</c:v>
                </c:pt>
                <c:pt idx="38">
                  <c:v>15.74</c:v>
                </c:pt>
                <c:pt idx="39">
                  <c:v>15.74</c:v>
                </c:pt>
                <c:pt idx="40">
                  <c:v>15.9</c:v>
                </c:pt>
                <c:pt idx="41">
                  <c:v>16.26</c:v>
                </c:pt>
                <c:pt idx="42">
                  <c:v>16.46</c:v>
                </c:pt>
                <c:pt idx="43">
                  <c:v>16.48</c:v>
                </c:pt>
                <c:pt idx="44">
                  <c:v>16.48</c:v>
                </c:pt>
                <c:pt idx="45">
                  <c:v>16.46</c:v>
                </c:pt>
                <c:pt idx="46">
                  <c:v>16.46</c:v>
                </c:pt>
                <c:pt idx="47">
                  <c:v>16.6</c:v>
                </c:pt>
                <c:pt idx="48">
                  <c:v>16.51</c:v>
                </c:pt>
                <c:pt idx="49">
                  <c:v>16.46</c:v>
                </c:pt>
                <c:pt idx="50">
                  <c:v>16.46</c:v>
                </c:pt>
                <c:pt idx="51">
                  <c:v>16.46</c:v>
                </c:pt>
                <c:pt idx="52">
                  <c:v>16.67</c:v>
                </c:pt>
                <c:pt idx="53">
                  <c:v>16.66</c:v>
                </c:pt>
                <c:pt idx="54">
                  <c:v>16.91</c:v>
                </c:pt>
                <c:pt idx="55">
                  <c:v>16.87</c:v>
                </c:pt>
                <c:pt idx="56">
                  <c:v>16.86</c:v>
                </c:pt>
                <c:pt idx="57">
                  <c:v>16.86</c:v>
                </c:pt>
                <c:pt idx="58">
                  <c:v>16.87</c:v>
                </c:pt>
                <c:pt idx="59">
                  <c:v>17.63</c:v>
                </c:pt>
                <c:pt idx="60">
                  <c:v>17.63</c:v>
                </c:pt>
                <c:pt idx="61">
                  <c:v>17.79</c:v>
                </c:pt>
                <c:pt idx="62">
                  <c:v>17.78</c:v>
                </c:pt>
                <c:pt idx="63">
                  <c:v>17.84</c:v>
                </c:pt>
                <c:pt idx="64">
                  <c:v>17.9</c:v>
                </c:pt>
                <c:pt idx="65">
                  <c:v>17.94</c:v>
                </c:pt>
                <c:pt idx="66">
                  <c:v>17.93</c:v>
                </c:pt>
                <c:pt idx="67">
                  <c:v>17.91</c:v>
                </c:pt>
                <c:pt idx="68">
                  <c:v>17.93</c:v>
                </c:pt>
                <c:pt idx="69">
                  <c:v>17.63</c:v>
                </c:pt>
                <c:pt idx="70">
                  <c:v>17.65</c:v>
                </c:pt>
                <c:pt idx="71">
                  <c:v>17.6</c:v>
                </c:pt>
                <c:pt idx="72">
                  <c:v>16.59</c:v>
                </c:pt>
                <c:pt idx="73">
                  <c:v>16.61</c:v>
                </c:pt>
                <c:pt idx="74">
                  <c:v>16.6</c:v>
                </c:pt>
                <c:pt idx="75">
                  <c:v>16.51</c:v>
                </c:pt>
                <c:pt idx="76">
                  <c:v>16.09</c:v>
                </c:pt>
                <c:pt idx="77">
                  <c:v>15.96</c:v>
                </c:pt>
                <c:pt idx="78">
                  <c:v>16.07</c:v>
                </c:pt>
                <c:pt idx="79">
                  <c:v>16.04</c:v>
                </c:pt>
                <c:pt idx="80">
                  <c:v>16.03</c:v>
                </c:pt>
                <c:pt idx="81">
                  <c:v>15.78</c:v>
                </c:pt>
                <c:pt idx="82">
                  <c:v>15.74</c:v>
                </c:pt>
                <c:pt idx="83">
                  <c:v>15.74</c:v>
                </c:pt>
                <c:pt idx="84">
                  <c:v>15.76</c:v>
                </c:pt>
                <c:pt idx="85">
                  <c:v>15.77</c:v>
                </c:pt>
                <c:pt idx="86">
                  <c:v>15.89</c:v>
                </c:pt>
                <c:pt idx="87">
                  <c:v>15.92</c:v>
                </c:pt>
                <c:pt idx="88">
                  <c:v>15.93</c:v>
                </c:pt>
                <c:pt idx="89">
                  <c:v>15.94</c:v>
                </c:pt>
                <c:pt idx="90">
                  <c:v>15.94</c:v>
                </c:pt>
                <c:pt idx="91">
                  <c:v>15.57</c:v>
                </c:pt>
                <c:pt idx="92">
                  <c:v>15.51</c:v>
                </c:pt>
                <c:pt idx="93">
                  <c:v>15.47</c:v>
                </c:pt>
                <c:pt idx="94">
                  <c:v>15.48</c:v>
                </c:pt>
                <c:pt idx="95">
                  <c:v>15.44</c:v>
                </c:pt>
                <c:pt idx="96">
                  <c:v>15.44</c:v>
                </c:pt>
                <c:pt idx="97">
                  <c:v>15.56</c:v>
                </c:pt>
                <c:pt idx="98">
                  <c:v>15.65</c:v>
                </c:pt>
                <c:pt idx="99">
                  <c:v>15.65</c:v>
                </c:pt>
                <c:pt idx="100">
                  <c:v>15.62</c:v>
                </c:pt>
                <c:pt idx="101">
                  <c:v>15.62</c:v>
                </c:pt>
                <c:pt idx="102">
                  <c:v>15.68</c:v>
                </c:pt>
                <c:pt idx="103">
                  <c:v>15.72</c:v>
                </c:pt>
                <c:pt idx="104">
                  <c:v>15.81</c:v>
                </c:pt>
                <c:pt idx="105">
                  <c:v>15.91</c:v>
                </c:pt>
                <c:pt idx="106">
                  <c:v>15.9</c:v>
                </c:pt>
                <c:pt idx="107">
                  <c:v>15.92</c:v>
                </c:pt>
                <c:pt idx="108">
                  <c:v>15.9</c:v>
                </c:pt>
                <c:pt idx="109">
                  <c:v>15.89</c:v>
                </c:pt>
                <c:pt idx="110">
                  <c:v>15.57</c:v>
                </c:pt>
                <c:pt idx="111">
                  <c:v>15.59</c:v>
                </c:pt>
                <c:pt idx="112">
                  <c:v>15.82</c:v>
                </c:pt>
                <c:pt idx="113">
                  <c:v>15.44</c:v>
                </c:pt>
                <c:pt idx="114">
                  <c:v>15.4</c:v>
                </c:pt>
                <c:pt idx="115">
                  <c:v>15.39</c:v>
                </c:pt>
                <c:pt idx="116">
                  <c:v>15.42</c:v>
                </c:pt>
                <c:pt idx="117">
                  <c:v>15.44</c:v>
                </c:pt>
                <c:pt idx="118">
                  <c:v>15.29</c:v>
                </c:pt>
                <c:pt idx="119">
                  <c:v>15.28</c:v>
                </c:pt>
                <c:pt idx="120">
                  <c:v>15.25</c:v>
                </c:pt>
                <c:pt idx="121">
                  <c:v>15.24</c:v>
                </c:pt>
                <c:pt idx="122">
                  <c:v>15.26</c:v>
                </c:pt>
                <c:pt idx="123">
                  <c:v>15.28</c:v>
                </c:pt>
                <c:pt idx="124">
                  <c:v>15.29</c:v>
                </c:pt>
                <c:pt idx="125">
                  <c:v>15.26</c:v>
                </c:pt>
                <c:pt idx="126">
                  <c:v>15.04</c:v>
                </c:pt>
                <c:pt idx="127">
                  <c:v>14.83</c:v>
                </c:pt>
                <c:pt idx="128">
                  <c:v>14.79</c:v>
                </c:pt>
                <c:pt idx="129">
                  <c:v>14.77</c:v>
                </c:pt>
                <c:pt idx="130">
                  <c:v>14.06</c:v>
                </c:pt>
                <c:pt idx="131">
                  <c:v>14.04</c:v>
                </c:pt>
                <c:pt idx="132">
                  <c:v>13.96</c:v>
                </c:pt>
                <c:pt idx="133">
                  <c:v>13.94</c:v>
                </c:pt>
                <c:pt idx="134">
                  <c:v>13.93</c:v>
                </c:pt>
                <c:pt idx="135">
                  <c:v>13.94</c:v>
                </c:pt>
                <c:pt idx="136">
                  <c:v>13.89</c:v>
                </c:pt>
                <c:pt idx="137">
                  <c:v>13.89</c:v>
                </c:pt>
                <c:pt idx="138">
                  <c:v>13.91</c:v>
                </c:pt>
                <c:pt idx="139">
                  <c:v>13.9</c:v>
                </c:pt>
                <c:pt idx="140">
                  <c:v>13.86</c:v>
                </c:pt>
                <c:pt idx="141">
                  <c:v>13.81</c:v>
                </c:pt>
                <c:pt idx="142">
                  <c:v>13.8</c:v>
                </c:pt>
                <c:pt idx="143">
                  <c:v>13.8</c:v>
                </c:pt>
                <c:pt idx="144">
                  <c:v>13.81</c:v>
                </c:pt>
                <c:pt idx="145">
                  <c:v>13.83</c:v>
                </c:pt>
                <c:pt idx="146">
                  <c:v>13.83</c:v>
                </c:pt>
                <c:pt idx="147">
                  <c:v>13.9</c:v>
                </c:pt>
                <c:pt idx="148">
                  <c:v>13.92</c:v>
                </c:pt>
                <c:pt idx="149">
                  <c:v>13.92</c:v>
                </c:pt>
                <c:pt idx="150">
                  <c:v>13.91</c:v>
                </c:pt>
                <c:pt idx="151">
                  <c:v>13.88</c:v>
                </c:pt>
                <c:pt idx="152">
                  <c:v>13.76</c:v>
                </c:pt>
                <c:pt idx="153">
                  <c:v>13.74</c:v>
                </c:pt>
                <c:pt idx="154">
                  <c:v>13.76</c:v>
                </c:pt>
                <c:pt idx="155">
                  <c:v>13.77</c:v>
                </c:pt>
                <c:pt idx="156">
                  <c:v>13.791</c:v>
                </c:pt>
                <c:pt idx="157">
                  <c:v>13.79</c:v>
                </c:pt>
                <c:pt idx="158" c:formatCode="#,##0.00_ ">
                  <c:v>13.78</c:v>
                </c:pt>
                <c:pt idx="159" c:formatCode="#,##0.00_ ">
                  <c:v>13.66</c:v>
                </c:pt>
                <c:pt idx="160" c:formatCode="#,##0.00_ ">
                  <c:v>13.67</c:v>
                </c:pt>
                <c:pt idx="161" c:formatCode="#,##0.00_ ">
                  <c:v>13.66</c:v>
                </c:pt>
                <c:pt idx="162" c:formatCode="#,##0.00_ ">
                  <c:v>13.65</c:v>
                </c:pt>
                <c:pt idx="163" c:formatCode="#,##0.00_ ">
                  <c:v>13.62</c:v>
                </c:pt>
                <c:pt idx="164" c:formatCode="#,##0.00_ ">
                  <c:v>13.61</c:v>
                </c:pt>
                <c:pt idx="165" c:formatCode="#,##0.00_ ">
                  <c:v>13.47</c:v>
                </c:pt>
                <c:pt idx="166" c:formatCode="#,##0.00_ ">
                  <c:v>13.45</c:v>
                </c:pt>
                <c:pt idx="167" c:formatCode="#,##0.00_ ">
                  <c:v>13.4</c:v>
                </c:pt>
                <c:pt idx="168" c:formatCode="#,##0.00_ ">
                  <c:v>13.33</c:v>
                </c:pt>
                <c:pt idx="169" c:formatCode="#,##0.00_ ">
                  <c:v>13.17</c:v>
                </c:pt>
                <c:pt idx="170" c:formatCode="#,##0.00_ ">
                  <c:v>13.21</c:v>
                </c:pt>
                <c:pt idx="171" c:formatCode="#,##0.00_ ">
                  <c:v>13.27</c:v>
                </c:pt>
                <c:pt idx="172" c:formatCode="#,##0.00_ ">
                  <c:v>12.96</c:v>
                </c:pt>
                <c:pt idx="173" c:formatCode="#,##0.00_ ">
                  <c:v>12.92</c:v>
                </c:pt>
                <c:pt idx="174" c:formatCode="#,##0.00_ ">
                  <c:v>12.91</c:v>
                </c:pt>
                <c:pt idx="175" c:formatCode="#,##0.00_ ">
                  <c:v>13.02</c:v>
                </c:pt>
                <c:pt idx="176" c:formatCode="#,##0.00_ ">
                  <c:v>13.05</c:v>
                </c:pt>
                <c:pt idx="177" c:formatCode="#,##0.00_ ">
                  <c:v>13.21</c:v>
                </c:pt>
                <c:pt idx="178" c:formatCode="#,##0.00_ ">
                  <c:v>13.37</c:v>
                </c:pt>
                <c:pt idx="179" c:formatCode="#,##0.00_ ">
                  <c:v>13.49</c:v>
                </c:pt>
                <c:pt idx="180" c:formatCode="#,##0.00_ ">
                  <c:v>13.55</c:v>
                </c:pt>
                <c:pt idx="181" c:formatCode="#,##0.00_ ">
                  <c:v>13.55</c:v>
                </c:pt>
                <c:pt idx="182" c:formatCode="#,##0.00_ ">
                  <c:v>13.5</c:v>
                </c:pt>
                <c:pt idx="183" c:formatCode="#,##0.00_ ">
                  <c:v>13.35</c:v>
                </c:pt>
                <c:pt idx="184" c:formatCode="#,##0.00_ ">
                  <c:v>13.33</c:v>
                </c:pt>
                <c:pt idx="185" c:formatCode="#,##0.00_ ">
                  <c:v>13.31</c:v>
                </c:pt>
                <c:pt idx="186" c:formatCode="#,##0.00_ ">
                  <c:v>13.31</c:v>
                </c:pt>
                <c:pt idx="187" c:formatCode="#,##0.00_ ">
                  <c:v>13.35</c:v>
                </c:pt>
                <c:pt idx="188" c:formatCode="#,##0.00_ ">
                  <c:v>13.46</c:v>
                </c:pt>
                <c:pt idx="189" c:formatCode="#,##0.00_ ">
                  <c:v>13.44</c:v>
                </c:pt>
                <c:pt idx="190" c:formatCode="#,##0.00_ ">
                  <c:v>13.44</c:v>
                </c:pt>
                <c:pt idx="191" c:formatCode="#,##0.00_ ">
                  <c:v>13.44</c:v>
                </c:pt>
                <c:pt idx="192" c:formatCode="#,##0.00_ ">
                  <c:v>13.47</c:v>
                </c:pt>
                <c:pt idx="193" c:formatCode="#,##0.00_ ">
                  <c:v>13.48</c:v>
                </c:pt>
                <c:pt idx="194" c:formatCode="#,##0.00_ ">
                  <c:v>13.49</c:v>
                </c:pt>
                <c:pt idx="195" c:formatCode="#,##0.00_ ">
                  <c:v>13.67</c:v>
                </c:pt>
                <c:pt idx="196" c:formatCode="#,##0.00_ ">
                  <c:v>13.74</c:v>
                </c:pt>
                <c:pt idx="197" c:formatCode="#,##0.00_ ">
                  <c:v>13.74</c:v>
                </c:pt>
                <c:pt idx="198" c:formatCode="#,##0.00_ ">
                  <c:v>13.05</c:v>
                </c:pt>
                <c:pt idx="199" c:formatCode="#,##0.00_ ">
                  <c:v>13.07</c:v>
                </c:pt>
                <c:pt idx="200" c:formatCode="#,##0.00_ ">
                  <c:v>13.09</c:v>
                </c:pt>
                <c:pt idx="201" c:formatCode="#,##0.00_ ">
                  <c:v>13.09</c:v>
                </c:pt>
                <c:pt idx="202" c:formatCode="#,##0.00_ ">
                  <c:v>13.1</c:v>
                </c:pt>
                <c:pt idx="203" c:formatCode="#,##0.00_ ">
                  <c:v>13.11</c:v>
                </c:pt>
                <c:pt idx="204" c:formatCode="#,##0.00_ ">
                  <c:v>13.1</c:v>
                </c:pt>
                <c:pt idx="205" c:formatCode="#,##0.00_ ">
                  <c:v>13.1</c:v>
                </c:pt>
                <c:pt idx="206" c:formatCode="#,##0.00_ ">
                  <c:v>13.09</c:v>
                </c:pt>
                <c:pt idx="207" c:formatCode="#,##0.00_ ">
                  <c:v>13.09</c:v>
                </c:pt>
                <c:pt idx="208" c:formatCode="#,##0.00_ ">
                  <c:v>12.49</c:v>
                </c:pt>
                <c:pt idx="209" c:formatCode="#,##0.00_ ">
                  <c:v>12.49</c:v>
                </c:pt>
                <c:pt idx="210" c:formatCode="#,##0.00_ ">
                  <c:v>12.49</c:v>
                </c:pt>
                <c:pt idx="211" c:formatCode="#,##0.00_ ">
                  <c:v>12.49</c:v>
                </c:pt>
                <c:pt idx="212" c:formatCode="#,##0.00_ ">
                  <c:v>12.48</c:v>
                </c:pt>
                <c:pt idx="213" c:formatCode="#,##0.00_ ">
                  <c:v>12.41</c:v>
                </c:pt>
                <c:pt idx="214" c:formatCode="#,##0.00_ ">
                  <c:v>12.35</c:v>
                </c:pt>
                <c:pt idx="215" c:formatCode="#,##0.00_ ">
                  <c:v>12.34</c:v>
                </c:pt>
                <c:pt idx="216" c:formatCode="#,##0.00_ ">
                  <c:v>12.34</c:v>
                </c:pt>
                <c:pt idx="217" c:formatCode="#,##0.00_ ">
                  <c:v>12.4</c:v>
                </c:pt>
                <c:pt idx="218" c:formatCode="#,##0.00_ ">
                  <c:v>12.45</c:v>
                </c:pt>
                <c:pt idx="219" c:formatCode="#,##0.00_ ">
                  <c:v>12.46</c:v>
                </c:pt>
                <c:pt idx="220" c:formatCode="#,##0.00_ ">
                  <c:v>12.52</c:v>
                </c:pt>
                <c:pt idx="221" c:formatCode="#,##0.00_ ">
                  <c:v>12.49</c:v>
                </c:pt>
                <c:pt idx="222" c:formatCode="#,##0.00_ ">
                  <c:v>12.49</c:v>
                </c:pt>
                <c:pt idx="223" c:formatCode="#,##0.00_ ">
                  <c:v>12.49</c:v>
                </c:pt>
                <c:pt idx="224" c:formatCode="#,##0.00_ ">
                  <c:v>12.48</c:v>
                </c:pt>
                <c:pt idx="225" c:formatCode="#,##0.00_ ">
                  <c:v>12.01</c:v>
                </c:pt>
                <c:pt idx="226" c:formatCode="#,##0.00_ ">
                  <c:v>12.18</c:v>
                </c:pt>
                <c:pt idx="227" c:formatCode="#,##0.00_ ">
                  <c:v>12.18</c:v>
                </c:pt>
                <c:pt idx="228" c:formatCode="#,##0.00_ ">
                  <c:v>12.17</c:v>
                </c:pt>
                <c:pt idx="229" c:formatCode="#,##0.00_ ">
                  <c:v>12.33</c:v>
                </c:pt>
                <c:pt idx="230" c:formatCode="#,##0.00_ ">
                  <c:v>12.33</c:v>
                </c:pt>
                <c:pt idx="231" c:formatCode="#,##0.00_ ">
                  <c:v>12.36</c:v>
                </c:pt>
                <c:pt idx="232" c:formatCode="#,##0.00_ ">
                  <c:v>12.36</c:v>
                </c:pt>
                <c:pt idx="233" c:formatCode="#,##0.00_ ">
                  <c:v>12.37</c:v>
                </c:pt>
                <c:pt idx="234" c:formatCode="#,##0.00_ ">
                  <c:v>12.37</c:v>
                </c:pt>
                <c:pt idx="235" c:formatCode="#,##0.00_ ">
                  <c:v>12.35</c:v>
                </c:pt>
                <c:pt idx="236" c:formatCode="#,##0.00_ ">
                  <c:v>12.34</c:v>
                </c:pt>
                <c:pt idx="237" c:formatCode="#,##0.00_ ">
                  <c:v>12.19</c:v>
                </c:pt>
                <c:pt idx="238" c:formatCode="#,##0.00_ ">
                  <c:v>12.15</c:v>
                </c:pt>
                <c:pt idx="239" c:formatCode="#,##0.00_ ">
                  <c:v>12.15</c:v>
                </c:pt>
                <c:pt idx="240" c:formatCode="#,##0.00_ ">
                  <c:v>12.12</c:v>
                </c:pt>
                <c:pt idx="241" c:formatCode="#,##0.00_ ">
                  <c:v>12.11</c:v>
                </c:pt>
                <c:pt idx="242" c:formatCode="#,##0.00_ ">
                  <c:v>11.98</c:v>
                </c:pt>
                <c:pt idx="243" c:formatCode="#,##0.00_ ">
                  <c:v>11.98</c:v>
                </c:pt>
                <c:pt idx="244" c:formatCode="#,##0.00_ ">
                  <c:v>12.01</c:v>
                </c:pt>
                <c:pt idx="245" c:formatCode="#,##0.00_ ">
                  <c:v>12.01</c:v>
                </c:pt>
                <c:pt idx="246" c:formatCode="#,##0.00_ ">
                  <c:v>12.01</c:v>
                </c:pt>
                <c:pt idx="247" c:formatCode="#,##0.00_ ">
                  <c:v>12.01</c:v>
                </c:pt>
                <c:pt idx="248" c:formatCode="#,##0.00_ ">
                  <c:v>12.01</c:v>
                </c:pt>
                <c:pt idx="249" c:formatCode="#,##0.00_ ">
                  <c:v>12.01</c:v>
                </c:pt>
                <c:pt idx="250" c:formatCode="#,##0.00_ ">
                  <c:v>12.01</c:v>
                </c:pt>
                <c:pt idx="251" c:formatCode="#,##0.00_ ">
                  <c:v>12.01</c:v>
                </c:pt>
                <c:pt idx="252" c:formatCode="#,##0.00_ ">
                  <c:v>12</c:v>
                </c:pt>
                <c:pt idx="253" c:formatCode="#,##0.00_ ">
                  <c:v>11.99</c:v>
                </c:pt>
                <c:pt idx="254" c:formatCode="#,##0.00_ ">
                  <c:v>12</c:v>
                </c:pt>
                <c:pt idx="255" c:formatCode="#,##0.00_ ">
                  <c:v>12.1</c:v>
                </c:pt>
                <c:pt idx="256" c:formatCode="#,##0.00_ ">
                  <c:v>12.1</c:v>
                </c:pt>
                <c:pt idx="257" c:formatCode="#,##0.00_ ">
                  <c:v>12.13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养殖成本预期、当期!$M$2</c:f>
              <c:strCache>
                <c:ptCount val="1"/>
                <c:pt idx="0">
                  <c:v>外购仔猪育肥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养殖成本预期、当期!$K$3:$K$469</c:f>
              <c:numCache>
                <c:formatCode>yyyy/m/d;@</c:formatCode>
                <c:ptCount val="467"/>
                <c:pt idx="0" c:formatCode="yyyy/m/d;@">
                  <c:v>44427</c:v>
                </c:pt>
                <c:pt idx="1" c:formatCode="yyyy/m/d;@">
                  <c:v>44434</c:v>
                </c:pt>
                <c:pt idx="2" c:formatCode="yyyy/m/d;@">
                  <c:v>44441</c:v>
                </c:pt>
                <c:pt idx="3" c:formatCode="yyyy/m/d;@">
                  <c:v>44448</c:v>
                </c:pt>
                <c:pt idx="4" c:formatCode="yyyy/m/d;@">
                  <c:v>44455</c:v>
                </c:pt>
                <c:pt idx="5" c:formatCode="yyyy/m/d;@">
                  <c:v>44462</c:v>
                </c:pt>
                <c:pt idx="6" c:formatCode="yyyy/m/d;@">
                  <c:v>44469</c:v>
                </c:pt>
                <c:pt idx="7" c:formatCode="yyyy/m/d;@">
                  <c:v>44477</c:v>
                </c:pt>
                <c:pt idx="8" c:formatCode="yyyy/m/d;@">
                  <c:v>44483</c:v>
                </c:pt>
                <c:pt idx="9" c:formatCode="yyyy/m/d;@">
                  <c:v>44490</c:v>
                </c:pt>
                <c:pt idx="10" c:formatCode="yyyy/m/d;@">
                  <c:v>44497</c:v>
                </c:pt>
                <c:pt idx="11" c:formatCode="yyyy/m/d;@">
                  <c:v>44504</c:v>
                </c:pt>
                <c:pt idx="12" c:formatCode="yyyy/m/d;@">
                  <c:v>44511</c:v>
                </c:pt>
                <c:pt idx="13" c:formatCode="yyyy/m/d;@">
                  <c:v>44518</c:v>
                </c:pt>
                <c:pt idx="14" c:formatCode="yyyy/m/d;@">
                  <c:v>44525</c:v>
                </c:pt>
                <c:pt idx="15" c:formatCode="yyyy/m/d;@">
                  <c:v>44532</c:v>
                </c:pt>
                <c:pt idx="16" c:formatCode="yyyy/m/d;@">
                  <c:v>44539</c:v>
                </c:pt>
                <c:pt idx="17" c:formatCode="yyyy/m/d;@">
                  <c:v>44546</c:v>
                </c:pt>
                <c:pt idx="18" c:formatCode="yyyy/m/d;@">
                  <c:v>44553</c:v>
                </c:pt>
                <c:pt idx="19" c:formatCode="yyyy/m/d;@">
                  <c:v>44560</c:v>
                </c:pt>
                <c:pt idx="20" c:formatCode="yyyy/m/d;@">
                  <c:v>44567</c:v>
                </c:pt>
                <c:pt idx="21" c:formatCode="yyyy/m/d;@">
                  <c:v>44574</c:v>
                </c:pt>
                <c:pt idx="22" c:formatCode="yyyy/m/d;@">
                  <c:v>44581</c:v>
                </c:pt>
                <c:pt idx="23" c:formatCode="yyyy/m/d;@">
                  <c:v>44587</c:v>
                </c:pt>
                <c:pt idx="24" c:formatCode="yyyy/m/d;@">
                  <c:v>44602</c:v>
                </c:pt>
                <c:pt idx="25" c:formatCode="yyyy/m/d;@">
                  <c:v>44609</c:v>
                </c:pt>
                <c:pt idx="26" c:formatCode="yyyy/m/d;@">
                  <c:v>44616</c:v>
                </c:pt>
                <c:pt idx="27" c:formatCode="yyyy/m/d;@">
                  <c:v>44623</c:v>
                </c:pt>
                <c:pt idx="28" c:formatCode="yyyy/m/d;@">
                  <c:v>44630</c:v>
                </c:pt>
                <c:pt idx="29" c:formatCode="yyyy/m/d;@">
                  <c:v>44637</c:v>
                </c:pt>
                <c:pt idx="30" c:formatCode="yyyy/m/d;@">
                  <c:v>44644</c:v>
                </c:pt>
                <c:pt idx="31" c:formatCode="yyyy/m/d;@">
                  <c:v>44651</c:v>
                </c:pt>
                <c:pt idx="32" c:formatCode="yyyy/m/d;@">
                  <c:v>44658</c:v>
                </c:pt>
                <c:pt idx="33" c:formatCode="yyyy/m/d;@">
                  <c:v>44665</c:v>
                </c:pt>
                <c:pt idx="34" c:formatCode="yyyy/m/d;@">
                  <c:v>44672</c:v>
                </c:pt>
                <c:pt idx="35" c:formatCode="yyyy/m/d;@">
                  <c:v>44679</c:v>
                </c:pt>
                <c:pt idx="36" c:formatCode="yyyy/m/d;@">
                  <c:v>44686</c:v>
                </c:pt>
                <c:pt idx="37" c:formatCode="yyyy/m/d;@">
                  <c:v>44693</c:v>
                </c:pt>
                <c:pt idx="38" c:formatCode="yyyy/m/d;@">
                  <c:v>44700</c:v>
                </c:pt>
                <c:pt idx="39" c:formatCode="yyyy/m/d;@">
                  <c:v>44707</c:v>
                </c:pt>
                <c:pt idx="40" c:formatCode="yyyy/m/d;@">
                  <c:v>44714</c:v>
                </c:pt>
                <c:pt idx="41" c:formatCode="yyyy/m/d;@">
                  <c:v>44721</c:v>
                </c:pt>
                <c:pt idx="42" c:formatCode="yyyy/m/d;@">
                  <c:v>44728</c:v>
                </c:pt>
                <c:pt idx="43" c:formatCode="yyyy/m/d;@">
                  <c:v>44735</c:v>
                </c:pt>
                <c:pt idx="44" c:formatCode="yyyy/m/d;@">
                  <c:v>44742</c:v>
                </c:pt>
                <c:pt idx="45" c:formatCode="yyyy/m/d;@">
                  <c:v>44749</c:v>
                </c:pt>
                <c:pt idx="46" c:formatCode="yyyy/m/d;@">
                  <c:v>44756</c:v>
                </c:pt>
                <c:pt idx="47" c:formatCode="yyyy/m/d;@">
                  <c:v>44763</c:v>
                </c:pt>
                <c:pt idx="48" c:formatCode="yyyy/m/d;@">
                  <c:v>44770</c:v>
                </c:pt>
                <c:pt idx="49" c:formatCode="yyyy/m/d;@">
                  <c:v>44777</c:v>
                </c:pt>
                <c:pt idx="50" c:formatCode="yyyy/m/d;@">
                  <c:v>44784</c:v>
                </c:pt>
                <c:pt idx="51" c:formatCode="yyyy/m/d;@">
                  <c:v>44791</c:v>
                </c:pt>
                <c:pt idx="52" c:formatCode="yyyy/m/d;@">
                  <c:v>44798</c:v>
                </c:pt>
                <c:pt idx="53" c:formatCode="yyyy/m/d;@">
                  <c:v>44805</c:v>
                </c:pt>
                <c:pt idx="54" c:formatCode="yyyy/m/d;@">
                  <c:v>44812</c:v>
                </c:pt>
                <c:pt idx="55" c:formatCode="yyyy/m/d;@">
                  <c:v>44819</c:v>
                </c:pt>
                <c:pt idx="56" c:formatCode="yyyy/m/d;@">
                  <c:v>44826</c:v>
                </c:pt>
                <c:pt idx="57" c:formatCode="yyyy/m/d;@">
                  <c:v>44833</c:v>
                </c:pt>
                <c:pt idx="58" c:formatCode="yyyy/m/d;@">
                  <c:v>44842</c:v>
                </c:pt>
                <c:pt idx="59" c:formatCode="yyyy/m/d;@">
                  <c:v>44847</c:v>
                </c:pt>
                <c:pt idx="60" c:formatCode="yyyy/m/d;@">
                  <c:v>44854</c:v>
                </c:pt>
                <c:pt idx="61" c:formatCode="yyyy/m/d;@">
                  <c:v>44861</c:v>
                </c:pt>
                <c:pt idx="62" c:formatCode="yyyy/m/d;@">
                  <c:v>44868</c:v>
                </c:pt>
                <c:pt idx="63" c:formatCode="yyyy/m/d;@">
                  <c:v>44875</c:v>
                </c:pt>
                <c:pt idx="64" c:formatCode="yyyy/m/d;@">
                  <c:v>44882</c:v>
                </c:pt>
                <c:pt idx="65" c:formatCode="yyyy/m/d;@">
                  <c:v>44889</c:v>
                </c:pt>
                <c:pt idx="66" c:formatCode="yyyy/m/d;@">
                  <c:v>44896</c:v>
                </c:pt>
                <c:pt idx="67" c:formatCode="yyyy/m/d;@">
                  <c:v>44903</c:v>
                </c:pt>
                <c:pt idx="68" c:formatCode="yyyy/m/d;@">
                  <c:v>44910</c:v>
                </c:pt>
                <c:pt idx="69" c:formatCode="yyyy/m/d;@">
                  <c:v>44917</c:v>
                </c:pt>
                <c:pt idx="70" c:formatCode="yyyy/m/d;@">
                  <c:v>44924</c:v>
                </c:pt>
                <c:pt idx="71" c:formatCode="yyyy/m/d;@">
                  <c:v>44931</c:v>
                </c:pt>
                <c:pt idx="72" c:formatCode="yyyy/m/d;@">
                  <c:v>44938</c:v>
                </c:pt>
                <c:pt idx="73" c:formatCode="yyyy/m/d;@">
                  <c:v>44959</c:v>
                </c:pt>
                <c:pt idx="74" c:formatCode="yyyy/m/d;@">
                  <c:v>44966</c:v>
                </c:pt>
                <c:pt idx="75" c:formatCode="yyyy/m/d;@">
                  <c:v>44973</c:v>
                </c:pt>
                <c:pt idx="76" c:formatCode="yyyy/m/d;@">
                  <c:v>44980</c:v>
                </c:pt>
                <c:pt idx="77" c:formatCode="yyyy/m/d;@">
                  <c:v>44987</c:v>
                </c:pt>
                <c:pt idx="78" c:formatCode="yyyy/m/d;@">
                  <c:v>44994</c:v>
                </c:pt>
                <c:pt idx="79" c:formatCode="yyyy/m/d;@">
                  <c:v>45001</c:v>
                </c:pt>
                <c:pt idx="80" c:formatCode="yyyy/m/d;@">
                  <c:v>45008</c:v>
                </c:pt>
                <c:pt idx="81" c:formatCode="yyyy/m/d;@">
                  <c:v>45015</c:v>
                </c:pt>
                <c:pt idx="82" c:formatCode="yyyy/m/d;@">
                  <c:v>45022</c:v>
                </c:pt>
                <c:pt idx="83" c:formatCode="yyyy/m/d;@">
                  <c:v>45029</c:v>
                </c:pt>
                <c:pt idx="84" c:formatCode="yyyy/m/d;@">
                  <c:v>45036</c:v>
                </c:pt>
                <c:pt idx="85" c:formatCode="yyyy/m/d;@">
                  <c:v>45043</c:v>
                </c:pt>
                <c:pt idx="86" c:formatCode="yyyy/m/d;@">
                  <c:v>45050</c:v>
                </c:pt>
                <c:pt idx="87" c:formatCode="yyyy/m/d;@">
                  <c:v>45057</c:v>
                </c:pt>
                <c:pt idx="88" c:formatCode="yyyy/m/d;@">
                  <c:v>45064</c:v>
                </c:pt>
                <c:pt idx="89" c:formatCode="yyyy/m/d;@">
                  <c:v>45071</c:v>
                </c:pt>
                <c:pt idx="90" c:formatCode="yyyy/m/d;@">
                  <c:v>45078</c:v>
                </c:pt>
                <c:pt idx="91" c:formatCode="yyyy/m/d;@">
                  <c:v>45085</c:v>
                </c:pt>
                <c:pt idx="92" c:formatCode="yyyy/m/d;@">
                  <c:v>45092</c:v>
                </c:pt>
                <c:pt idx="93" c:formatCode="yyyy/m/d;@">
                  <c:v>45098</c:v>
                </c:pt>
                <c:pt idx="94" c:formatCode="yyyy/m/d;@">
                  <c:v>45106</c:v>
                </c:pt>
                <c:pt idx="95" c:formatCode="yyyy/m/d;@">
                  <c:v>45113</c:v>
                </c:pt>
                <c:pt idx="96" c:formatCode="yyyy/m/d;@">
                  <c:v>45120</c:v>
                </c:pt>
                <c:pt idx="97" c:formatCode="yyyy/m/d;@">
                  <c:v>45127</c:v>
                </c:pt>
                <c:pt idx="98" c:formatCode="yyyy/m/d;@">
                  <c:v>45134</c:v>
                </c:pt>
                <c:pt idx="99" c:formatCode="yyyy/m/d;@">
                  <c:v>45141</c:v>
                </c:pt>
                <c:pt idx="100" c:formatCode="yyyy/m/d;@">
                  <c:v>45148</c:v>
                </c:pt>
                <c:pt idx="101" c:formatCode="yyyy/m/d;@">
                  <c:v>45155</c:v>
                </c:pt>
                <c:pt idx="102" c:formatCode="yyyy/m/d;@">
                  <c:v>45162</c:v>
                </c:pt>
                <c:pt idx="103" c:formatCode="yyyy/m/d;@">
                  <c:v>45169</c:v>
                </c:pt>
                <c:pt idx="104" c:formatCode="yyyy/m/d;@">
                  <c:v>45176</c:v>
                </c:pt>
                <c:pt idx="105" c:formatCode="yyyy/m/d;@">
                  <c:v>45183</c:v>
                </c:pt>
                <c:pt idx="106" c:formatCode="yyyy/m/d;@">
                  <c:v>45190</c:v>
                </c:pt>
                <c:pt idx="107" c:formatCode="yyyy/m/d;@">
                  <c:v>45197</c:v>
                </c:pt>
                <c:pt idx="108" c:formatCode="yyyy/m/d;@">
                  <c:v>45205</c:v>
                </c:pt>
                <c:pt idx="109" c:formatCode="yyyy/m/d;@">
                  <c:v>45211</c:v>
                </c:pt>
                <c:pt idx="110" c:formatCode="yyyy/m/d;@">
                  <c:v>45218</c:v>
                </c:pt>
                <c:pt idx="111" c:formatCode="yyyy/m/d;@">
                  <c:v>45225</c:v>
                </c:pt>
                <c:pt idx="112" c:formatCode="yyyy/m/d;@">
                  <c:v>45232</c:v>
                </c:pt>
                <c:pt idx="113" c:formatCode="yyyy/m/d;@">
                  <c:v>45239</c:v>
                </c:pt>
                <c:pt idx="114" c:formatCode="yyyy/m/d;@">
                  <c:v>45246</c:v>
                </c:pt>
                <c:pt idx="115" c:formatCode="yyyy/m/d;@">
                  <c:v>45253</c:v>
                </c:pt>
                <c:pt idx="116" c:formatCode="yyyy/m/d;@">
                  <c:v>45260</c:v>
                </c:pt>
                <c:pt idx="117" c:formatCode="yyyy/m/d;@">
                  <c:v>45267</c:v>
                </c:pt>
                <c:pt idx="118" c:formatCode="yyyy/m/d;@">
                  <c:v>45274</c:v>
                </c:pt>
                <c:pt idx="119" c:formatCode="yyyy/m/d;@">
                  <c:v>45281</c:v>
                </c:pt>
                <c:pt idx="120" c:formatCode="yyyy/m/d;@">
                  <c:v>45288</c:v>
                </c:pt>
                <c:pt idx="121" c:formatCode="yyyy/m/d;@">
                  <c:v>45295</c:v>
                </c:pt>
                <c:pt idx="122" c:formatCode="yyyy/m/d;@">
                  <c:v>45302</c:v>
                </c:pt>
                <c:pt idx="123" c:formatCode="yyyy/m/d;@">
                  <c:v>45309</c:v>
                </c:pt>
                <c:pt idx="124" c:formatCode="yyyy/m/d;@">
                  <c:v>45316</c:v>
                </c:pt>
                <c:pt idx="125" c:formatCode="yyyy/m/d;@">
                  <c:v>45323</c:v>
                </c:pt>
                <c:pt idx="126" c:formatCode="yyyy/m/d;@">
                  <c:v>45344</c:v>
                </c:pt>
                <c:pt idx="127" c:formatCode="yyyy/m/d;@">
                  <c:v>45351</c:v>
                </c:pt>
                <c:pt idx="128" c:formatCode="yyyy/m/d;@">
                  <c:v>45358</c:v>
                </c:pt>
                <c:pt idx="129" c:formatCode="yyyy/m/d;@">
                  <c:v>45365</c:v>
                </c:pt>
                <c:pt idx="130" c:formatCode="yyyy/m/d;@">
                  <c:v>45372</c:v>
                </c:pt>
                <c:pt idx="131" c:formatCode="yyyy/m/d;@">
                  <c:v>45379</c:v>
                </c:pt>
                <c:pt idx="132" c:formatCode="yyyy/m/d;@">
                  <c:v>45385</c:v>
                </c:pt>
                <c:pt idx="133" c:formatCode="yyyy/m/d;@">
                  <c:v>45393</c:v>
                </c:pt>
                <c:pt idx="134" c:formatCode="yyyy/m/d;@">
                  <c:v>45400</c:v>
                </c:pt>
                <c:pt idx="135" c:formatCode="yyyy/m/d;@">
                  <c:v>45407</c:v>
                </c:pt>
                <c:pt idx="136" c:formatCode="yyyy/m/d;@">
                  <c:v>45414</c:v>
                </c:pt>
                <c:pt idx="137" c:formatCode="yyyy/m/d;@">
                  <c:v>45421</c:v>
                </c:pt>
                <c:pt idx="138" c:formatCode="yyyy/m/d;@">
                  <c:v>45428</c:v>
                </c:pt>
                <c:pt idx="139" c:formatCode="yyyy/m/d;@">
                  <c:v>45435</c:v>
                </c:pt>
                <c:pt idx="140" c:formatCode="yyyy/m/d;@">
                  <c:v>45442</c:v>
                </c:pt>
                <c:pt idx="141" c:formatCode="yyyy/m/d;@">
                  <c:v>45449</c:v>
                </c:pt>
                <c:pt idx="142" c:formatCode="yyyy/m/d;@">
                  <c:v>45456</c:v>
                </c:pt>
                <c:pt idx="143" c:formatCode="yyyy/m/d;@">
                  <c:v>45463</c:v>
                </c:pt>
                <c:pt idx="144" c:formatCode="yyyy/m/d;@">
                  <c:v>45470</c:v>
                </c:pt>
                <c:pt idx="145" c:formatCode="yyyy/m/d;@">
                  <c:v>45477</c:v>
                </c:pt>
                <c:pt idx="146" c:formatCode="yyyy/m/d;@">
                  <c:v>45484</c:v>
                </c:pt>
                <c:pt idx="147" c:formatCode="yyyy/m/d;@">
                  <c:v>45491</c:v>
                </c:pt>
                <c:pt idx="148" c:formatCode="yyyy/m/d;@">
                  <c:v>45498</c:v>
                </c:pt>
                <c:pt idx="149" c:formatCode="yyyy/m/d;@">
                  <c:v>45505</c:v>
                </c:pt>
                <c:pt idx="150" c:formatCode="yyyy/m/d;@">
                  <c:v>45512</c:v>
                </c:pt>
                <c:pt idx="151" c:formatCode="yyyy/m/d;@">
                  <c:v>45519</c:v>
                </c:pt>
                <c:pt idx="152" c:formatCode="yyyy/m/d;@">
                  <c:v>45526</c:v>
                </c:pt>
                <c:pt idx="153" c:formatCode="yyyy/m/d;@">
                  <c:v>45533</c:v>
                </c:pt>
                <c:pt idx="154" c:formatCode="yyyy/m/d;@">
                  <c:v>45540</c:v>
                </c:pt>
                <c:pt idx="155" c:formatCode="yyyy/m/d;@">
                  <c:v>45547</c:v>
                </c:pt>
                <c:pt idx="156" c:formatCode="yyyy/m/d;@">
                  <c:v>45554</c:v>
                </c:pt>
                <c:pt idx="157" c:formatCode="yyyy/m/d;@">
                  <c:v>45561</c:v>
                </c:pt>
                <c:pt idx="158" c:formatCode="yyyy/m/d;@">
                  <c:v>45575</c:v>
                </c:pt>
                <c:pt idx="159" c:formatCode="yyyy/m/d;@">
                  <c:v>45582</c:v>
                </c:pt>
                <c:pt idx="160" c:formatCode="yyyy/m/d;@">
                  <c:v>45589</c:v>
                </c:pt>
                <c:pt idx="161" c:formatCode="yyyy/m/d;@">
                  <c:v>45596</c:v>
                </c:pt>
                <c:pt idx="162" c:formatCode="yyyy/m/d;@">
                  <c:v>45603</c:v>
                </c:pt>
                <c:pt idx="163" c:formatCode="yyyy/m/d;@">
                  <c:v>45610</c:v>
                </c:pt>
                <c:pt idx="164" c:formatCode="yyyy/m/d;@">
                  <c:v>45617</c:v>
                </c:pt>
                <c:pt idx="165" c:formatCode="yyyy/m/d;@">
                  <c:v>45624</c:v>
                </c:pt>
                <c:pt idx="166" c:formatCode="yyyy/m/d;@">
                  <c:v>45631</c:v>
                </c:pt>
                <c:pt idx="167" c:formatCode="yyyy/m/d;@">
                  <c:v>45638</c:v>
                </c:pt>
                <c:pt idx="168" c:formatCode="yyyy/m/d;@">
                  <c:v>45645</c:v>
                </c:pt>
                <c:pt idx="169" c:formatCode="yyyy/m/d;@">
                  <c:v>45652</c:v>
                </c:pt>
                <c:pt idx="170" c:formatCode="yyyy/m/d;@">
                  <c:v>45659</c:v>
                </c:pt>
                <c:pt idx="171" c:formatCode="yyyy/m/d;@">
                  <c:v>45666</c:v>
                </c:pt>
                <c:pt idx="172" c:formatCode="yyyy/m/d;@">
                  <c:v>45673</c:v>
                </c:pt>
                <c:pt idx="173" c:formatCode="yyyy/m/d;@">
                  <c:v>45680</c:v>
                </c:pt>
                <c:pt idx="174" c:formatCode="yyyy/m/d;@">
                  <c:v>45694</c:v>
                </c:pt>
                <c:pt idx="175" c:formatCode="yyyy/m/d;@">
                  <c:v>45701</c:v>
                </c:pt>
                <c:pt idx="176" c:formatCode="yyyy/m/d;@">
                  <c:v>45708</c:v>
                </c:pt>
                <c:pt idx="177" c:formatCode="yyyy/m/d;@">
                  <c:v>45715</c:v>
                </c:pt>
                <c:pt idx="178" c:formatCode="yyyy/m/d;@">
                  <c:v>45722</c:v>
                </c:pt>
                <c:pt idx="179" c:formatCode="yyyy/m/d;@">
                  <c:v>45729</c:v>
                </c:pt>
                <c:pt idx="180" c:formatCode="yyyy/m/d;@">
                  <c:v>45736</c:v>
                </c:pt>
                <c:pt idx="181" c:formatCode="yyyy/m/d;@">
                  <c:v>45743</c:v>
                </c:pt>
                <c:pt idx="182" c:formatCode="yyyy/m/d;@">
                  <c:v>45750</c:v>
                </c:pt>
                <c:pt idx="183" c:formatCode="yyyy/m/d;@">
                  <c:v>45757</c:v>
                </c:pt>
                <c:pt idx="184" c:formatCode="yyyy/m/d;@">
                  <c:v>45764</c:v>
                </c:pt>
                <c:pt idx="185" c:formatCode="yyyy/m/d;@">
                  <c:v>45771</c:v>
                </c:pt>
                <c:pt idx="186" c:formatCode="yyyy/m/d;@">
                  <c:v>45777</c:v>
                </c:pt>
                <c:pt idx="187" c:formatCode="yyyy/m/d;@">
                  <c:v>45785</c:v>
                </c:pt>
                <c:pt idx="188" c:formatCode="yyyy/m/d;@">
                  <c:v>45792</c:v>
                </c:pt>
                <c:pt idx="189" c:formatCode="yyyy/m/d;@">
                  <c:v>45799</c:v>
                </c:pt>
                <c:pt idx="190" c:formatCode="yyyy/m/d;@">
                  <c:v>45806</c:v>
                </c:pt>
                <c:pt idx="191" c:formatCode="yyyy/m/d;@">
                  <c:v>45813</c:v>
                </c:pt>
                <c:pt idx="192" c:formatCode="yyyy/m/d;@">
                  <c:v>45820</c:v>
                </c:pt>
                <c:pt idx="193" c:formatCode="yyyy/m/d;@">
                  <c:v>45827</c:v>
                </c:pt>
                <c:pt idx="194" c:formatCode="yyyy/m/d;@">
                  <c:v>45834</c:v>
                </c:pt>
                <c:pt idx="195" c:formatCode="yyyy/m/d;@">
                  <c:v>45841</c:v>
                </c:pt>
                <c:pt idx="196" c:formatCode="yyyy/m/d;@">
                  <c:v>45848</c:v>
                </c:pt>
                <c:pt idx="197" c:formatCode="yyyy/m/d;@">
                  <c:v>45855</c:v>
                </c:pt>
                <c:pt idx="198" c:formatCode="yyyy/m/d;@">
                  <c:v>45862</c:v>
                </c:pt>
                <c:pt idx="199" c:formatCode="yyyy/m/d;@">
                  <c:v>45869</c:v>
                </c:pt>
                <c:pt idx="200" c:formatCode="yyyy/m/d;@">
                  <c:v>45876</c:v>
                </c:pt>
                <c:pt idx="201" c:formatCode="yyyy/m/d;@">
                  <c:v>45883</c:v>
                </c:pt>
                <c:pt idx="202" c:formatCode="yyyy/m/d;@">
                  <c:v>45890</c:v>
                </c:pt>
                <c:pt idx="203" c:formatCode="yyyy/m/d;@">
                  <c:v>45897</c:v>
                </c:pt>
                <c:pt idx="204" c:formatCode="yyyy/m/d;@">
                  <c:v>45904</c:v>
                </c:pt>
                <c:pt idx="205" c:formatCode="yyyy/m/d;@">
                  <c:v>45911</c:v>
                </c:pt>
                <c:pt idx="206" c:formatCode="yyyy/m/d;@">
                  <c:v>45918</c:v>
                </c:pt>
                <c:pt idx="207" c:formatCode="yyyy/m/d;@">
                  <c:v>45925</c:v>
                </c:pt>
                <c:pt idx="208" c:formatCode="yyyy/m/d;@">
                  <c:v>45939</c:v>
                </c:pt>
                <c:pt idx="209" c:formatCode="yyyy/m/d;@">
                  <c:v>45946</c:v>
                </c:pt>
                <c:pt idx="210" c:formatCode="yyyy/m/d;@">
                  <c:v>45953</c:v>
                </c:pt>
                <c:pt idx="211" c:formatCode="yyyy/m/d;@">
                  <c:v>45960</c:v>
                </c:pt>
                <c:pt idx="212" c:formatCode="yyyy/m/d;@">
                  <c:v>45967</c:v>
                </c:pt>
                <c:pt idx="213" c:formatCode="yyyy/m/d;@">
                  <c:v>45974</c:v>
                </c:pt>
                <c:pt idx="214" c:formatCode="yyyy/m/d;@">
                  <c:v>45981</c:v>
                </c:pt>
                <c:pt idx="215" c:formatCode="yyyy/m/d;@">
                  <c:v>45988</c:v>
                </c:pt>
                <c:pt idx="216" c:formatCode="yyyy/m/d;@">
                  <c:v>45995</c:v>
                </c:pt>
                <c:pt idx="217" c:formatCode="yyyy/m/d;@">
                  <c:v>46002</c:v>
                </c:pt>
                <c:pt idx="218" c:formatCode="yyyy/m/d;@">
                  <c:v>46009</c:v>
                </c:pt>
                <c:pt idx="219" c:formatCode="yyyy/m/d;@">
                  <c:v>46016</c:v>
                </c:pt>
                <c:pt idx="220" c:formatCode="yyyy/m/d;@">
                  <c:v>46023</c:v>
                </c:pt>
                <c:pt idx="221" c:formatCode="yyyy/m/d;@">
                  <c:v>46030</c:v>
                </c:pt>
                <c:pt idx="222" c:formatCode="yyyy/m/d;@">
                  <c:v>46037</c:v>
                </c:pt>
                <c:pt idx="223" c:formatCode="yyyy/m/d;@">
                  <c:v>46044</c:v>
                </c:pt>
                <c:pt idx="224" c:formatCode="yyyy/m/d;@">
                  <c:v>46051</c:v>
                </c:pt>
                <c:pt idx="225" c:formatCode="yyyy/m/d;@">
                  <c:v>46058</c:v>
                </c:pt>
                <c:pt idx="226" c:formatCode="yyyy/m/d;@">
                  <c:v>46065</c:v>
                </c:pt>
                <c:pt idx="227" c:formatCode="yyyy/m/d;@">
                  <c:v>46079</c:v>
                </c:pt>
                <c:pt idx="228" c:formatCode="yyyy/m/d;@">
                  <c:v>46086</c:v>
                </c:pt>
                <c:pt idx="229" c:formatCode="yyyy/m/d;@">
                  <c:v>46093</c:v>
                </c:pt>
                <c:pt idx="230" c:formatCode="yyyy/m/d;@">
                  <c:v>46100</c:v>
                </c:pt>
                <c:pt idx="231" c:formatCode="yyyy/m/d;@">
                  <c:v>46107</c:v>
                </c:pt>
                <c:pt idx="232" c:formatCode="yyyy/m/d;@">
                  <c:v>46114</c:v>
                </c:pt>
                <c:pt idx="233" c:formatCode="yyyy/m/d;@">
                  <c:v>46121</c:v>
                </c:pt>
                <c:pt idx="234" c:formatCode="yyyy/m/d;@">
                  <c:v>46128</c:v>
                </c:pt>
                <c:pt idx="235" c:formatCode="yyyy/m/d;@">
                  <c:v>46135</c:v>
                </c:pt>
                <c:pt idx="236" c:formatCode="yyyy/m/d;@">
                  <c:v>46142</c:v>
                </c:pt>
                <c:pt idx="237" c:formatCode="yyyy/m/d;@">
                  <c:v>46149</c:v>
                </c:pt>
                <c:pt idx="238" c:formatCode="yyyy/m/d;@">
                  <c:v>46156</c:v>
                </c:pt>
                <c:pt idx="239" c:formatCode="yyyy/m/d;@">
                  <c:v>46163</c:v>
                </c:pt>
                <c:pt idx="240" c:formatCode="yyyy/m/d;@">
                  <c:v>46170</c:v>
                </c:pt>
                <c:pt idx="241" c:formatCode="yyyy/m/d;@">
                  <c:v>46177</c:v>
                </c:pt>
                <c:pt idx="242" c:formatCode="yyyy/m/d;@">
                  <c:v>46184</c:v>
                </c:pt>
                <c:pt idx="243" c:formatCode="yyyy/m/d;@">
                  <c:v>46191</c:v>
                </c:pt>
                <c:pt idx="244" c:formatCode="yyyy/m/d;@">
                  <c:v>46198</c:v>
                </c:pt>
                <c:pt idx="245" c:formatCode="yyyy/m/d;@">
                  <c:v>46205</c:v>
                </c:pt>
                <c:pt idx="246" c:formatCode="yyyy/m/d;@">
                  <c:v>46212</c:v>
                </c:pt>
                <c:pt idx="247" c:formatCode="yyyy/m/d;@">
                  <c:v>46219</c:v>
                </c:pt>
                <c:pt idx="248" c:formatCode="yyyy/m/d;@">
                  <c:v>46226</c:v>
                </c:pt>
                <c:pt idx="249" c:formatCode="yyyy/m/d;@">
                  <c:v>46233</c:v>
                </c:pt>
                <c:pt idx="250" c:formatCode="yyyy/m/d;@">
                  <c:v>46240</c:v>
                </c:pt>
                <c:pt idx="251" c:formatCode="yyyy/m/d;@">
                  <c:v>46247</c:v>
                </c:pt>
                <c:pt idx="252" c:formatCode="yyyy/m/d;@">
                  <c:v>46254</c:v>
                </c:pt>
                <c:pt idx="253" c:formatCode="yyyy/m/d;@">
                  <c:v>46261</c:v>
                </c:pt>
                <c:pt idx="254" c:formatCode="yyyy/m/d;@">
                  <c:v>46268</c:v>
                </c:pt>
                <c:pt idx="255" c:formatCode="yyyy/m/d;@">
                  <c:v>46275</c:v>
                </c:pt>
                <c:pt idx="256" c:formatCode="yyyy/m/d;@">
                  <c:v>46282</c:v>
                </c:pt>
                <c:pt idx="257" c:formatCode="yyyy/m/d;@">
                  <c:v>46289</c:v>
                </c:pt>
              </c:numCache>
            </c:numRef>
          </c:cat>
          <c:val>
            <c:numRef>
              <c:f>养殖成本预期、当期!$M$3:$M$469</c:f>
              <c:numCache>
                <c:formatCode>0.00_);[Red]\(0.00\)</c:formatCode>
                <c:ptCount val="467"/>
                <c:pt idx="0">
                  <c:v>25.3</c:v>
                </c:pt>
                <c:pt idx="1">
                  <c:v>25.27</c:v>
                </c:pt>
                <c:pt idx="2">
                  <c:v>25.52</c:v>
                </c:pt>
                <c:pt idx="3">
                  <c:v>25.01</c:v>
                </c:pt>
                <c:pt idx="4">
                  <c:v>24.77</c:v>
                </c:pt>
                <c:pt idx="5">
                  <c:v>24.12</c:v>
                </c:pt>
                <c:pt idx="6">
                  <c:v>23.78</c:v>
                </c:pt>
                <c:pt idx="7">
                  <c:v>22.19</c:v>
                </c:pt>
                <c:pt idx="8">
                  <c:v>22.19</c:v>
                </c:pt>
                <c:pt idx="9">
                  <c:v>23.19</c:v>
                </c:pt>
                <c:pt idx="10">
                  <c:v>22.83</c:v>
                </c:pt>
                <c:pt idx="11">
                  <c:v>22.88</c:v>
                </c:pt>
                <c:pt idx="12">
                  <c:v>21.83</c:v>
                </c:pt>
                <c:pt idx="13">
                  <c:v>21.44</c:v>
                </c:pt>
                <c:pt idx="14">
                  <c:v>19.6</c:v>
                </c:pt>
                <c:pt idx="15">
                  <c:v>19.12</c:v>
                </c:pt>
                <c:pt idx="16">
                  <c:v>19.29</c:v>
                </c:pt>
                <c:pt idx="17">
                  <c:v>19.19</c:v>
                </c:pt>
                <c:pt idx="18">
                  <c:v>19.05</c:v>
                </c:pt>
                <c:pt idx="19">
                  <c:v>16.37</c:v>
                </c:pt>
                <c:pt idx="20">
                  <c:v>16.15</c:v>
                </c:pt>
                <c:pt idx="21">
                  <c:v>15.87</c:v>
                </c:pt>
                <c:pt idx="22">
                  <c:v>15.76</c:v>
                </c:pt>
                <c:pt idx="23">
                  <c:v>15.8</c:v>
                </c:pt>
                <c:pt idx="24">
                  <c:v>14.58</c:v>
                </c:pt>
                <c:pt idx="25">
                  <c:v>14.57</c:v>
                </c:pt>
                <c:pt idx="26">
                  <c:v>14.2</c:v>
                </c:pt>
                <c:pt idx="27">
                  <c:v>13.88</c:v>
                </c:pt>
                <c:pt idx="28">
                  <c:v>13.78</c:v>
                </c:pt>
                <c:pt idx="29">
                  <c:v>13.19</c:v>
                </c:pt>
                <c:pt idx="30">
                  <c:v>13.25</c:v>
                </c:pt>
                <c:pt idx="31">
                  <c:v>13.08</c:v>
                </c:pt>
                <c:pt idx="32">
                  <c:v>13.11</c:v>
                </c:pt>
                <c:pt idx="33">
                  <c:v>13.11</c:v>
                </c:pt>
                <c:pt idx="34">
                  <c:v>13.36</c:v>
                </c:pt>
                <c:pt idx="35">
                  <c:v>13.4</c:v>
                </c:pt>
                <c:pt idx="36">
                  <c:v>13.48</c:v>
                </c:pt>
                <c:pt idx="37">
                  <c:v>13.51</c:v>
                </c:pt>
                <c:pt idx="38">
                  <c:v>13.51</c:v>
                </c:pt>
                <c:pt idx="39">
                  <c:v>13.51</c:v>
                </c:pt>
                <c:pt idx="40">
                  <c:v>15.12</c:v>
                </c:pt>
                <c:pt idx="41">
                  <c:v>15.48</c:v>
                </c:pt>
                <c:pt idx="42">
                  <c:v>15.7</c:v>
                </c:pt>
                <c:pt idx="43">
                  <c:v>15.72</c:v>
                </c:pt>
                <c:pt idx="44">
                  <c:v>15.72</c:v>
                </c:pt>
                <c:pt idx="45">
                  <c:v>15.8</c:v>
                </c:pt>
                <c:pt idx="46">
                  <c:v>15.88</c:v>
                </c:pt>
                <c:pt idx="47">
                  <c:v>15.89</c:v>
                </c:pt>
                <c:pt idx="48">
                  <c:v>15.8</c:v>
                </c:pt>
                <c:pt idx="49">
                  <c:v>15.84</c:v>
                </c:pt>
                <c:pt idx="50">
                  <c:v>15.84</c:v>
                </c:pt>
                <c:pt idx="51">
                  <c:v>15.84</c:v>
                </c:pt>
                <c:pt idx="52">
                  <c:v>16.09</c:v>
                </c:pt>
                <c:pt idx="53">
                  <c:v>16.13</c:v>
                </c:pt>
                <c:pt idx="54">
                  <c:v>16.38</c:v>
                </c:pt>
                <c:pt idx="55">
                  <c:v>16.59</c:v>
                </c:pt>
                <c:pt idx="56">
                  <c:v>16.58</c:v>
                </c:pt>
                <c:pt idx="57">
                  <c:v>16.68</c:v>
                </c:pt>
                <c:pt idx="58">
                  <c:v>16.72</c:v>
                </c:pt>
                <c:pt idx="59">
                  <c:v>17.67</c:v>
                </c:pt>
                <c:pt idx="60">
                  <c:v>17.67</c:v>
                </c:pt>
                <c:pt idx="61">
                  <c:v>17.92</c:v>
                </c:pt>
                <c:pt idx="62">
                  <c:v>17.91</c:v>
                </c:pt>
                <c:pt idx="63">
                  <c:v>17.92</c:v>
                </c:pt>
                <c:pt idx="64">
                  <c:v>17.98</c:v>
                </c:pt>
                <c:pt idx="65">
                  <c:v>18.27</c:v>
                </c:pt>
                <c:pt idx="66">
                  <c:v>18.27</c:v>
                </c:pt>
                <c:pt idx="67">
                  <c:v>18.3</c:v>
                </c:pt>
                <c:pt idx="68">
                  <c:v>18.32</c:v>
                </c:pt>
                <c:pt idx="69">
                  <c:v>18.11</c:v>
                </c:pt>
                <c:pt idx="70">
                  <c:v>18.15</c:v>
                </c:pt>
                <c:pt idx="71">
                  <c:v>18.46</c:v>
                </c:pt>
                <c:pt idx="72">
                  <c:v>17.6</c:v>
                </c:pt>
                <c:pt idx="73">
                  <c:v>17.55</c:v>
                </c:pt>
                <c:pt idx="74">
                  <c:v>17.53</c:v>
                </c:pt>
                <c:pt idx="75">
                  <c:v>17.42</c:v>
                </c:pt>
                <c:pt idx="76">
                  <c:v>17.09</c:v>
                </c:pt>
                <c:pt idx="77">
                  <c:v>16.95</c:v>
                </c:pt>
                <c:pt idx="78">
                  <c:v>17.06</c:v>
                </c:pt>
                <c:pt idx="79">
                  <c:v>17.02</c:v>
                </c:pt>
                <c:pt idx="80">
                  <c:v>17.06</c:v>
                </c:pt>
                <c:pt idx="81">
                  <c:v>16.84</c:v>
                </c:pt>
                <c:pt idx="82">
                  <c:v>16.83</c:v>
                </c:pt>
                <c:pt idx="83">
                  <c:v>16.78</c:v>
                </c:pt>
                <c:pt idx="84">
                  <c:v>16.79</c:v>
                </c:pt>
                <c:pt idx="85">
                  <c:v>16.73</c:v>
                </c:pt>
                <c:pt idx="86">
                  <c:v>16.94</c:v>
                </c:pt>
                <c:pt idx="87">
                  <c:v>17.12</c:v>
                </c:pt>
                <c:pt idx="88">
                  <c:v>17.23</c:v>
                </c:pt>
                <c:pt idx="89">
                  <c:v>17.25</c:v>
                </c:pt>
                <c:pt idx="90">
                  <c:v>17.01</c:v>
                </c:pt>
                <c:pt idx="91">
                  <c:v>16.64</c:v>
                </c:pt>
                <c:pt idx="92">
                  <c:v>16.62</c:v>
                </c:pt>
                <c:pt idx="93">
                  <c:v>16.58</c:v>
                </c:pt>
                <c:pt idx="94">
                  <c:v>16.59</c:v>
                </c:pt>
                <c:pt idx="95">
                  <c:v>16.23</c:v>
                </c:pt>
                <c:pt idx="96">
                  <c:v>15.77</c:v>
                </c:pt>
                <c:pt idx="97">
                  <c:v>16.54</c:v>
                </c:pt>
                <c:pt idx="98">
                  <c:v>17</c:v>
                </c:pt>
                <c:pt idx="99">
                  <c:v>17.58</c:v>
                </c:pt>
                <c:pt idx="100">
                  <c:v>17.55</c:v>
                </c:pt>
                <c:pt idx="101">
                  <c:v>17.54</c:v>
                </c:pt>
                <c:pt idx="102">
                  <c:v>17.64</c:v>
                </c:pt>
                <c:pt idx="103">
                  <c:v>17.21</c:v>
                </c:pt>
                <c:pt idx="104">
                  <c:v>17.12</c:v>
                </c:pt>
                <c:pt idx="105">
                  <c:v>17.13</c:v>
                </c:pt>
                <c:pt idx="106">
                  <c:v>17.03</c:v>
                </c:pt>
                <c:pt idx="107">
                  <c:v>17.04</c:v>
                </c:pt>
                <c:pt idx="108">
                  <c:v>17.03</c:v>
                </c:pt>
                <c:pt idx="109">
                  <c:v>17.25</c:v>
                </c:pt>
                <c:pt idx="110">
                  <c:v>17.25</c:v>
                </c:pt>
                <c:pt idx="111">
                  <c:v>17.29</c:v>
                </c:pt>
                <c:pt idx="112">
                  <c:v>17.24</c:v>
                </c:pt>
                <c:pt idx="113">
                  <c:v>16.17</c:v>
                </c:pt>
                <c:pt idx="114">
                  <c:v>15.81</c:v>
                </c:pt>
                <c:pt idx="115">
                  <c:v>15.7</c:v>
                </c:pt>
                <c:pt idx="116">
                  <c:v>15.47</c:v>
                </c:pt>
                <c:pt idx="117">
                  <c:v>15.31</c:v>
                </c:pt>
                <c:pt idx="118">
                  <c:v>15.11</c:v>
                </c:pt>
                <c:pt idx="119">
                  <c:v>15.1</c:v>
                </c:pt>
                <c:pt idx="120">
                  <c:v>15.16</c:v>
                </c:pt>
                <c:pt idx="121">
                  <c:v>15.65</c:v>
                </c:pt>
                <c:pt idx="122">
                  <c:v>15.7</c:v>
                </c:pt>
                <c:pt idx="123">
                  <c:v>15.91</c:v>
                </c:pt>
                <c:pt idx="124">
                  <c:v>15.77</c:v>
                </c:pt>
                <c:pt idx="125">
                  <c:v>15.02</c:v>
                </c:pt>
                <c:pt idx="126">
                  <c:v>14.3</c:v>
                </c:pt>
                <c:pt idx="127">
                  <c:v>13.39</c:v>
                </c:pt>
                <c:pt idx="128">
                  <c:v>13.28</c:v>
                </c:pt>
                <c:pt idx="129">
                  <c:v>13.18</c:v>
                </c:pt>
                <c:pt idx="130">
                  <c:v>12.25</c:v>
                </c:pt>
                <c:pt idx="131">
                  <c:v>12.07</c:v>
                </c:pt>
                <c:pt idx="132">
                  <c:v>12.18</c:v>
                </c:pt>
                <c:pt idx="133">
                  <c:v>12.25</c:v>
                </c:pt>
                <c:pt idx="134">
                  <c:v>12.5</c:v>
                </c:pt>
                <c:pt idx="135">
                  <c:v>12.68</c:v>
                </c:pt>
                <c:pt idx="136">
                  <c:v>12.63</c:v>
                </c:pt>
                <c:pt idx="137">
                  <c:v>12.62</c:v>
                </c:pt>
                <c:pt idx="138">
                  <c:v>12.62</c:v>
                </c:pt>
                <c:pt idx="139">
                  <c:v>12.53</c:v>
                </c:pt>
                <c:pt idx="140">
                  <c:v>12.47</c:v>
                </c:pt>
                <c:pt idx="141">
                  <c:v>12.43</c:v>
                </c:pt>
                <c:pt idx="142">
                  <c:v>12.7</c:v>
                </c:pt>
                <c:pt idx="143">
                  <c:v>12.7</c:v>
                </c:pt>
                <c:pt idx="144">
                  <c:v>13.91</c:v>
                </c:pt>
                <c:pt idx="145">
                  <c:v>14.19</c:v>
                </c:pt>
                <c:pt idx="146">
                  <c:v>14.63</c:v>
                </c:pt>
                <c:pt idx="147">
                  <c:v>15.13</c:v>
                </c:pt>
                <c:pt idx="148">
                  <c:v>15.16</c:v>
                </c:pt>
                <c:pt idx="149">
                  <c:v>14.81</c:v>
                </c:pt>
                <c:pt idx="150">
                  <c:v>14.53</c:v>
                </c:pt>
                <c:pt idx="151">
                  <c:v>14.44</c:v>
                </c:pt>
                <c:pt idx="152">
                  <c:v>14.31</c:v>
                </c:pt>
                <c:pt idx="153">
                  <c:v>14.56</c:v>
                </c:pt>
                <c:pt idx="154">
                  <c:v>15.18</c:v>
                </c:pt>
                <c:pt idx="155">
                  <c:v>15.79</c:v>
                </c:pt>
                <c:pt idx="156">
                  <c:v>15.99</c:v>
                </c:pt>
                <c:pt idx="157">
                  <c:v>16</c:v>
                </c:pt>
                <c:pt idx="158" c:formatCode="#,##0.00_ ">
                  <c:v>15.85</c:v>
                </c:pt>
                <c:pt idx="159" c:formatCode="#,##0.00_ ">
                  <c:v>15.64</c:v>
                </c:pt>
                <c:pt idx="160" c:formatCode="#,##0.00_ ">
                  <c:v>15.65</c:v>
                </c:pt>
                <c:pt idx="161" c:formatCode="#,##0.00_ ">
                  <c:v>15.65</c:v>
                </c:pt>
                <c:pt idx="162" c:formatCode="#,##0.00_ ">
                  <c:v>15.81</c:v>
                </c:pt>
                <c:pt idx="163" c:formatCode="#,##0.00_ ">
                  <c:v>16.11</c:v>
                </c:pt>
                <c:pt idx="164" c:formatCode="#,##0.00_ ">
                  <c:v>16.53</c:v>
                </c:pt>
                <c:pt idx="165" c:formatCode="#,##0.00_ ">
                  <c:v>16.59</c:v>
                </c:pt>
                <c:pt idx="166" c:formatCode="#,##0.00_ ">
                  <c:v>16.41</c:v>
                </c:pt>
                <c:pt idx="167" c:formatCode="#,##0.00_ ">
                  <c:v>15.98</c:v>
                </c:pt>
                <c:pt idx="168" c:formatCode="#,##0.00_ ">
                  <c:v>15.5</c:v>
                </c:pt>
                <c:pt idx="169" c:formatCode="#,##0.00_ ">
                  <c:v>15.18</c:v>
                </c:pt>
                <c:pt idx="170" c:formatCode="#,##0.00_ ">
                  <c:v>15.08</c:v>
                </c:pt>
                <c:pt idx="171" c:formatCode="#,##0.00_ ">
                  <c:v>15.47</c:v>
                </c:pt>
                <c:pt idx="172" c:formatCode="#,##0.00_ ">
                  <c:v>15.14</c:v>
                </c:pt>
                <c:pt idx="173" c:formatCode="#,##0.00_ ">
                  <c:v>15.18</c:v>
                </c:pt>
                <c:pt idx="174" c:formatCode="#,##0.00_ ">
                  <c:v>15.17</c:v>
                </c:pt>
                <c:pt idx="175" c:formatCode="#,##0.00_ ">
                  <c:v>14.61</c:v>
                </c:pt>
                <c:pt idx="176" c:formatCode="#,##0.00_ ">
                  <c:v>14.15</c:v>
                </c:pt>
                <c:pt idx="177" c:formatCode="#,##0.00_ ">
                  <c:v>13.72</c:v>
                </c:pt>
                <c:pt idx="178" c:formatCode="#,##0.00_ ">
                  <c:v>13.46</c:v>
                </c:pt>
                <c:pt idx="179" c:formatCode="#,##0.00_ ">
                  <c:v>13.75</c:v>
                </c:pt>
                <c:pt idx="180" c:formatCode="#,##0.00_ ">
                  <c:v>13.89</c:v>
                </c:pt>
                <c:pt idx="181" c:formatCode="#,##0.00_ ">
                  <c:v>14.17</c:v>
                </c:pt>
                <c:pt idx="182" c:formatCode="#,##0.00_ ">
                  <c:v>14.36</c:v>
                </c:pt>
                <c:pt idx="183" c:formatCode="#,##0.00_ ">
                  <c:v>14.16</c:v>
                </c:pt>
                <c:pt idx="184" c:formatCode="#,##0.00_ ">
                  <c:v>14.11</c:v>
                </c:pt>
                <c:pt idx="185" c:formatCode="#,##0.00_ ">
                  <c:v>14</c:v>
                </c:pt>
                <c:pt idx="186" c:formatCode="#,##0.00_ ">
                  <c:v>13.87</c:v>
                </c:pt>
                <c:pt idx="187" c:formatCode="#,##0.00_ ">
                  <c:v>13.79</c:v>
                </c:pt>
                <c:pt idx="188" c:formatCode="#,##0.00_ ">
                  <c:v>13.86</c:v>
                </c:pt>
                <c:pt idx="189" c:formatCode="#,##0.00_ ">
                  <c:v>13.79</c:v>
                </c:pt>
                <c:pt idx="190" c:formatCode="#,##0.00_ ">
                  <c:v>13.72</c:v>
                </c:pt>
                <c:pt idx="191" c:formatCode="#,##0.00_ ">
                  <c:v>13.63</c:v>
                </c:pt>
                <c:pt idx="192" c:formatCode="#,##0.00_ ">
                  <c:v>13.62</c:v>
                </c:pt>
                <c:pt idx="193" c:formatCode="#,##0.00_ ">
                  <c:v>14.01</c:v>
                </c:pt>
                <c:pt idx="194" c:formatCode="#,##0.00_ ">
                  <c:v>14.42</c:v>
                </c:pt>
                <c:pt idx="195" c:formatCode="#,##0.00_ ">
                  <c:v>14.89</c:v>
                </c:pt>
                <c:pt idx="196" c:formatCode="#,##0.00_ ">
                  <c:v>15.36</c:v>
                </c:pt>
                <c:pt idx="197" c:formatCode="#,##0.00_ ">
                  <c:v>15.58</c:v>
                </c:pt>
                <c:pt idx="198" c:formatCode="#,##0.00_ ">
                  <c:v>14.8</c:v>
                </c:pt>
                <c:pt idx="199" c:formatCode="#,##0.00_ ">
                  <c:v>14.72</c:v>
                </c:pt>
                <c:pt idx="200" c:formatCode="#,##0.00_ ">
                  <c:v>14.44</c:v>
                </c:pt>
                <c:pt idx="201" c:formatCode="#,##0.00_ ">
                  <c:v>14.15</c:v>
                </c:pt>
                <c:pt idx="202" c:formatCode="#,##0.00_ ">
                  <c:v>14.16</c:v>
                </c:pt>
                <c:pt idx="203" c:formatCode="#,##0.00_ ">
                  <c:v>14.54</c:v>
                </c:pt>
                <c:pt idx="204" c:formatCode="#,##0.00_ ">
                  <c:v>14.75</c:v>
                </c:pt>
                <c:pt idx="205" c:formatCode="#,##0.00_ ">
                  <c:v>14.89</c:v>
                </c:pt>
                <c:pt idx="206" c:formatCode="#,##0.00_ ">
                  <c:v>15.07</c:v>
                </c:pt>
                <c:pt idx="207" c:formatCode="#,##0.00_ ">
                  <c:v>15.06</c:v>
                </c:pt>
                <c:pt idx="208" c:formatCode="#,##0.00_ ">
                  <c:v>14.38</c:v>
                </c:pt>
                <c:pt idx="209" c:formatCode="#,##0.00_ ">
                  <c:v>14.39</c:v>
                </c:pt>
                <c:pt idx="210" c:formatCode="#,##0.00_ ">
                  <c:v>14.37</c:v>
                </c:pt>
                <c:pt idx="211" c:formatCode="#,##0.00_ ">
                  <c:v>14.24</c:v>
                </c:pt>
                <c:pt idx="212" c:formatCode="#,##0.00_ ">
                  <c:v>14.18</c:v>
                </c:pt>
                <c:pt idx="213" c:formatCode="#,##0.00_ ">
                  <c:v>13.99</c:v>
                </c:pt>
                <c:pt idx="214" c:formatCode="#,##0.00_ ">
                  <c:v>13.72</c:v>
                </c:pt>
                <c:pt idx="215" c:formatCode="#,##0.00_ ">
                  <c:v>13.57</c:v>
                </c:pt>
                <c:pt idx="216" c:formatCode="#,##0.00_ ">
                  <c:v>13.38</c:v>
                </c:pt>
                <c:pt idx="217" c:formatCode="#,##0.00_ ">
                  <c:v>13.31</c:v>
                </c:pt>
                <c:pt idx="218" c:formatCode="#,##0.00_ ">
                  <c:v>13.36</c:v>
                </c:pt>
                <c:pt idx="219" c:formatCode="#,##0.00_ ">
                  <c:v>13.47</c:v>
                </c:pt>
                <c:pt idx="220" c:formatCode="#,##0.00_ ">
                  <c:v>13.55</c:v>
                </c:pt>
                <c:pt idx="221" c:formatCode="#,##0.00_ ">
                  <c:v>13.5</c:v>
                </c:pt>
                <c:pt idx="222" c:formatCode="#,##0.00_ ">
                  <c:v>13.47</c:v>
                </c:pt>
                <c:pt idx="223" c:formatCode="#,##0.00_ ">
                  <c:v>13.36</c:v>
                </c:pt>
                <c:pt idx="224" c:formatCode="#,##0.00_ ">
                  <c:v>13.11</c:v>
                </c:pt>
                <c:pt idx="225" c:formatCode="#,##0.00_ ">
                  <c:v>12.49</c:v>
                </c:pt>
                <c:pt idx="226" c:formatCode="#,##0.00_ ">
                  <c:v>12.52</c:v>
                </c:pt>
                <c:pt idx="227" c:formatCode="#,##0.00_ ">
                  <c:v>12.07</c:v>
                </c:pt>
                <c:pt idx="228" c:formatCode="#,##0.00_ ">
                  <c:v>11.75</c:v>
                </c:pt>
                <c:pt idx="229" c:formatCode="#,##0.00_ ">
                  <c:v>11.73</c:v>
                </c:pt>
                <c:pt idx="230" c:formatCode="#,##0.00_ ">
                  <c:v>11.53</c:v>
                </c:pt>
                <c:pt idx="231" c:formatCode="#,##0.00_ ">
                  <c:v>11.31</c:v>
                </c:pt>
                <c:pt idx="232" c:formatCode="#,##0.00_ ">
                  <c:v>11.24</c:v>
                </c:pt>
                <c:pt idx="233" c:formatCode="#,##0.00_ ">
                  <c:v>11.17</c:v>
                </c:pt>
                <c:pt idx="234" c:formatCode="#,##0.00_ ">
                  <c:v>11.17</c:v>
                </c:pt>
                <c:pt idx="235" c:formatCode="#,##0.00_ ">
                  <c:v>11.15</c:v>
                </c:pt>
                <c:pt idx="236" c:formatCode="#,##0.00_ ">
                  <c:v>11.22</c:v>
                </c:pt>
                <c:pt idx="237" c:formatCode="#,##0.00_ ">
                  <c:v>11.08</c:v>
                </c:pt>
                <c:pt idx="238" c:formatCode="#,##0.00_ ">
                  <c:v>11.23</c:v>
                </c:pt>
                <c:pt idx="239" c:formatCode="#,##0.00_ ">
                  <c:v>11.39</c:v>
                </c:pt>
                <c:pt idx="240" c:formatCode="#,##0.00_ ">
                  <c:v>11.36</c:v>
                </c:pt>
                <c:pt idx="241" c:formatCode="#,##0.00_ ">
                  <c:v>11.44</c:v>
                </c:pt>
                <c:pt idx="242" c:formatCode="#,##0.00_ ">
                  <c:v>11.6</c:v>
                </c:pt>
                <c:pt idx="243" c:formatCode="#,##0.00_ ">
                  <c:v>12.17</c:v>
                </c:pt>
                <c:pt idx="244" c:formatCode="#,##0.00_ ">
                  <c:v>12.4</c:v>
                </c:pt>
                <c:pt idx="245" c:formatCode="#,##0.00_ ">
                  <c:v>12.51</c:v>
                </c:pt>
                <c:pt idx="246" c:formatCode="#,##0.00_ ">
                  <c:v>12.5</c:v>
                </c:pt>
                <c:pt idx="247" c:formatCode="#,##0.00_ ">
                  <c:v>12.5</c:v>
                </c:pt>
                <c:pt idx="248" c:formatCode="#,##0.00_ ">
                  <c:v>12.48</c:v>
                </c:pt>
                <c:pt idx="249" c:formatCode="#,##0.00_ ">
                  <c:v>12.44</c:v>
                </c:pt>
                <c:pt idx="250" c:formatCode="#,##0.00_ ">
                  <c:v>12.36</c:v>
                </c:pt>
                <c:pt idx="251" c:formatCode="#,##0.00_ ">
                  <c:v>12.17</c:v>
                </c:pt>
                <c:pt idx="252" c:formatCode="#,##0.00_ ">
                  <c:v>11.89</c:v>
                </c:pt>
                <c:pt idx="253" c:formatCode="#,##0.00_ ">
                  <c:v>11.79</c:v>
                </c:pt>
                <c:pt idx="254" c:formatCode="#,##0.00_ ">
                  <c:v>11.12</c:v>
                </c:pt>
                <c:pt idx="255" c:formatCode="#,##0.00_ ">
                  <c:v>11.22</c:v>
                </c:pt>
                <c:pt idx="256" c:formatCode="#,##0.00_ ">
                  <c:v>11.26</c:v>
                </c:pt>
                <c:pt idx="257" c:formatCode="#,##0.00_ ">
                  <c:v>11.43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7087866"/>
        <c:axId val="943442373"/>
      </c:lineChart>
      <c:dateAx>
        <c:axId val="327087866"/>
        <c:scaling>
          <c:orientation val="minMax"/>
          <c:max val="46289"/>
          <c:min val="45559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27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943442373"/>
        <c:crosses val="autoZero"/>
        <c:auto val="1"/>
        <c:lblOffset val="100"/>
        <c:baseTimeUnit val="days"/>
        <c:majorUnit val="4"/>
        <c:majorTimeUnit val="months"/>
      </c:dateAx>
      <c:valAx>
        <c:axId val="943442373"/>
        <c:scaling>
          <c:orientation val="minMax"/>
          <c:max val="17"/>
          <c:min val="10"/>
        </c:scaling>
        <c:delete val="0"/>
        <c:axPos val="l"/>
        <c:numFmt formatCode="0.00_);[Red]\(0.00\)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32708786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ayout/>
      <c:overlay val="1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1f57e7b-718c-443b-b269-c5321272805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  <a:sym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300" b="1" i="0" u="none" strike="noStrike" kern="1200" spc="0" baseline="0">
                <a:ln w="0" cmpd="sng">
                  <a:noFill/>
                  <a:prstDash val="solid"/>
                </a:ln>
                <a:solidFill>
                  <a:sysClr val="windowText" lastClr="000000"/>
                </a:solidFill>
                <a:effectLst/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r>
              <a:rPr lang="en-US" altLang="zh-CN" sz="1300"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175kg</a:t>
            </a:r>
            <a:r>
              <a:rPr altLang="en-US" sz="1300"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与标猪出栏价差</a:t>
            </a:r>
            <a:endParaRPr lang="en-US" altLang="zh-CN" sz="1300" b="1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3161745492553"/>
          <c:y val="0.135687633520145"/>
          <c:w val="0.802900444212177"/>
          <c:h val="0.631841234840132"/>
        </c:manualLayout>
      </c:layout>
      <c:lineChart>
        <c:grouping val="standard"/>
        <c:varyColors val="0"/>
        <c:ser>
          <c:idx val="0"/>
          <c:order val="0"/>
          <c:tx>
            <c:strRef>
              <c:f>"全国平均"</c:f>
              <c:strCache>
                <c:ptCount val="1"/>
                <c:pt idx="0">
                  <c:v>全国平均</c:v>
                </c:pt>
              </c:strCache>
            </c:strRef>
          </c:tx>
          <c:spPr>
            <a:ln w="28575" cap="rnd">
              <a:solidFill>
                <a:srgbClr val="4F81BD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标肥价差!$A$4:$A$1179</c:f>
              <c:numCache>
                <c:formatCode>yyyy/m/d;@</c:formatCode>
                <c:ptCount val="1176"/>
                <c:pt idx="0" c:formatCode="yyyy/m/d;@">
                  <c:v>44343</c:v>
                </c:pt>
                <c:pt idx="1" c:formatCode="yyyy/m/d;@">
                  <c:v>44350</c:v>
                </c:pt>
                <c:pt idx="2" c:formatCode="yyyy/m/d;@">
                  <c:v>44357</c:v>
                </c:pt>
                <c:pt idx="3" c:formatCode="yyyy/m/d;@">
                  <c:v>44364</c:v>
                </c:pt>
                <c:pt idx="4" c:formatCode="yyyy/m/d;@">
                  <c:v>44371</c:v>
                </c:pt>
                <c:pt idx="5" c:formatCode="yyyy/m/d;@">
                  <c:v>44378</c:v>
                </c:pt>
                <c:pt idx="6" c:formatCode="yyyy/m/d;@">
                  <c:v>44385</c:v>
                </c:pt>
                <c:pt idx="7" c:formatCode="yyyy/m/d;@">
                  <c:v>44392</c:v>
                </c:pt>
                <c:pt idx="8" c:formatCode="yyyy/m/d;@">
                  <c:v>44399</c:v>
                </c:pt>
                <c:pt idx="9" c:formatCode="yyyy/m/d;@">
                  <c:v>44406</c:v>
                </c:pt>
                <c:pt idx="10" c:formatCode="yyyy/m/d;@">
                  <c:v>44413</c:v>
                </c:pt>
                <c:pt idx="11" c:formatCode="yyyy/m/d;@">
                  <c:v>44420</c:v>
                </c:pt>
                <c:pt idx="12" c:formatCode="yyyy/m/d;@">
                  <c:v>44427</c:v>
                </c:pt>
                <c:pt idx="13" c:formatCode="yyyy/m/d;@">
                  <c:v>44434</c:v>
                </c:pt>
                <c:pt idx="14" c:formatCode="yyyy/m/d;@">
                  <c:v>44441</c:v>
                </c:pt>
                <c:pt idx="15" c:formatCode="yyyy/m/d;@">
                  <c:v>44448</c:v>
                </c:pt>
                <c:pt idx="16" c:formatCode="yyyy/m/d;@">
                  <c:v>44455</c:v>
                </c:pt>
                <c:pt idx="17" c:formatCode="yyyy/m/d;@">
                  <c:v>44462</c:v>
                </c:pt>
                <c:pt idx="18" c:formatCode="yyyy/m/d;@">
                  <c:v>44469</c:v>
                </c:pt>
                <c:pt idx="19" c:formatCode="yyyy/m/d;@">
                  <c:v>44477</c:v>
                </c:pt>
                <c:pt idx="20" c:formatCode="yyyy/m/d;@">
                  <c:v>44483</c:v>
                </c:pt>
                <c:pt idx="21" c:formatCode="yyyy/m/d;@">
                  <c:v>44490</c:v>
                </c:pt>
                <c:pt idx="22" c:formatCode="yyyy/m/d;@">
                  <c:v>44497</c:v>
                </c:pt>
                <c:pt idx="23" c:formatCode="yyyy/m/d;@">
                  <c:v>44504</c:v>
                </c:pt>
                <c:pt idx="24" c:formatCode="yyyy/m/d;@">
                  <c:v>44511</c:v>
                </c:pt>
                <c:pt idx="25" c:formatCode="yyyy/m/d;@">
                  <c:v>44518</c:v>
                </c:pt>
                <c:pt idx="26" c:formatCode="yyyy/m/d;@">
                  <c:v>44525</c:v>
                </c:pt>
                <c:pt idx="27" c:formatCode="yyyy/m/d;@">
                  <c:v>44532</c:v>
                </c:pt>
                <c:pt idx="28" c:formatCode="yyyy/m/d;@">
                  <c:v>44539</c:v>
                </c:pt>
                <c:pt idx="29" c:formatCode="yyyy/m/d;@">
                  <c:v>44546</c:v>
                </c:pt>
                <c:pt idx="30" c:formatCode="yyyy/m/d;@">
                  <c:v>44553</c:v>
                </c:pt>
                <c:pt idx="31" c:formatCode="yyyy/m/d;@">
                  <c:v>44560</c:v>
                </c:pt>
                <c:pt idx="32" c:formatCode="yyyy/m/d;@">
                  <c:v>44567</c:v>
                </c:pt>
                <c:pt idx="33" c:formatCode="yyyy/m/d;@">
                  <c:v>44574</c:v>
                </c:pt>
                <c:pt idx="34" c:formatCode="yyyy/m/d;@">
                  <c:v>44581</c:v>
                </c:pt>
                <c:pt idx="35" c:formatCode="yyyy/m/d;@">
                  <c:v>44587</c:v>
                </c:pt>
                <c:pt idx="36" c:formatCode="yyyy/m/d;@">
                  <c:v>44602</c:v>
                </c:pt>
                <c:pt idx="37" c:formatCode="yyyy/m/d;@">
                  <c:v>44609</c:v>
                </c:pt>
                <c:pt idx="38" c:formatCode="yyyy/m/d;@">
                  <c:v>44616</c:v>
                </c:pt>
                <c:pt idx="39" c:formatCode="yyyy/m/d;@">
                  <c:v>44623</c:v>
                </c:pt>
                <c:pt idx="40" c:formatCode="yyyy/m/d;@">
                  <c:v>44630</c:v>
                </c:pt>
                <c:pt idx="41" c:formatCode="yyyy/m/d;@">
                  <c:v>44637</c:v>
                </c:pt>
                <c:pt idx="42" c:formatCode="yyyy/m/d;@">
                  <c:v>44644</c:v>
                </c:pt>
                <c:pt idx="43" c:formatCode="yyyy/m/d;@">
                  <c:v>44651</c:v>
                </c:pt>
                <c:pt idx="44" c:formatCode="yyyy/m/d;@">
                  <c:v>44658</c:v>
                </c:pt>
                <c:pt idx="45" c:formatCode="yyyy/m/d;@">
                  <c:v>44665</c:v>
                </c:pt>
                <c:pt idx="46" c:formatCode="yyyy/m/d;@">
                  <c:v>44672</c:v>
                </c:pt>
                <c:pt idx="47" c:formatCode="yyyy/m/d;@">
                  <c:v>44679</c:v>
                </c:pt>
                <c:pt idx="48" c:formatCode="yyyy/m/d;@">
                  <c:v>44686</c:v>
                </c:pt>
                <c:pt idx="49" c:formatCode="yyyy/m/d;@">
                  <c:v>44693</c:v>
                </c:pt>
                <c:pt idx="50" c:formatCode="yyyy/m/d;@">
                  <c:v>44700</c:v>
                </c:pt>
                <c:pt idx="51" c:formatCode="yyyy/m/d;@">
                  <c:v>44707</c:v>
                </c:pt>
                <c:pt idx="52" c:formatCode="yyyy/m/d;@">
                  <c:v>44714</c:v>
                </c:pt>
                <c:pt idx="53" c:formatCode="yyyy/m/d;@">
                  <c:v>44721</c:v>
                </c:pt>
                <c:pt idx="54" c:formatCode="yyyy/m/d;@">
                  <c:v>44728</c:v>
                </c:pt>
                <c:pt idx="55" c:formatCode="yyyy/m/d;@">
                  <c:v>44735</c:v>
                </c:pt>
                <c:pt idx="56" c:formatCode="yyyy/m/d;@">
                  <c:v>44742</c:v>
                </c:pt>
                <c:pt idx="57" c:formatCode="yyyy/m/d;@">
                  <c:v>44749</c:v>
                </c:pt>
                <c:pt idx="58" c:formatCode="yyyy/m/d;@">
                  <c:v>44756</c:v>
                </c:pt>
                <c:pt idx="59" c:formatCode="yyyy/m/d;@">
                  <c:v>44763</c:v>
                </c:pt>
                <c:pt idx="60" c:formatCode="yyyy/m/d;@">
                  <c:v>44770</c:v>
                </c:pt>
                <c:pt idx="61" c:formatCode="yyyy/m/d;@">
                  <c:v>44777</c:v>
                </c:pt>
                <c:pt idx="62" c:formatCode="yyyy/m/d;@">
                  <c:v>44784</c:v>
                </c:pt>
                <c:pt idx="63" c:formatCode="yyyy/m/d;@">
                  <c:v>44791</c:v>
                </c:pt>
                <c:pt idx="64" c:formatCode="yyyy/m/d;@">
                  <c:v>44798</c:v>
                </c:pt>
                <c:pt idx="65" c:formatCode="yyyy/m/d;@">
                  <c:v>44805</c:v>
                </c:pt>
                <c:pt idx="66" c:formatCode="yyyy/m/d;@">
                  <c:v>44812</c:v>
                </c:pt>
                <c:pt idx="67" c:formatCode="yyyy/m/d;@">
                  <c:v>44819</c:v>
                </c:pt>
                <c:pt idx="68" c:formatCode="yyyy/m/d;@">
                  <c:v>44826</c:v>
                </c:pt>
                <c:pt idx="69" c:formatCode="yyyy/m/d;@">
                  <c:v>44833</c:v>
                </c:pt>
                <c:pt idx="70" c:formatCode="yyyy/m/d;@">
                  <c:v>44842</c:v>
                </c:pt>
                <c:pt idx="71" c:formatCode="yyyy/m/d;@">
                  <c:v>44847</c:v>
                </c:pt>
                <c:pt idx="72" c:formatCode="yyyy/m/d;@">
                  <c:v>44854</c:v>
                </c:pt>
                <c:pt idx="73" c:formatCode="yyyy/m/d;@">
                  <c:v>44861</c:v>
                </c:pt>
                <c:pt idx="74" c:formatCode="yyyy/m/d;@">
                  <c:v>44868</c:v>
                </c:pt>
                <c:pt idx="75" c:formatCode="yyyy/m/d;@">
                  <c:v>44875</c:v>
                </c:pt>
                <c:pt idx="76" c:formatCode="yyyy/m/d;@">
                  <c:v>44882</c:v>
                </c:pt>
                <c:pt idx="77" c:formatCode="yyyy/m/d;@">
                  <c:v>44889</c:v>
                </c:pt>
                <c:pt idx="78" c:formatCode="yyyy/m/d;@">
                  <c:v>44896</c:v>
                </c:pt>
                <c:pt idx="79" c:formatCode="yyyy/m/d;@">
                  <c:v>44903</c:v>
                </c:pt>
                <c:pt idx="80" c:formatCode="yyyy/m/d;@">
                  <c:v>44910</c:v>
                </c:pt>
                <c:pt idx="81" c:formatCode="yyyy/m/d;@">
                  <c:v>44917</c:v>
                </c:pt>
                <c:pt idx="82" c:formatCode="yyyy/m/d;@">
                  <c:v>44924</c:v>
                </c:pt>
                <c:pt idx="83" c:formatCode="yyyy/m/d;@">
                  <c:v>44931</c:v>
                </c:pt>
                <c:pt idx="84" c:formatCode="yyyy/m/d;@">
                  <c:v>44938</c:v>
                </c:pt>
                <c:pt idx="85" c:formatCode="yyyy/m/d;@">
                  <c:v>44959</c:v>
                </c:pt>
                <c:pt idx="86" c:formatCode="yyyy/m/d;@">
                  <c:v>44966</c:v>
                </c:pt>
                <c:pt idx="87" c:formatCode="yyyy/m/d;@">
                  <c:v>44973</c:v>
                </c:pt>
                <c:pt idx="88" c:formatCode="yyyy/m/d;@">
                  <c:v>44980</c:v>
                </c:pt>
                <c:pt idx="89" c:formatCode="yyyy/m/d;@">
                  <c:v>44987</c:v>
                </c:pt>
                <c:pt idx="90" c:formatCode="yyyy/m/d;@">
                  <c:v>44994</c:v>
                </c:pt>
                <c:pt idx="91" c:formatCode="yyyy/m/d;@">
                  <c:v>45001</c:v>
                </c:pt>
                <c:pt idx="92" c:formatCode="yyyy/m/d;@">
                  <c:v>45008</c:v>
                </c:pt>
                <c:pt idx="93" c:formatCode="yyyy/m/d;@">
                  <c:v>45015</c:v>
                </c:pt>
                <c:pt idx="94" c:formatCode="yyyy/m/d;@">
                  <c:v>45022</c:v>
                </c:pt>
                <c:pt idx="95" c:formatCode="yyyy/m/d;@">
                  <c:v>45029</c:v>
                </c:pt>
                <c:pt idx="96" c:formatCode="yyyy/m/d;@">
                  <c:v>45036</c:v>
                </c:pt>
                <c:pt idx="97" c:formatCode="yyyy/m/d;@">
                  <c:v>45043</c:v>
                </c:pt>
                <c:pt idx="98" c:formatCode="yyyy/m/d;@">
                  <c:v>45050</c:v>
                </c:pt>
                <c:pt idx="99" c:formatCode="yyyy/m/d;@">
                  <c:v>45057</c:v>
                </c:pt>
                <c:pt idx="100" c:formatCode="yyyy/m/d;@">
                  <c:v>45064</c:v>
                </c:pt>
                <c:pt idx="101" c:formatCode="yyyy/m/d;@">
                  <c:v>45071</c:v>
                </c:pt>
                <c:pt idx="102" c:formatCode="yyyy/m/d;@">
                  <c:v>45078</c:v>
                </c:pt>
                <c:pt idx="103" c:formatCode="yyyy/m/d;@">
                  <c:v>45085</c:v>
                </c:pt>
                <c:pt idx="104" c:formatCode="yyyy/m/d;@">
                  <c:v>45092</c:v>
                </c:pt>
                <c:pt idx="105" c:formatCode="yyyy/m/d;@">
                  <c:v>45098</c:v>
                </c:pt>
                <c:pt idx="106" c:formatCode="yyyy/m/d;@">
                  <c:v>45106</c:v>
                </c:pt>
                <c:pt idx="107" c:formatCode="yyyy/m/d;@">
                  <c:v>45113</c:v>
                </c:pt>
                <c:pt idx="108" c:formatCode="yyyy/m/d;@">
                  <c:v>45120</c:v>
                </c:pt>
                <c:pt idx="109" c:formatCode="yyyy/m/d;@">
                  <c:v>45127</c:v>
                </c:pt>
                <c:pt idx="110" c:formatCode="yyyy/m/d;@">
                  <c:v>45134</c:v>
                </c:pt>
                <c:pt idx="111" c:formatCode="yyyy/m/d;@">
                  <c:v>45141</c:v>
                </c:pt>
                <c:pt idx="112" c:formatCode="yyyy/m/d;@">
                  <c:v>45148</c:v>
                </c:pt>
                <c:pt idx="113" c:formatCode="yyyy/m/d;@">
                  <c:v>45155</c:v>
                </c:pt>
                <c:pt idx="114" c:formatCode="yyyy/m/d;@">
                  <c:v>45162</c:v>
                </c:pt>
                <c:pt idx="115" c:formatCode="yyyy/m/d;@">
                  <c:v>45169</c:v>
                </c:pt>
                <c:pt idx="116" c:formatCode="yyyy/m/d;@">
                  <c:v>45176</c:v>
                </c:pt>
                <c:pt idx="117" c:formatCode="yyyy/m/d;@">
                  <c:v>45183</c:v>
                </c:pt>
                <c:pt idx="118" c:formatCode="yyyy/m/d;@">
                  <c:v>45190</c:v>
                </c:pt>
                <c:pt idx="119" c:formatCode="yyyy/m/d;@">
                  <c:v>45197</c:v>
                </c:pt>
                <c:pt idx="120" c:formatCode="yyyy/m/d;@">
                  <c:v>45205</c:v>
                </c:pt>
                <c:pt idx="121" c:formatCode="yyyy/m/d;@">
                  <c:v>45211</c:v>
                </c:pt>
                <c:pt idx="122" c:formatCode="yyyy/m/d;@">
                  <c:v>45218</c:v>
                </c:pt>
                <c:pt idx="123" c:formatCode="yyyy/m/d;@">
                  <c:v>45225</c:v>
                </c:pt>
                <c:pt idx="124" c:formatCode="yyyy/m/d;@">
                  <c:v>45232</c:v>
                </c:pt>
                <c:pt idx="125" c:formatCode="yyyy/m/d;@">
                  <c:v>45239</c:v>
                </c:pt>
                <c:pt idx="126" c:formatCode="yyyy/m/d;@">
                  <c:v>45246</c:v>
                </c:pt>
                <c:pt idx="127" c:formatCode="yyyy/m/d;@">
                  <c:v>45253</c:v>
                </c:pt>
                <c:pt idx="128" c:formatCode="yyyy/m/d;@">
                  <c:v>45260</c:v>
                </c:pt>
                <c:pt idx="129" c:formatCode="yyyy/m/d;@">
                  <c:v>45267</c:v>
                </c:pt>
                <c:pt idx="130" c:formatCode="yyyy/m/d;@">
                  <c:v>45274</c:v>
                </c:pt>
                <c:pt idx="131" c:formatCode="yyyy/m/d;@">
                  <c:v>45281</c:v>
                </c:pt>
                <c:pt idx="132" c:formatCode="yyyy/m/d;@">
                  <c:v>45288</c:v>
                </c:pt>
                <c:pt idx="133" c:formatCode="yyyy/m/d;@">
                  <c:v>45295</c:v>
                </c:pt>
                <c:pt idx="134" c:formatCode="yyyy/m/d;@">
                  <c:v>45302</c:v>
                </c:pt>
                <c:pt idx="135" c:formatCode="yyyy/m/d;@">
                  <c:v>45309</c:v>
                </c:pt>
                <c:pt idx="136" c:formatCode="yyyy/m/d;@">
                  <c:v>45316</c:v>
                </c:pt>
                <c:pt idx="137" c:formatCode="yyyy/m/d;@">
                  <c:v>45323</c:v>
                </c:pt>
                <c:pt idx="138" c:formatCode="yyyy/m/d;@">
                  <c:v>45344</c:v>
                </c:pt>
                <c:pt idx="139" c:formatCode="yyyy/m/d;@">
                  <c:v>45351</c:v>
                </c:pt>
                <c:pt idx="140" c:formatCode="yyyy/m/d;@">
                  <c:v>45358</c:v>
                </c:pt>
                <c:pt idx="141" c:formatCode="yyyy/m/d;@">
                  <c:v>45365</c:v>
                </c:pt>
                <c:pt idx="142" c:formatCode="yyyy/m/d;@">
                  <c:v>45372</c:v>
                </c:pt>
                <c:pt idx="143" c:formatCode="yyyy/m/d;@">
                  <c:v>45379</c:v>
                </c:pt>
                <c:pt idx="144" c:formatCode="yyyy/m/d;@">
                  <c:v>45385</c:v>
                </c:pt>
                <c:pt idx="145" c:formatCode="yyyy/m/d;@">
                  <c:v>45393</c:v>
                </c:pt>
                <c:pt idx="146" c:formatCode="yyyy/m/d;@">
                  <c:v>45400</c:v>
                </c:pt>
                <c:pt idx="147" c:formatCode="yyyy/m/d;@">
                  <c:v>45407</c:v>
                </c:pt>
                <c:pt idx="148" c:formatCode="yyyy/m/d;@">
                  <c:v>45414</c:v>
                </c:pt>
                <c:pt idx="149" c:formatCode="yyyy/m/d;@">
                  <c:v>45421</c:v>
                </c:pt>
                <c:pt idx="150" c:formatCode="yyyy/m/d;@">
                  <c:v>45428</c:v>
                </c:pt>
                <c:pt idx="151" c:formatCode="yyyy/m/d;@">
                  <c:v>45435</c:v>
                </c:pt>
                <c:pt idx="152" c:formatCode="yyyy/m/d;@">
                  <c:v>45442</c:v>
                </c:pt>
                <c:pt idx="153" c:formatCode="yyyy/m/d;@">
                  <c:v>45449</c:v>
                </c:pt>
                <c:pt idx="154" c:formatCode="yyyy/m/d;@">
                  <c:v>45456</c:v>
                </c:pt>
                <c:pt idx="155" c:formatCode="yyyy/m/d;@">
                  <c:v>45463</c:v>
                </c:pt>
                <c:pt idx="156" c:formatCode="yyyy/m/d;@">
                  <c:v>45470</c:v>
                </c:pt>
                <c:pt idx="157" c:formatCode="yyyy/m/d;@">
                  <c:v>45477</c:v>
                </c:pt>
                <c:pt idx="158" c:formatCode="yyyy/m/d;@">
                  <c:v>45484</c:v>
                </c:pt>
                <c:pt idx="159" c:formatCode="yyyy/m/d;@">
                  <c:v>45491</c:v>
                </c:pt>
                <c:pt idx="160" c:formatCode="yyyy/m/d;@">
                  <c:v>45498</c:v>
                </c:pt>
                <c:pt idx="161" c:formatCode="yyyy/m/d;@">
                  <c:v>45505</c:v>
                </c:pt>
                <c:pt idx="162" c:formatCode="yyyy/m/d;@">
                  <c:v>45512</c:v>
                </c:pt>
                <c:pt idx="163" c:formatCode="yyyy/m/d;@">
                  <c:v>45519</c:v>
                </c:pt>
                <c:pt idx="164" c:formatCode="yyyy/m/d;@">
                  <c:v>45526</c:v>
                </c:pt>
                <c:pt idx="165" c:formatCode="yyyy/m/d;@">
                  <c:v>45533</c:v>
                </c:pt>
                <c:pt idx="166" c:formatCode="yyyy/m/d;@">
                  <c:v>45540</c:v>
                </c:pt>
                <c:pt idx="167" c:formatCode="yyyy/m/d;@">
                  <c:v>45547</c:v>
                </c:pt>
                <c:pt idx="168" c:formatCode="yyyy/m/d;@">
                  <c:v>45554</c:v>
                </c:pt>
                <c:pt idx="169" c:formatCode="yyyy/m/d;@">
                  <c:v>45561</c:v>
                </c:pt>
                <c:pt idx="170" c:formatCode="yyyy/m/d;@">
                  <c:v>45575</c:v>
                </c:pt>
                <c:pt idx="171" c:formatCode="yyyy/m/d;@">
                  <c:v>45582</c:v>
                </c:pt>
                <c:pt idx="172" c:formatCode="yyyy/m/d;@">
                  <c:v>45589</c:v>
                </c:pt>
                <c:pt idx="173" c:formatCode="yyyy/m/d;@">
                  <c:v>45596</c:v>
                </c:pt>
                <c:pt idx="174" c:formatCode="yyyy/m/d;@">
                  <c:v>45603</c:v>
                </c:pt>
                <c:pt idx="175" c:formatCode="yyyy/m/d;@">
                  <c:v>45610</c:v>
                </c:pt>
                <c:pt idx="176" c:formatCode="yyyy/m/d;@">
                  <c:v>45617</c:v>
                </c:pt>
                <c:pt idx="177" c:formatCode="yyyy/m/d;@">
                  <c:v>45624</c:v>
                </c:pt>
                <c:pt idx="178" c:formatCode="yyyy/m/d;@">
                  <c:v>45631</c:v>
                </c:pt>
                <c:pt idx="179" c:formatCode="yyyy/m/d;@">
                  <c:v>45638</c:v>
                </c:pt>
                <c:pt idx="180" c:formatCode="yyyy/m/d;@">
                  <c:v>45645</c:v>
                </c:pt>
                <c:pt idx="181" c:formatCode="yyyy/m/d;@">
                  <c:v>45652</c:v>
                </c:pt>
                <c:pt idx="182" c:formatCode="yyyy/m/d;@">
                  <c:v>45659</c:v>
                </c:pt>
                <c:pt idx="183" c:formatCode="yyyy/m/d;@">
                  <c:v>45666</c:v>
                </c:pt>
                <c:pt idx="184" c:formatCode="yyyy/m/d;@">
                  <c:v>45673</c:v>
                </c:pt>
                <c:pt idx="185" c:formatCode="yyyy/m/d;@">
                  <c:v>45680</c:v>
                </c:pt>
                <c:pt idx="186" c:formatCode="yyyy/m/d;@">
                  <c:v>45694</c:v>
                </c:pt>
                <c:pt idx="187" c:formatCode="yyyy/m/d;@">
                  <c:v>45701</c:v>
                </c:pt>
                <c:pt idx="188" c:formatCode="yyyy/m/d;@">
                  <c:v>45708</c:v>
                </c:pt>
                <c:pt idx="189" c:formatCode="yyyy/m/d;@">
                  <c:v>45715</c:v>
                </c:pt>
                <c:pt idx="190" c:formatCode="yyyy/m/d;@">
                  <c:v>45722</c:v>
                </c:pt>
                <c:pt idx="191" c:formatCode="yyyy/m/d;@">
                  <c:v>45729</c:v>
                </c:pt>
                <c:pt idx="192" c:formatCode="yyyy/m/d;@">
                  <c:v>45736</c:v>
                </c:pt>
                <c:pt idx="193" c:formatCode="yyyy/m/d;@">
                  <c:v>45743</c:v>
                </c:pt>
                <c:pt idx="194" c:formatCode="yyyy/m/d;@">
                  <c:v>45750</c:v>
                </c:pt>
                <c:pt idx="195" c:formatCode="yyyy/m/d;@">
                  <c:v>45757</c:v>
                </c:pt>
                <c:pt idx="196" c:formatCode="yyyy/m/d;@">
                  <c:v>45764</c:v>
                </c:pt>
                <c:pt idx="197" c:formatCode="yyyy/m/d;@">
                  <c:v>45771</c:v>
                </c:pt>
                <c:pt idx="198" c:formatCode="yyyy/m/d;@">
                  <c:v>45777</c:v>
                </c:pt>
                <c:pt idx="199" c:formatCode="yyyy/m/d;@">
                  <c:v>45785</c:v>
                </c:pt>
                <c:pt idx="200" c:formatCode="yyyy/m/d;@">
                  <c:v>45792</c:v>
                </c:pt>
                <c:pt idx="201" c:formatCode="yyyy/m/d;@">
                  <c:v>45799</c:v>
                </c:pt>
                <c:pt idx="202" c:formatCode="yyyy/m/d;@">
                  <c:v>45806</c:v>
                </c:pt>
                <c:pt idx="203" c:formatCode="yyyy/m/d;@">
                  <c:v>45813</c:v>
                </c:pt>
                <c:pt idx="204" c:formatCode="yyyy/m/d;@">
                  <c:v>45820</c:v>
                </c:pt>
                <c:pt idx="205" c:formatCode="yyyy/m/d;@">
                  <c:v>45827</c:v>
                </c:pt>
                <c:pt idx="206" c:formatCode="yyyy/m/d;@">
                  <c:v>45834</c:v>
                </c:pt>
                <c:pt idx="207" c:formatCode="yyyy/m/d;@">
                  <c:v>45841</c:v>
                </c:pt>
                <c:pt idx="208" c:formatCode="yyyy/m/d;@">
                  <c:v>45848</c:v>
                </c:pt>
                <c:pt idx="209" c:formatCode="yyyy/m/d;@">
                  <c:v>45855</c:v>
                </c:pt>
                <c:pt idx="210" c:formatCode="yyyy/m/d;@">
                  <c:v>45862</c:v>
                </c:pt>
                <c:pt idx="211" c:formatCode="yyyy/m/d;@">
                  <c:v>45869</c:v>
                </c:pt>
                <c:pt idx="212" c:formatCode="yyyy/m/d;@">
                  <c:v>45876</c:v>
                </c:pt>
                <c:pt idx="213" c:formatCode="yyyy/m/d;@">
                  <c:v>45883</c:v>
                </c:pt>
                <c:pt idx="214" c:formatCode="yyyy/m/d;@">
                  <c:v>45890</c:v>
                </c:pt>
                <c:pt idx="215" c:formatCode="yyyy/m/d;@">
                  <c:v>45897</c:v>
                </c:pt>
                <c:pt idx="216" c:formatCode="yyyy/m/d;@">
                  <c:v>45904</c:v>
                </c:pt>
                <c:pt idx="217" c:formatCode="yyyy/m/d;@">
                  <c:v>45911</c:v>
                </c:pt>
                <c:pt idx="218" c:formatCode="yyyy/m/d;@">
                  <c:v>45918</c:v>
                </c:pt>
                <c:pt idx="219" c:formatCode="yyyy/m/d;@">
                  <c:v>45925</c:v>
                </c:pt>
                <c:pt idx="220" c:formatCode="yyyy/m/d;@">
                  <c:v>45939</c:v>
                </c:pt>
                <c:pt idx="221" c:formatCode="yyyy/m/d;@">
                  <c:v>45946</c:v>
                </c:pt>
                <c:pt idx="222" c:formatCode="yyyy/m/d;@">
                  <c:v>45953</c:v>
                </c:pt>
                <c:pt idx="223" c:formatCode="yyyy/m/d;@">
                  <c:v>45960</c:v>
                </c:pt>
                <c:pt idx="224" c:formatCode="yyyy/m/d;@">
                  <c:v>45967</c:v>
                </c:pt>
                <c:pt idx="225" c:formatCode="yyyy/m/d;@">
                  <c:v>45974</c:v>
                </c:pt>
                <c:pt idx="226" c:formatCode="yyyy/m/d;@">
                  <c:v>45981</c:v>
                </c:pt>
                <c:pt idx="227" c:formatCode="yyyy/m/d;@">
                  <c:v>45988</c:v>
                </c:pt>
                <c:pt idx="228" c:formatCode="yyyy/m/d;@">
                  <c:v>45995</c:v>
                </c:pt>
                <c:pt idx="229" c:formatCode="yyyy/m/d;@">
                  <c:v>46002</c:v>
                </c:pt>
                <c:pt idx="230" c:formatCode="yyyy/m/d;@">
                  <c:v>46009</c:v>
                </c:pt>
                <c:pt idx="231" c:formatCode="yyyy/m/d;@">
                  <c:v>46016</c:v>
                </c:pt>
                <c:pt idx="232" c:formatCode="yyyy/m/d;@">
                  <c:v>46023</c:v>
                </c:pt>
                <c:pt idx="233" c:formatCode="yyyy/m/d;@">
                  <c:v>46030</c:v>
                </c:pt>
                <c:pt idx="234" c:formatCode="yyyy/m/d;@">
                  <c:v>46037</c:v>
                </c:pt>
                <c:pt idx="235" c:formatCode="yyyy/m/d;@">
                  <c:v>46044</c:v>
                </c:pt>
                <c:pt idx="236" c:formatCode="yyyy/m/d;@">
                  <c:v>46051</c:v>
                </c:pt>
                <c:pt idx="237" c:formatCode="yyyy/m/d;@">
                  <c:v>46058</c:v>
                </c:pt>
                <c:pt idx="238" c:formatCode="yyyy/m/d;@">
                  <c:v>46065</c:v>
                </c:pt>
                <c:pt idx="239" c:formatCode="yyyy/m/d;@">
                  <c:v>46079</c:v>
                </c:pt>
                <c:pt idx="240" c:formatCode="yyyy/m/d;@">
                  <c:v>46086</c:v>
                </c:pt>
                <c:pt idx="241" c:formatCode="yyyy/m/d;@">
                  <c:v>46093</c:v>
                </c:pt>
                <c:pt idx="242" c:formatCode="yyyy/m/d;@">
                  <c:v>46100</c:v>
                </c:pt>
                <c:pt idx="243" c:formatCode="yyyy/m/d;@">
                  <c:v>46107</c:v>
                </c:pt>
                <c:pt idx="244" c:formatCode="yyyy/m/d;@">
                  <c:v>46114</c:v>
                </c:pt>
                <c:pt idx="245" c:formatCode="yyyy/m/d;@">
                  <c:v>46121</c:v>
                </c:pt>
                <c:pt idx="246" c:formatCode="yyyy/m/d;@">
                  <c:v>46128</c:v>
                </c:pt>
                <c:pt idx="247" c:formatCode="yyyy/m/d;@">
                  <c:v>46135</c:v>
                </c:pt>
                <c:pt idx="248" c:formatCode="yyyy/m/d;@">
                  <c:v>46142</c:v>
                </c:pt>
                <c:pt idx="249" c:formatCode="yyyy/m/d;@">
                  <c:v>46149</c:v>
                </c:pt>
                <c:pt idx="250" c:formatCode="yyyy/m/d;@">
                  <c:v>46156</c:v>
                </c:pt>
                <c:pt idx="251" c:formatCode="yyyy/m/d;@">
                  <c:v>46163</c:v>
                </c:pt>
                <c:pt idx="252" c:formatCode="yyyy/m/d;@">
                  <c:v>46170</c:v>
                </c:pt>
                <c:pt idx="253" c:formatCode="yyyy/m/d;@">
                  <c:v>46177</c:v>
                </c:pt>
                <c:pt idx="254" c:formatCode="yyyy/m/d;@">
                  <c:v>46184</c:v>
                </c:pt>
                <c:pt idx="255" c:formatCode="yyyy/m/d;@">
                  <c:v>46191</c:v>
                </c:pt>
                <c:pt idx="256" c:formatCode="yyyy/m/d;@">
                  <c:v>46198</c:v>
                </c:pt>
                <c:pt idx="257" c:formatCode="yyyy/m/d;@">
                  <c:v>46205</c:v>
                </c:pt>
                <c:pt idx="258" c:formatCode="yyyy/m/d;@">
                  <c:v>46212</c:v>
                </c:pt>
                <c:pt idx="259" c:formatCode="yyyy/m/d;@">
                  <c:v>46219</c:v>
                </c:pt>
                <c:pt idx="260" c:formatCode="yyyy/m/d;@">
                  <c:v>46226</c:v>
                </c:pt>
                <c:pt idx="261" c:formatCode="yyyy/m/d;@">
                  <c:v>46233</c:v>
                </c:pt>
                <c:pt idx="262" c:formatCode="yyyy/m/d;@">
                  <c:v>46240</c:v>
                </c:pt>
                <c:pt idx="263" c:formatCode="yyyy/m/d;@">
                  <c:v>46247</c:v>
                </c:pt>
                <c:pt idx="264" c:formatCode="yyyy/m/d;@">
                  <c:v>46254</c:v>
                </c:pt>
                <c:pt idx="265" c:formatCode="yyyy/m/d;@">
                  <c:v>46261</c:v>
                </c:pt>
                <c:pt idx="266" c:formatCode="yyyy/m/d;@">
                  <c:v>46268</c:v>
                </c:pt>
                <c:pt idx="267" c:formatCode="yyyy/m/d;@">
                  <c:v>46275</c:v>
                </c:pt>
                <c:pt idx="268" c:formatCode="yyyy/m/d;@">
                  <c:v>46282</c:v>
                </c:pt>
                <c:pt idx="269" c:formatCode="yyyy/m/d;@">
                  <c:v>46289</c:v>
                </c:pt>
              </c:numCache>
            </c:numRef>
          </c:cat>
          <c:val>
            <c:numRef>
              <c:f>标肥价差!$B$4:$B$1157</c:f>
              <c:numCache>
                <c:formatCode>General</c:formatCode>
                <c:ptCount val="1154"/>
                <c:pt idx="0">
                  <c:v>-0.72</c:v>
                </c:pt>
                <c:pt idx="1">
                  <c:v>-0.8</c:v>
                </c:pt>
                <c:pt idx="2">
                  <c:v>-0.83</c:v>
                </c:pt>
                <c:pt idx="3">
                  <c:v>-0.58</c:v>
                </c:pt>
                <c:pt idx="4">
                  <c:v>-0.56</c:v>
                </c:pt>
                <c:pt idx="5">
                  <c:v>-0.36</c:v>
                </c:pt>
                <c:pt idx="6">
                  <c:v>-0.34</c:v>
                </c:pt>
                <c:pt idx="7">
                  <c:v>-0.34</c:v>
                </c:pt>
                <c:pt idx="8">
                  <c:v>-0.46</c:v>
                </c:pt>
                <c:pt idx="9">
                  <c:v>-0.39</c:v>
                </c:pt>
                <c:pt idx="10">
                  <c:v>-0.46</c:v>
                </c:pt>
                <c:pt idx="11">
                  <c:v>-0.45</c:v>
                </c:pt>
                <c:pt idx="12" c:formatCode="0.00_ ">
                  <c:v>-0.28</c:v>
                </c:pt>
                <c:pt idx="13" c:formatCode="0.00_ ">
                  <c:v>-0.27</c:v>
                </c:pt>
                <c:pt idx="14" c:formatCode="0.00_ ">
                  <c:v>-0.31</c:v>
                </c:pt>
                <c:pt idx="15" c:formatCode="0.00_ ">
                  <c:v>-0.29</c:v>
                </c:pt>
                <c:pt idx="16" c:formatCode="0.00_ ">
                  <c:v>-0.17</c:v>
                </c:pt>
                <c:pt idx="17" c:formatCode="0.00_ ">
                  <c:v>-0.18</c:v>
                </c:pt>
                <c:pt idx="18" c:formatCode="0.00_ ">
                  <c:v>0.24</c:v>
                </c:pt>
                <c:pt idx="19" c:formatCode="0.00_ ">
                  <c:v>0.22</c:v>
                </c:pt>
                <c:pt idx="20" c:formatCode="0.00_ ">
                  <c:v>0.59</c:v>
                </c:pt>
                <c:pt idx="21" c:formatCode="0.00_ ">
                  <c:v>0.44</c:v>
                </c:pt>
                <c:pt idx="22" c:formatCode="0.00_ ">
                  <c:v>0.55</c:v>
                </c:pt>
                <c:pt idx="23" c:formatCode="0.00_ ">
                  <c:v>0.57</c:v>
                </c:pt>
                <c:pt idx="24" c:formatCode="0.00_ ">
                  <c:v>0.44</c:v>
                </c:pt>
                <c:pt idx="25" c:formatCode="0.00_ ">
                  <c:v>0.5</c:v>
                </c:pt>
                <c:pt idx="26" c:formatCode="0.00_ ">
                  <c:v>0.42</c:v>
                </c:pt>
                <c:pt idx="27" c:formatCode="0.00_ ">
                  <c:v>0.45</c:v>
                </c:pt>
                <c:pt idx="28" c:formatCode="0.00_ ">
                  <c:v>0.46</c:v>
                </c:pt>
                <c:pt idx="29" c:formatCode="0.00_ ">
                  <c:v>0.51</c:v>
                </c:pt>
                <c:pt idx="30">
                  <c:v>0.45</c:v>
                </c:pt>
                <c:pt idx="31">
                  <c:v>0.4</c:v>
                </c:pt>
                <c:pt idx="32">
                  <c:v>0.35</c:v>
                </c:pt>
                <c:pt idx="33">
                  <c:v>0.36</c:v>
                </c:pt>
                <c:pt idx="34">
                  <c:v>0.42</c:v>
                </c:pt>
                <c:pt idx="35">
                  <c:v>0.45</c:v>
                </c:pt>
                <c:pt idx="36">
                  <c:v>0.2</c:v>
                </c:pt>
                <c:pt idx="37" c:formatCode="0.00_ ">
                  <c:v>0.33</c:v>
                </c:pt>
                <c:pt idx="38" c:formatCode="0.00_);\(0.00\)">
                  <c:v>0.33</c:v>
                </c:pt>
                <c:pt idx="39" c:formatCode="0.00_);\(0.00\)">
                  <c:v>0.34</c:v>
                </c:pt>
                <c:pt idx="40" c:formatCode="0.00_);\(0.00\)">
                  <c:v>0.35</c:v>
                </c:pt>
                <c:pt idx="41" c:formatCode="0.00_);\(0.00\)">
                  <c:v>0.31</c:v>
                </c:pt>
                <c:pt idx="42" c:formatCode="0.00_);\(0.00\)">
                  <c:v>0.29</c:v>
                </c:pt>
                <c:pt idx="43" c:formatCode="0.00_ ">
                  <c:v>0.33</c:v>
                </c:pt>
                <c:pt idx="44" c:formatCode="0.00_ ">
                  <c:v>0.28</c:v>
                </c:pt>
                <c:pt idx="45" c:formatCode="0.00_ ">
                  <c:v>0.22</c:v>
                </c:pt>
                <c:pt idx="46" c:formatCode="0.00_ ">
                  <c:v>0.17</c:v>
                </c:pt>
                <c:pt idx="47" c:formatCode="0.00_ ">
                  <c:v>0.15</c:v>
                </c:pt>
                <c:pt idx="48" c:formatCode="0.00_ ">
                  <c:v>-0.09</c:v>
                </c:pt>
                <c:pt idx="49" c:formatCode="0.00_ ">
                  <c:v>-0.21</c:v>
                </c:pt>
                <c:pt idx="50" c:formatCode="0.00_ ">
                  <c:v>-0.36</c:v>
                </c:pt>
                <c:pt idx="51" c:formatCode="0.00_ ">
                  <c:v>-0.35</c:v>
                </c:pt>
                <c:pt idx="52" c:formatCode="0.00_ ">
                  <c:v>-0.29</c:v>
                </c:pt>
                <c:pt idx="53" c:formatCode="0.00_ ">
                  <c:v>-0.25</c:v>
                </c:pt>
                <c:pt idx="54" c:formatCode="0.00_ ">
                  <c:v>-0.24</c:v>
                </c:pt>
                <c:pt idx="55" c:formatCode="0.00_ ">
                  <c:v>-0.2</c:v>
                </c:pt>
                <c:pt idx="56" c:formatCode="0.00_ ">
                  <c:v>-0.17</c:v>
                </c:pt>
                <c:pt idx="57" c:formatCode="0.00_ ">
                  <c:v>-0.17</c:v>
                </c:pt>
                <c:pt idx="58" c:formatCode="0.00_ ">
                  <c:v>-0.19</c:v>
                </c:pt>
                <c:pt idx="59" c:formatCode="0.00_ ">
                  <c:v>-0.28</c:v>
                </c:pt>
                <c:pt idx="60" c:formatCode="0.00_ ">
                  <c:v>-0.29</c:v>
                </c:pt>
                <c:pt idx="61" c:formatCode="0.00_ ">
                  <c:v>-0.41</c:v>
                </c:pt>
                <c:pt idx="62" c:formatCode="0.00_ ">
                  <c:v>-0.28</c:v>
                </c:pt>
                <c:pt idx="63" c:formatCode="0.00_ ">
                  <c:v>-0.2</c:v>
                </c:pt>
                <c:pt idx="64" c:formatCode="0.00_ ">
                  <c:v>0.1</c:v>
                </c:pt>
                <c:pt idx="65" c:formatCode="0.00_ ">
                  <c:v>0.23</c:v>
                </c:pt>
                <c:pt idx="66" c:formatCode="0.00_ ">
                  <c:v>0.13</c:v>
                </c:pt>
                <c:pt idx="67" c:formatCode="0.00_ ">
                  <c:v>0.22</c:v>
                </c:pt>
                <c:pt idx="68" c:formatCode="0.00_ ">
                  <c:v>0.32</c:v>
                </c:pt>
                <c:pt idx="69" c:formatCode="0.00_ ">
                  <c:v>0.31</c:v>
                </c:pt>
                <c:pt idx="70" c:formatCode="0.00_ ">
                  <c:v>0.54</c:v>
                </c:pt>
                <c:pt idx="71" c:formatCode="0.00_ ">
                  <c:v>0.7</c:v>
                </c:pt>
                <c:pt idx="72" c:formatCode="0.00_ ">
                  <c:v>0.59</c:v>
                </c:pt>
                <c:pt idx="73" c:formatCode="0.00_ ">
                  <c:v>0.54</c:v>
                </c:pt>
                <c:pt idx="74" c:formatCode="0.00_ ">
                  <c:v>0.57</c:v>
                </c:pt>
                <c:pt idx="75" c:formatCode="0.00_ ">
                  <c:v>0.56</c:v>
                </c:pt>
                <c:pt idx="76" c:formatCode="0.00_ ">
                  <c:v>0.65</c:v>
                </c:pt>
                <c:pt idx="77" c:formatCode="0.00_ ">
                  <c:v>0.55</c:v>
                </c:pt>
                <c:pt idx="78" c:formatCode="0.00_ ">
                  <c:v>0.59</c:v>
                </c:pt>
                <c:pt idx="79" c:formatCode="0.00_ ">
                  <c:v>0.38</c:v>
                </c:pt>
                <c:pt idx="80" c:formatCode="0.00_ ">
                  <c:v>0.2</c:v>
                </c:pt>
                <c:pt idx="81" c:formatCode="0.00_ ">
                  <c:v>0.08</c:v>
                </c:pt>
                <c:pt idx="82" c:formatCode="0.00_ ">
                  <c:v>-0.04</c:v>
                </c:pt>
                <c:pt idx="83" c:formatCode="0.00_ ">
                  <c:v>-0.15</c:v>
                </c:pt>
                <c:pt idx="84" c:formatCode="0.00_ ">
                  <c:v>-0.14</c:v>
                </c:pt>
                <c:pt idx="85" c:formatCode="0.00_ ">
                  <c:v>-0.1</c:v>
                </c:pt>
                <c:pt idx="86" c:formatCode="0.00_ ">
                  <c:v>-0.11</c:v>
                </c:pt>
                <c:pt idx="87" c:formatCode="0.00_ ">
                  <c:v>-0.14</c:v>
                </c:pt>
                <c:pt idx="88" c:formatCode="0.00_ ">
                  <c:v>-0.01</c:v>
                </c:pt>
                <c:pt idx="89" c:formatCode="0.00_ ">
                  <c:v>0.03</c:v>
                </c:pt>
                <c:pt idx="90" c:formatCode="0.00_ ">
                  <c:v>0.01</c:v>
                </c:pt>
                <c:pt idx="91" c:formatCode="0.00_ ">
                  <c:v>-0.08</c:v>
                </c:pt>
                <c:pt idx="92" c:formatCode="0.00_ ">
                  <c:v>-0.07</c:v>
                </c:pt>
                <c:pt idx="93" c:formatCode="0.00_ ">
                  <c:v>-0.15</c:v>
                </c:pt>
                <c:pt idx="94" c:formatCode="0.00_ ">
                  <c:v>-0.18</c:v>
                </c:pt>
                <c:pt idx="95" c:formatCode="0.00_ ">
                  <c:v>-0.16</c:v>
                </c:pt>
                <c:pt idx="96" c:formatCode="0.00_ ">
                  <c:v>-0.14</c:v>
                </c:pt>
                <c:pt idx="97" c:formatCode="0.00_ ">
                  <c:v>-0.18</c:v>
                </c:pt>
                <c:pt idx="98" c:formatCode="0.00_ ">
                  <c:v>-0.18</c:v>
                </c:pt>
                <c:pt idx="99" c:formatCode="0.00_ ">
                  <c:v>-0.13</c:v>
                </c:pt>
                <c:pt idx="100" c:formatCode="0.00_ ">
                  <c:v>-0.17</c:v>
                </c:pt>
                <c:pt idx="101" c:formatCode="0.00_ ">
                  <c:v>-0.15</c:v>
                </c:pt>
                <c:pt idx="102" c:formatCode="0.00_ ">
                  <c:v>-0.21</c:v>
                </c:pt>
                <c:pt idx="103" c:formatCode="0.00_ ">
                  <c:v>-0.14</c:v>
                </c:pt>
                <c:pt idx="104" c:formatCode="0.00_ ">
                  <c:v>-0.22</c:v>
                </c:pt>
                <c:pt idx="105" c:formatCode="0.00_ ">
                  <c:v>-0.22</c:v>
                </c:pt>
                <c:pt idx="106" c:formatCode="0.00_ ">
                  <c:v>-0.2</c:v>
                </c:pt>
                <c:pt idx="107" c:formatCode="0.00_ ">
                  <c:v>-0.06</c:v>
                </c:pt>
                <c:pt idx="108" c:formatCode="0.00_ ">
                  <c:v>-0.05</c:v>
                </c:pt>
                <c:pt idx="109" c:formatCode="0.00_ ">
                  <c:v>-0.04</c:v>
                </c:pt>
                <c:pt idx="110" c:formatCode="0.00_ ">
                  <c:v>0.17</c:v>
                </c:pt>
                <c:pt idx="111" c:formatCode="0.00_ ">
                  <c:v>0.42</c:v>
                </c:pt>
                <c:pt idx="112" c:formatCode="0.00_ ">
                  <c:v>0.37</c:v>
                </c:pt>
                <c:pt idx="113" c:formatCode="0.00_ ">
                  <c:v>0.35</c:v>
                </c:pt>
                <c:pt idx="114" c:formatCode="0.00_ ">
                  <c:v>0.29</c:v>
                </c:pt>
                <c:pt idx="115" c:formatCode="0.00_ ">
                  <c:v>0.28</c:v>
                </c:pt>
                <c:pt idx="116" c:formatCode="0.00_ ">
                  <c:v>0.28</c:v>
                </c:pt>
                <c:pt idx="117" c:formatCode="0.00_ ">
                  <c:v>0.32</c:v>
                </c:pt>
                <c:pt idx="118" c:formatCode="0.00_ ">
                  <c:v>0.34</c:v>
                </c:pt>
                <c:pt idx="119" c:formatCode="0.00_ ">
                  <c:v>0.32</c:v>
                </c:pt>
                <c:pt idx="120" c:formatCode="0.00_ ">
                  <c:v>0.33</c:v>
                </c:pt>
                <c:pt idx="121" c:formatCode="0.00_ ">
                  <c:v>0.32</c:v>
                </c:pt>
                <c:pt idx="122" c:formatCode="#,##0.00_ ">
                  <c:v>0.37</c:v>
                </c:pt>
                <c:pt idx="123" c:formatCode="0.00_ ">
                  <c:v>0.34</c:v>
                </c:pt>
                <c:pt idx="124" c:formatCode="#,##0.00_ ">
                  <c:v>0.41</c:v>
                </c:pt>
                <c:pt idx="125" c:formatCode="0.00_ ">
                  <c:v>0.42</c:v>
                </c:pt>
                <c:pt idx="126" c:formatCode="#,##0.00_ ">
                  <c:v>0.61</c:v>
                </c:pt>
                <c:pt idx="127" c:formatCode="0.00_ ">
                  <c:v>0.6</c:v>
                </c:pt>
                <c:pt idx="128" c:formatCode="#,##0.00_ ">
                  <c:v>0.54</c:v>
                </c:pt>
                <c:pt idx="129" c:formatCode="0.00_ ">
                  <c:v>0.45</c:v>
                </c:pt>
                <c:pt idx="130" c:formatCode="#,##0.00_ ">
                  <c:v>0.36</c:v>
                </c:pt>
                <c:pt idx="131" c:formatCode="0.00_ ">
                  <c:v>0.27</c:v>
                </c:pt>
                <c:pt idx="132" c:formatCode="#,##0.00_ ">
                  <c:v>0.19</c:v>
                </c:pt>
                <c:pt idx="133" c:formatCode="0.00_ ">
                  <c:v>0.13</c:v>
                </c:pt>
                <c:pt idx="134" c:formatCode="#,##0.00_ ">
                  <c:v>0.17</c:v>
                </c:pt>
                <c:pt idx="135" c:formatCode="0.00_ ">
                  <c:v>0.26</c:v>
                </c:pt>
                <c:pt idx="136" c:formatCode="#,##0.00_ ">
                  <c:v>0.34</c:v>
                </c:pt>
                <c:pt idx="137" c:formatCode="0.00_ ">
                  <c:v>0.44</c:v>
                </c:pt>
                <c:pt idx="138" c:formatCode="#,##0.00_ ">
                  <c:v>0.3</c:v>
                </c:pt>
                <c:pt idx="139" c:formatCode="#,##0.00_ ">
                  <c:v>0.4</c:v>
                </c:pt>
                <c:pt idx="140" c:formatCode="#,##0.00_ ">
                  <c:v>0.52</c:v>
                </c:pt>
                <c:pt idx="141" c:formatCode="#,##0.00_ ">
                  <c:v>0.48</c:v>
                </c:pt>
                <c:pt idx="142" c:formatCode="#,##0.00_ ">
                  <c:v>0.42</c:v>
                </c:pt>
                <c:pt idx="143" c:formatCode="#,##0.00_ ">
                  <c:v>0.25</c:v>
                </c:pt>
                <c:pt idx="144" c:formatCode="#,##0.00_ ">
                  <c:v>0.26</c:v>
                </c:pt>
                <c:pt idx="145" c:formatCode="#,##0.00_ ">
                  <c:v>0.14</c:v>
                </c:pt>
                <c:pt idx="146" c:formatCode="#,##0.00_ ">
                  <c:v>0.12</c:v>
                </c:pt>
                <c:pt idx="147" c:formatCode="#,##0.00_ ">
                  <c:v>0.11</c:v>
                </c:pt>
                <c:pt idx="148" c:formatCode="#,##0.00_ ">
                  <c:v>0.07</c:v>
                </c:pt>
                <c:pt idx="149" c:formatCode="#,##0.00_ ">
                  <c:v>0.11</c:v>
                </c:pt>
                <c:pt idx="150" c:formatCode="#,##0.00_ ">
                  <c:v>0.12</c:v>
                </c:pt>
                <c:pt idx="151" c:formatCode="#,##0.00_ ">
                  <c:v>-0.04</c:v>
                </c:pt>
                <c:pt idx="152" c:formatCode="#,##0.00_ ">
                  <c:v>0.04</c:v>
                </c:pt>
                <c:pt idx="153" c:formatCode="#,##0.00_ ">
                  <c:v>0.07</c:v>
                </c:pt>
                <c:pt idx="154" c:formatCode="#,##0.00_ ">
                  <c:v>0.06</c:v>
                </c:pt>
                <c:pt idx="155" c:formatCode="#,##0.00_ ">
                  <c:v>0.05</c:v>
                </c:pt>
                <c:pt idx="156" c:formatCode="#,##0.00_ ">
                  <c:v>0.04</c:v>
                </c:pt>
                <c:pt idx="157" c:formatCode="#,##0.00_ ">
                  <c:v>0.07</c:v>
                </c:pt>
                <c:pt idx="158" c:formatCode="#,##0.00_ ">
                  <c:v>0.09</c:v>
                </c:pt>
                <c:pt idx="159" c:formatCode="#,##0.00_ ">
                  <c:v>0.12</c:v>
                </c:pt>
                <c:pt idx="160" c:formatCode="#,##0.00_ ">
                  <c:v>0.24</c:v>
                </c:pt>
                <c:pt idx="161" c:formatCode="#,##0.00_ ">
                  <c:v>0.35</c:v>
                </c:pt>
                <c:pt idx="162" c:formatCode="#,##0.00_ ">
                  <c:v>0.33</c:v>
                </c:pt>
                <c:pt idx="163" c:formatCode="#,##0.00_ ">
                  <c:v>0.28</c:v>
                </c:pt>
                <c:pt idx="164" c:formatCode="#,##0.00_ ">
                  <c:v>0.28</c:v>
                </c:pt>
                <c:pt idx="165" c:formatCode="#,##0.00_ ">
                  <c:v>0.31</c:v>
                </c:pt>
                <c:pt idx="166" c:formatCode="#,##0.00_ ">
                  <c:v>0.32</c:v>
                </c:pt>
                <c:pt idx="167" c:formatCode="#,##0.00_ ">
                  <c:v>0.29</c:v>
                </c:pt>
                <c:pt idx="168" c:formatCode="#,##0.00_ ">
                  <c:v>0.26</c:v>
                </c:pt>
                <c:pt idx="169" c:formatCode="#,##0.00_ ">
                  <c:v>0.28</c:v>
                </c:pt>
                <c:pt idx="170" c:formatCode="#,##0.00_ ">
                  <c:v>0.45</c:v>
                </c:pt>
                <c:pt idx="171" c:formatCode="#,##0.00_ ">
                  <c:v>0.56</c:v>
                </c:pt>
                <c:pt idx="172" c:formatCode="#,##0.00_ ">
                  <c:v>0.7</c:v>
                </c:pt>
                <c:pt idx="173" c:formatCode="#,##0.00_ ">
                  <c:v>0.62</c:v>
                </c:pt>
                <c:pt idx="174" c:formatCode="#,##0.00_ ">
                  <c:v>0.54</c:v>
                </c:pt>
                <c:pt idx="175" c:formatCode="#,##0.00_ ">
                  <c:v>0.49</c:v>
                </c:pt>
                <c:pt idx="176" c:formatCode="#,##0.00_ ">
                  <c:v>0.56</c:v>
                </c:pt>
                <c:pt idx="177" c:formatCode="#,##0.00_ ">
                  <c:v>0.65</c:v>
                </c:pt>
                <c:pt idx="178" c:formatCode="#,##0.00_ ">
                  <c:v>0.46</c:v>
                </c:pt>
                <c:pt idx="179" c:formatCode="#,##0.00_ ">
                  <c:v>0.51</c:v>
                </c:pt>
                <c:pt idx="180" c:formatCode="#,##0.00_ ">
                  <c:v>0.48</c:v>
                </c:pt>
                <c:pt idx="181" c:formatCode="#,##0.00_ ">
                  <c:v>0.61</c:v>
                </c:pt>
                <c:pt idx="182" c:formatCode="#,##0.00_ ">
                  <c:v>0.73</c:v>
                </c:pt>
                <c:pt idx="183" c:formatCode="#,##0.00_ ">
                  <c:v>0.63</c:v>
                </c:pt>
                <c:pt idx="184" c:formatCode="#,##0.00_ ">
                  <c:v>0.78</c:v>
                </c:pt>
                <c:pt idx="185" c:formatCode="#,##0.00_ ">
                  <c:v>0.87</c:v>
                </c:pt>
                <c:pt idx="186" c:formatCode="#,##0.00_ ">
                  <c:v>0.88</c:v>
                </c:pt>
                <c:pt idx="187" c:formatCode="#,##0.00_ ">
                  <c:v>1.09</c:v>
                </c:pt>
                <c:pt idx="188" c:formatCode="#,##0.00_ ">
                  <c:v>1.08</c:v>
                </c:pt>
                <c:pt idx="189" c:formatCode="#,##0.00_ ">
                  <c:v>1.1</c:v>
                </c:pt>
                <c:pt idx="190" c:formatCode="#,##0.00_ ">
                  <c:v>0.96</c:v>
                </c:pt>
                <c:pt idx="191" c:formatCode="#,##0.00_ ">
                  <c:v>0.8</c:v>
                </c:pt>
                <c:pt idx="192" c:formatCode="#,##0.00_ ">
                  <c:v>0.62</c:v>
                </c:pt>
                <c:pt idx="193" c:formatCode="#,##0.00_ ">
                  <c:v>0.5</c:v>
                </c:pt>
                <c:pt idx="194" c:formatCode="#,##0.00_ ">
                  <c:v>0.41</c:v>
                </c:pt>
                <c:pt idx="195" c:formatCode="#,##0.00_ ">
                  <c:v>0.32</c:v>
                </c:pt>
                <c:pt idx="196" c:formatCode="#,##0.00_ ">
                  <c:v>0.24</c:v>
                </c:pt>
                <c:pt idx="197" c:formatCode="#,##0.00_ ">
                  <c:v>0.23</c:v>
                </c:pt>
                <c:pt idx="198" c:formatCode="#,##0.00_ ">
                  <c:v>0.25</c:v>
                </c:pt>
                <c:pt idx="199" c:formatCode="#,##0.00_ ">
                  <c:v>0.19</c:v>
                </c:pt>
                <c:pt idx="200" c:formatCode="#,##0.00_ ">
                  <c:v>0.18</c:v>
                </c:pt>
                <c:pt idx="201" c:formatCode="#,##0.00_ ">
                  <c:v>0.17</c:v>
                </c:pt>
                <c:pt idx="202" c:formatCode="#,##0.00_ ">
                  <c:v>0.21</c:v>
                </c:pt>
                <c:pt idx="203" c:formatCode="#,##0.00_ ">
                  <c:v>0.19</c:v>
                </c:pt>
                <c:pt idx="204" c:formatCode="#,##0.00_ ">
                  <c:v>0.21</c:v>
                </c:pt>
                <c:pt idx="205" c:formatCode="#,##0.00_ ">
                  <c:v>0.22</c:v>
                </c:pt>
                <c:pt idx="206" c:formatCode="#,##0.00_ ">
                  <c:v>0.2</c:v>
                </c:pt>
                <c:pt idx="207" c:formatCode="#,##0.00_ ">
                  <c:v>0.26</c:v>
                </c:pt>
                <c:pt idx="208" c:formatCode="#,##0.00_ ">
                  <c:v>0.27</c:v>
                </c:pt>
                <c:pt idx="209" c:formatCode="#,##0.00_ ">
                  <c:v>0.26</c:v>
                </c:pt>
                <c:pt idx="210" c:formatCode="#,##0.00_ ">
                  <c:v>0.25</c:v>
                </c:pt>
                <c:pt idx="211" c:formatCode="#,##0.00_ ">
                  <c:v>0.27</c:v>
                </c:pt>
                <c:pt idx="212" c:formatCode="#,##0.00_ ">
                  <c:v>0.3</c:v>
                </c:pt>
                <c:pt idx="213" c:formatCode="#,##0.00_ ">
                  <c:v>0.32</c:v>
                </c:pt>
                <c:pt idx="214" c:formatCode="#,##0.00_ ">
                  <c:v>0.36</c:v>
                </c:pt>
                <c:pt idx="215" c:formatCode="#,##0.00_ ">
                  <c:v>0.37</c:v>
                </c:pt>
                <c:pt idx="216" c:formatCode="#,##0.00_ ">
                  <c:v>0.4</c:v>
                </c:pt>
                <c:pt idx="217" c:formatCode="#,##0.00_ ">
                  <c:v>0.32</c:v>
                </c:pt>
                <c:pt idx="218" c:formatCode="#,##0.00_ ">
                  <c:v>0.33</c:v>
                </c:pt>
                <c:pt idx="219" c:formatCode="#,##0.00_ ">
                  <c:v>0.35</c:v>
                </c:pt>
                <c:pt idx="220" c:formatCode="#,##0.00_ ">
                  <c:v>0.49</c:v>
                </c:pt>
                <c:pt idx="221" c:formatCode="#,##0.00_ ">
                  <c:v>0.6</c:v>
                </c:pt>
                <c:pt idx="222" c:formatCode="#,##0.00_ ">
                  <c:v>0.69</c:v>
                </c:pt>
                <c:pt idx="223" c:formatCode="#,##0.00_ ">
                  <c:v>0.71</c:v>
                </c:pt>
                <c:pt idx="224" c:formatCode="#,##0.00_ ">
                  <c:v>0.66</c:v>
                </c:pt>
                <c:pt idx="225" c:formatCode="#,##0.00_ ">
                  <c:v>0.64</c:v>
                </c:pt>
                <c:pt idx="226" c:formatCode="#,##0.00_ ">
                  <c:v>0.63</c:v>
                </c:pt>
                <c:pt idx="227" c:formatCode="#,##0.00_ ">
                  <c:v>0.57</c:v>
                </c:pt>
                <c:pt idx="228" c:formatCode="#,##0.00_ ">
                  <c:v>0.54</c:v>
                </c:pt>
                <c:pt idx="229" c:formatCode="#,##0.00_ ">
                  <c:v>0.55</c:v>
                </c:pt>
                <c:pt idx="230" c:formatCode="#,##0.00_ ">
                  <c:v>0.55</c:v>
                </c:pt>
                <c:pt idx="231" c:formatCode="#,##0.00_ ">
                  <c:v>0.57</c:v>
                </c:pt>
                <c:pt idx="232" c:formatCode="#,##0.00_ ">
                  <c:v>0.54</c:v>
                </c:pt>
                <c:pt idx="233" c:formatCode="#,##0.00_ ">
                  <c:v>0.49</c:v>
                </c:pt>
                <c:pt idx="234" c:formatCode="#,##0.00_ ">
                  <c:v>0.48</c:v>
                </c:pt>
                <c:pt idx="235" c:formatCode="#,##0.00_ ">
                  <c:v>0.64</c:v>
                </c:pt>
                <c:pt idx="236" c:formatCode="#,##0.00_ ">
                  <c:v>0.83</c:v>
                </c:pt>
                <c:pt idx="237" c:formatCode="#,##0.00_ ">
                  <c:v>0.93</c:v>
                </c:pt>
                <c:pt idx="238" c:formatCode="#,##0.00_ ">
                  <c:v>0.93</c:v>
                </c:pt>
                <c:pt idx="239" c:formatCode="#,##0.00_ ">
                  <c:v>0.77</c:v>
                </c:pt>
                <c:pt idx="240" c:formatCode="#,##0.00_ ">
                  <c:v>0.72</c:v>
                </c:pt>
                <c:pt idx="241" c:formatCode="#,##0.00_ ">
                  <c:v>0.78</c:v>
                </c:pt>
                <c:pt idx="242" c:formatCode="#,##0.00_ ">
                  <c:v>0.81</c:v>
                </c:pt>
                <c:pt idx="243" c:formatCode="#,##0.00_ ">
                  <c:v>0.81</c:v>
                </c:pt>
                <c:pt idx="244" c:formatCode="#,##0.00_ ">
                  <c:v>0.77</c:v>
                </c:pt>
                <c:pt idx="245" c:formatCode="#,##0.00_ ">
                  <c:v>0.71</c:v>
                </c:pt>
                <c:pt idx="246" c:formatCode="#,##0.00_ ">
                  <c:v>0.61</c:v>
                </c:pt>
                <c:pt idx="247" c:formatCode="#,##0.00_ ">
                  <c:v>0.47</c:v>
                </c:pt>
                <c:pt idx="248" c:formatCode="#,##0.00_ ">
                  <c:v>0.37</c:v>
                </c:pt>
                <c:pt idx="249" c:formatCode="#,##0.00_ ">
                  <c:v>0.31</c:v>
                </c:pt>
                <c:pt idx="250" c:formatCode="#,##0.00_ ">
                  <c:v>0.29</c:v>
                </c:pt>
                <c:pt idx="251" c:formatCode="#,##0.00_ ">
                  <c:v>0.32</c:v>
                </c:pt>
                <c:pt idx="252" c:formatCode="#,##0.00_ ">
                  <c:v>0.34</c:v>
                </c:pt>
                <c:pt idx="253" c:formatCode="#,##0.00_ ">
                  <c:v>0.29</c:v>
                </c:pt>
                <c:pt idx="254" c:formatCode="#,##0.00_ ">
                  <c:v>0.3</c:v>
                </c:pt>
                <c:pt idx="255" c:formatCode="#,##0.00_ ">
                  <c:v>0.35</c:v>
                </c:pt>
                <c:pt idx="256" c:formatCode="#,##0.00_ ">
                  <c:v>0.51</c:v>
                </c:pt>
                <c:pt idx="257" c:formatCode="#,##0.00_ ">
                  <c:v>0.84</c:v>
                </c:pt>
                <c:pt idx="258" c:formatCode="#,##0.00_ ">
                  <c:v>0.65</c:v>
                </c:pt>
                <c:pt idx="259" c:formatCode="#,##0.00_ ">
                  <c:v>0.55</c:v>
                </c:pt>
                <c:pt idx="260" c:formatCode="#,##0.00_ ">
                  <c:v>0.65</c:v>
                </c:pt>
                <c:pt idx="261" c:formatCode="#,##0.00_ ">
                  <c:v>0.72</c:v>
                </c:pt>
                <c:pt idx="262" c:formatCode="#,##0.00_ ">
                  <c:v>0.8</c:v>
                </c:pt>
                <c:pt idx="263" c:formatCode="#,##0.00_ ">
                  <c:v>0.96</c:v>
                </c:pt>
                <c:pt idx="264" c:formatCode="#,##0.00_ ">
                  <c:v>0.89</c:v>
                </c:pt>
                <c:pt idx="265" c:formatCode="#,##0.00_ ">
                  <c:v>0.88</c:v>
                </c:pt>
                <c:pt idx="266" c:formatCode="#,##0.00_ ">
                  <c:v>0.79</c:v>
                </c:pt>
                <c:pt idx="267" c:formatCode="#,##0.00_ ">
                  <c:v>0.77</c:v>
                </c:pt>
                <c:pt idx="268" c:formatCode="#,##0.00_ ">
                  <c:v>0.77</c:v>
                </c:pt>
                <c:pt idx="269" c:formatCode="#,##0.00_ ">
                  <c:v>0.78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"四川"</c:f>
              <c:strCache>
                <c:ptCount val="1"/>
                <c:pt idx="0">
                  <c:v>四川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标肥价差!$A$4:$A$1179</c:f>
              <c:numCache>
                <c:formatCode>yyyy/m/d;@</c:formatCode>
                <c:ptCount val="1176"/>
                <c:pt idx="0" c:formatCode="yyyy/m/d;@">
                  <c:v>44343</c:v>
                </c:pt>
                <c:pt idx="1" c:formatCode="yyyy/m/d;@">
                  <c:v>44350</c:v>
                </c:pt>
                <c:pt idx="2" c:formatCode="yyyy/m/d;@">
                  <c:v>44357</c:v>
                </c:pt>
                <c:pt idx="3" c:formatCode="yyyy/m/d;@">
                  <c:v>44364</c:v>
                </c:pt>
                <c:pt idx="4" c:formatCode="yyyy/m/d;@">
                  <c:v>44371</c:v>
                </c:pt>
                <c:pt idx="5" c:formatCode="yyyy/m/d;@">
                  <c:v>44378</c:v>
                </c:pt>
                <c:pt idx="6" c:formatCode="yyyy/m/d;@">
                  <c:v>44385</c:v>
                </c:pt>
                <c:pt idx="7" c:formatCode="yyyy/m/d;@">
                  <c:v>44392</c:v>
                </c:pt>
                <c:pt idx="8" c:formatCode="yyyy/m/d;@">
                  <c:v>44399</c:v>
                </c:pt>
                <c:pt idx="9" c:formatCode="yyyy/m/d;@">
                  <c:v>44406</c:v>
                </c:pt>
                <c:pt idx="10" c:formatCode="yyyy/m/d;@">
                  <c:v>44413</c:v>
                </c:pt>
                <c:pt idx="11" c:formatCode="yyyy/m/d;@">
                  <c:v>44420</c:v>
                </c:pt>
                <c:pt idx="12" c:formatCode="yyyy/m/d;@">
                  <c:v>44427</c:v>
                </c:pt>
                <c:pt idx="13" c:formatCode="yyyy/m/d;@">
                  <c:v>44434</c:v>
                </c:pt>
                <c:pt idx="14" c:formatCode="yyyy/m/d;@">
                  <c:v>44441</c:v>
                </c:pt>
                <c:pt idx="15" c:formatCode="yyyy/m/d;@">
                  <c:v>44448</c:v>
                </c:pt>
                <c:pt idx="16" c:formatCode="yyyy/m/d;@">
                  <c:v>44455</c:v>
                </c:pt>
                <c:pt idx="17" c:formatCode="yyyy/m/d;@">
                  <c:v>44462</c:v>
                </c:pt>
                <c:pt idx="18" c:formatCode="yyyy/m/d;@">
                  <c:v>44469</c:v>
                </c:pt>
                <c:pt idx="19" c:formatCode="yyyy/m/d;@">
                  <c:v>44477</c:v>
                </c:pt>
                <c:pt idx="20" c:formatCode="yyyy/m/d;@">
                  <c:v>44483</c:v>
                </c:pt>
                <c:pt idx="21" c:formatCode="yyyy/m/d;@">
                  <c:v>44490</c:v>
                </c:pt>
                <c:pt idx="22" c:formatCode="yyyy/m/d;@">
                  <c:v>44497</c:v>
                </c:pt>
                <c:pt idx="23" c:formatCode="yyyy/m/d;@">
                  <c:v>44504</c:v>
                </c:pt>
                <c:pt idx="24" c:formatCode="yyyy/m/d;@">
                  <c:v>44511</c:v>
                </c:pt>
                <c:pt idx="25" c:formatCode="yyyy/m/d;@">
                  <c:v>44518</c:v>
                </c:pt>
                <c:pt idx="26" c:formatCode="yyyy/m/d;@">
                  <c:v>44525</c:v>
                </c:pt>
                <c:pt idx="27" c:formatCode="yyyy/m/d;@">
                  <c:v>44532</c:v>
                </c:pt>
                <c:pt idx="28" c:formatCode="yyyy/m/d;@">
                  <c:v>44539</c:v>
                </c:pt>
                <c:pt idx="29" c:formatCode="yyyy/m/d;@">
                  <c:v>44546</c:v>
                </c:pt>
                <c:pt idx="30" c:formatCode="yyyy/m/d;@">
                  <c:v>44553</c:v>
                </c:pt>
                <c:pt idx="31" c:formatCode="yyyy/m/d;@">
                  <c:v>44560</c:v>
                </c:pt>
                <c:pt idx="32" c:formatCode="yyyy/m/d;@">
                  <c:v>44567</c:v>
                </c:pt>
                <c:pt idx="33" c:formatCode="yyyy/m/d;@">
                  <c:v>44574</c:v>
                </c:pt>
                <c:pt idx="34" c:formatCode="yyyy/m/d;@">
                  <c:v>44581</c:v>
                </c:pt>
                <c:pt idx="35" c:formatCode="yyyy/m/d;@">
                  <c:v>44587</c:v>
                </c:pt>
                <c:pt idx="36" c:formatCode="yyyy/m/d;@">
                  <c:v>44602</c:v>
                </c:pt>
                <c:pt idx="37" c:formatCode="yyyy/m/d;@">
                  <c:v>44609</c:v>
                </c:pt>
                <c:pt idx="38" c:formatCode="yyyy/m/d;@">
                  <c:v>44616</c:v>
                </c:pt>
                <c:pt idx="39" c:formatCode="yyyy/m/d;@">
                  <c:v>44623</c:v>
                </c:pt>
                <c:pt idx="40" c:formatCode="yyyy/m/d;@">
                  <c:v>44630</c:v>
                </c:pt>
                <c:pt idx="41" c:formatCode="yyyy/m/d;@">
                  <c:v>44637</c:v>
                </c:pt>
                <c:pt idx="42" c:formatCode="yyyy/m/d;@">
                  <c:v>44644</c:v>
                </c:pt>
                <c:pt idx="43" c:formatCode="yyyy/m/d;@">
                  <c:v>44651</c:v>
                </c:pt>
                <c:pt idx="44" c:formatCode="yyyy/m/d;@">
                  <c:v>44658</c:v>
                </c:pt>
                <c:pt idx="45" c:formatCode="yyyy/m/d;@">
                  <c:v>44665</c:v>
                </c:pt>
                <c:pt idx="46" c:formatCode="yyyy/m/d;@">
                  <c:v>44672</c:v>
                </c:pt>
                <c:pt idx="47" c:formatCode="yyyy/m/d;@">
                  <c:v>44679</c:v>
                </c:pt>
                <c:pt idx="48" c:formatCode="yyyy/m/d;@">
                  <c:v>44686</c:v>
                </c:pt>
                <c:pt idx="49" c:formatCode="yyyy/m/d;@">
                  <c:v>44693</c:v>
                </c:pt>
                <c:pt idx="50" c:formatCode="yyyy/m/d;@">
                  <c:v>44700</c:v>
                </c:pt>
                <c:pt idx="51" c:formatCode="yyyy/m/d;@">
                  <c:v>44707</c:v>
                </c:pt>
                <c:pt idx="52" c:formatCode="yyyy/m/d;@">
                  <c:v>44714</c:v>
                </c:pt>
                <c:pt idx="53" c:formatCode="yyyy/m/d;@">
                  <c:v>44721</c:v>
                </c:pt>
                <c:pt idx="54" c:formatCode="yyyy/m/d;@">
                  <c:v>44728</c:v>
                </c:pt>
                <c:pt idx="55" c:formatCode="yyyy/m/d;@">
                  <c:v>44735</c:v>
                </c:pt>
                <c:pt idx="56" c:formatCode="yyyy/m/d;@">
                  <c:v>44742</c:v>
                </c:pt>
                <c:pt idx="57" c:formatCode="yyyy/m/d;@">
                  <c:v>44749</c:v>
                </c:pt>
                <c:pt idx="58" c:formatCode="yyyy/m/d;@">
                  <c:v>44756</c:v>
                </c:pt>
                <c:pt idx="59" c:formatCode="yyyy/m/d;@">
                  <c:v>44763</c:v>
                </c:pt>
                <c:pt idx="60" c:formatCode="yyyy/m/d;@">
                  <c:v>44770</c:v>
                </c:pt>
                <c:pt idx="61" c:formatCode="yyyy/m/d;@">
                  <c:v>44777</c:v>
                </c:pt>
                <c:pt idx="62" c:formatCode="yyyy/m/d;@">
                  <c:v>44784</c:v>
                </c:pt>
                <c:pt idx="63" c:formatCode="yyyy/m/d;@">
                  <c:v>44791</c:v>
                </c:pt>
                <c:pt idx="64" c:formatCode="yyyy/m/d;@">
                  <c:v>44798</c:v>
                </c:pt>
                <c:pt idx="65" c:formatCode="yyyy/m/d;@">
                  <c:v>44805</c:v>
                </c:pt>
                <c:pt idx="66" c:formatCode="yyyy/m/d;@">
                  <c:v>44812</c:v>
                </c:pt>
                <c:pt idx="67" c:formatCode="yyyy/m/d;@">
                  <c:v>44819</c:v>
                </c:pt>
                <c:pt idx="68" c:formatCode="yyyy/m/d;@">
                  <c:v>44826</c:v>
                </c:pt>
                <c:pt idx="69" c:formatCode="yyyy/m/d;@">
                  <c:v>44833</c:v>
                </c:pt>
                <c:pt idx="70" c:formatCode="yyyy/m/d;@">
                  <c:v>44842</c:v>
                </c:pt>
                <c:pt idx="71" c:formatCode="yyyy/m/d;@">
                  <c:v>44847</c:v>
                </c:pt>
                <c:pt idx="72" c:formatCode="yyyy/m/d;@">
                  <c:v>44854</c:v>
                </c:pt>
                <c:pt idx="73" c:formatCode="yyyy/m/d;@">
                  <c:v>44861</c:v>
                </c:pt>
                <c:pt idx="74" c:formatCode="yyyy/m/d;@">
                  <c:v>44868</c:v>
                </c:pt>
                <c:pt idx="75" c:formatCode="yyyy/m/d;@">
                  <c:v>44875</c:v>
                </c:pt>
                <c:pt idx="76" c:formatCode="yyyy/m/d;@">
                  <c:v>44882</c:v>
                </c:pt>
                <c:pt idx="77" c:formatCode="yyyy/m/d;@">
                  <c:v>44889</c:v>
                </c:pt>
                <c:pt idx="78" c:formatCode="yyyy/m/d;@">
                  <c:v>44896</c:v>
                </c:pt>
                <c:pt idx="79" c:formatCode="yyyy/m/d;@">
                  <c:v>44903</c:v>
                </c:pt>
                <c:pt idx="80" c:formatCode="yyyy/m/d;@">
                  <c:v>44910</c:v>
                </c:pt>
                <c:pt idx="81" c:formatCode="yyyy/m/d;@">
                  <c:v>44917</c:v>
                </c:pt>
                <c:pt idx="82" c:formatCode="yyyy/m/d;@">
                  <c:v>44924</c:v>
                </c:pt>
                <c:pt idx="83" c:formatCode="yyyy/m/d;@">
                  <c:v>44931</c:v>
                </c:pt>
                <c:pt idx="84" c:formatCode="yyyy/m/d;@">
                  <c:v>44938</c:v>
                </c:pt>
                <c:pt idx="85" c:formatCode="yyyy/m/d;@">
                  <c:v>44959</c:v>
                </c:pt>
                <c:pt idx="86" c:formatCode="yyyy/m/d;@">
                  <c:v>44966</c:v>
                </c:pt>
                <c:pt idx="87" c:formatCode="yyyy/m/d;@">
                  <c:v>44973</c:v>
                </c:pt>
                <c:pt idx="88" c:formatCode="yyyy/m/d;@">
                  <c:v>44980</c:v>
                </c:pt>
                <c:pt idx="89" c:formatCode="yyyy/m/d;@">
                  <c:v>44987</c:v>
                </c:pt>
                <c:pt idx="90" c:formatCode="yyyy/m/d;@">
                  <c:v>44994</c:v>
                </c:pt>
                <c:pt idx="91" c:formatCode="yyyy/m/d;@">
                  <c:v>45001</c:v>
                </c:pt>
                <c:pt idx="92" c:formatCode="yyyy/m/d;@">
                  <c:v>45008</c:v>
                </c:pt>
                <c:pt idx="93" c:formatCode="yyyy/m/d;@">
                  <c:v>45015</c:v>
                </c:pt>
                <c:pt idx="94" c:formatCode="yyyy/m/d;@">
                  <c:v>45022</c:v>
                </c:pt>
                <c:pt idx="95" c:formatCode="yyyy/m/d;@">
                  <c:v>45029</c:v>
                </c:pt>
                <c:pt idx="96" c:formatCode="yyyy/m/d;@">
                  <c:v>45036</c:v>
                </c:pt>
                <c:pt idx="97" c:formatCode="yyyy/m/d;@">
                  <c:v>45043</c:v>
                </c:pt>
                <c:pt idx="98" c:formatCode="yyyy/m/d;@">
                  <c:v>45050</c:v>
                </c:pt>
                <c:pt idx="99" c:formatCode="yyyy/m/d;@">
                  <c:v>45057</c:v>
                </c:pt>
                <c:pt idx="100" c:formatCode="yyyy/m/d;@">
                  <c:v>45064</c:v>
                </c:pt>
                <c:pt idx="101" c:formatCode="yyyy/m/d;@">
                  <c:v>45071</c:v>
                </c:pt>
                <c:pt idx="102" c:formatCode="yyyy/m/d;@">
                  <c:v>45078</c:v>
                </c:pt>
                <c:pt idx="103" c:formatCode="yyyy/m/d;@">
                  <c:v>45085</c:v>
                </c:pt>
                <c:pt idx="104" c:formatCode="yyyy/m/d;@">
                  <c:v>45092</c:v>
                </c:pt>
                <c:pt idx="105" c:formatCode="yyyy/m/d;@">
                  <c:v>45098</c:v>
                </c:pt>
                <c:pt idx="106" c:formatCode="yyyy/m/d;@">
                  <c:v>45106</c:v>
                </c:pt>
                <c:pt idx="107" c:formatCode="yyyy/m/d;@">
                  <c:v>45113</c:v>
                </c:pt>
                <c:pt idx="108" c:formatCode="yyyy/m/d;@">
                  <c:v>45120</c:v>
                </c:pt>
                <c:pt idx="109" c:formatCode="yyyy/m/d;@">
                  <c:v>45127</c:v>
                </c:pt>
                <c:pt idx="110" c:formatCode="yyyy/m/d;@">
                  <c:v>45134</c:v>
                </c:pt>
                <c:pt idx="111" c:formatCode="yyyy/m/d;@">
                  <c:v>45141</c:v>
                </c:pt>
                <c:pt idx="112" c:formatCode="yyyy/m/d;@">
                  <c:v>45148</c:v>
                </c:pt>
                <c:pt idx="113" c:formatCode="yyyy/m/d;@">
                  <c:v>45155</c:v>
                </c:pt>
                <c:pt idx="114" c:formatCode="yyyy/m/d;@">
                  <c:v>45162</c:v>
                </c:pt>
                <c:pt idx="115" c:formatCode="yyyy/m/d;@">
                  <c:v>45169</c:v>
                </c:pt>
                <c:pt idx="116" c:formatCode="yyyy/m/d;@">
                  <c:v>45176</c:v>
                </c:pt>
                <c:pt idx="117" c:formatCode="yyyy/m/d;@">
                  <c:v>45183</c:v>
                </c:pt>
                <c:pt idx="118" c:formatCode="yyyy/m/d;@">
                  <c:v>45190</c:v>
                </c:pt>
                <c:pt idx="119" c:formatCode="yyyy/m/d;@">
                  <c:v>45197</c:v>
                </c:pt>
                <c:pt idx="120" c:formatCode="yyyy/m/d;@">
                  <c:v>45205</c:v>
                </c:pt>
                <c:pt idx="121" c:formatCode="yyyy/m/d;@">
                  <c:v>45211</c:v>
                </c:pt>
                <c:pt idx="122" c:formatCode="yyyy/m/d;@">
                  <c:v>45218</c:v>
                </c:pt>
                <c:pt idx="123" c:formatCode="yyyy/m/d;@">
                  <c:v>45225</c:v>
                </c:pt>
                <c:pt idx="124" c:formatCode="yyyy/m/d;@">
                  <c:v>45232</c:v>
                </c:pt>
                <c:pt idx="125" c:formatCode="yyyy/m/d;@">
                  <c:v>45239</c:v>
                </c:pt>
                <c:pt idx="126" c:formatCode="yyyy/m/d;@">
                  <c:v>45246</c:v>
                </c:pt>
                <c:pt idx="127" c:formatCode="yyyy/m/d;@">
                  <c:v>45253</c:v>
                </c:pt>
                <c:pt idx="128" c:formatCode="yyyy/m/d;@">
                  <c:v>45260</c:v>
                </c:pt>
                <c:pt idx="129" c:formatCode="yyyy/m/d;@">
                  <c:v>45267</c:v>
                </c:pt>
                <c:pt idx="130" c:formatCode="yyyy/m/d;@">
                  <c:v>45274</c:v>
                </c:pt>
                <c:pt idx="131" c:formatCode="yyyy/m/d;@">
                  <c:v>45281</c:v>
                </c:pt>
                <c:pt idx="132" c:formatCode="yyyy/m/d;@">
                  <c:v>45288</c:v>
                </c:pt>
                <c:pt idx="133" c:formatCode="yyyy/m/d;@">
                  <c:v>45295</c:v>
                </c:pt>
                <c:pt idx="134" c:formatCode="yyyy/m/d;@">
                  <c:v>45302</c:v>
                </c:pt>
                <c:pt idx="135" c:formatCode="yyyy/m/d;@">
                  <c:v>45309</c:v>
                </c:pt>
                <c:pt idx="136" c:formatCode="yyyy/m/d;@">
                  <c:v>45316</c:v>
                </c:pt>
                <c:pt idx="137" c:formatCode="yyyy/m/d;@">
                  <c:v>45323</c:v>
                </c:pt>
                <c:pt idx="138" c:formatCode="yyyy/m/d;@">
                  <c:v>45344</c:v>
                </c:pt>
                <c:pt idx="139" c:formatCode="yyyy/m/d;@">
                  <c:v>45351</c:v>
                </c:pt>
                <c:pt idx="140" c:formatCode="yyyy/m/d;@">
                  <c:v>45358</c:v>
                </c:pt>
                <c:pt idx="141" c:formatCode="yyyy/m/d;@">
                  <c:v>45365</c:v>
                </c:pt>
                <c:pt idx="142" c:formatCode="yyyy/m/d;@">
                  <c:v>45372</c:v>
                </c:pt>
                <c:pt idx="143" c:formatCode="yyyy/m/d;@">
                  <c:v>45379</c:v>
                </c:pt>
                <c:pt idx="144" c:formatCode="yyyy/m/d;@">
                  <c:v>45385</c:v>
                </c:pt>
                <c:pt idx="145" c:formatCode="yyyy/m/d;@">
                  <c:v>45393</c:v>
                </c:pt>
                <c:pt idx="146" c:formatCode="yyyy/m/d;@">
                  <c:v>45400</c:v>
                </c:pt>
                <c:pt idx="147" c:formatCode="yyyy/m/d;@">
                  <c:v>45407</c:v>
                </c:pt>
                <c:pt idx="148" c:formatCode="yyyy/m/d;@">
                  <c:v>45414</c:v>
                </c:pt>
                <c:pt idx="149" c:formatCode="yyyy/m/d;@">
                  <c:v>45421</c:v>
                </c:pt>
                <c:pt idx="150" c:formatCode="yyyy/m/d;@">
                  <c:v>45428</c:v>
                </c:pt>
                <c:pt idx="151" c:formatCode="yyyy/m/d;@">
                  <c:v>45435</c:v>
                </c:pt>
                <c:pt idx="152" c:formatCode="yyyy/m/d;@">
                  <c:v>45442</c:v>
                </c:pt>
                <c:pt idx="153" c:formatCode="yyyy/m/d;@">
                  <c:v>45449</c:v>
                </c:pt>
                <c:pt idx="154" c:formatCode="yyyy/m/d;@">
                  <c:v>45456</c:v>
                </c:pt>
                <c:pt idx="155" c:formatCode="yyyy/m/d;@">
                  <c:v>45463</c:v>
                </c:pt>
                <c:pt idx="156" c:formatCode="yyyy/m/d;@">
                  <c:v>45470</c:v>
                </c:pt>
                <c:pt idx="157" c:formatCode="yyyy/m/d;@">
                  <c:v>45477</c:v>
                </c:pt>
                <c:pt idx="158" c:formatCode="yyyy/m/d;@">
                  <c:v>45484</c:v>
                </c:pt>
                <c:pt idx="159" c:formatCode="yyyy/m/d;@">
                  <c:v>45491</c:v>
                </c:pt>
                <c:pt idx="160" c:formatCode="yyyy/m/d;@">
                  <c:v>45498</c:v>
                </c:pt>
                <c:pt idx="161" c:formatCode="yyyy/m/d;@">
                  <c:v>45505</c:v>
                </c:pt>
                <c:pt idx="162" c:formatCode="yyyy/m/d;@">
                  <c:v>45512</c:v>
                </c:pt>
                <c:pt idx="163" c:formatCode="yyyy/m/d;@">
                  <c:v>45519</c:v>
                </c:pt>
                <c:pt idx="164" c:formatCode="yyyy/m/d;@">
                  <c:v>45526</c:v>
                </c:pt>
                <c:pt idx="165" c:formatCode="yyyy/m/d;@">
                  <c:v>45533</c:v>
                </c:pt>
                <c:pt idx="166" c:formatCode="yyyy/m/d;@">
                  <c:v>45540</c:v>
                </c:pt>
                <c:pt idx="167" c:formatCode="yyyy/m/d;@">
                  <c:v>45547</c:v>
                </c:pt>
                <c:pt idx="168" c:formatCode="yyyy/m/d;@">
                  <c:v>45554</c:v>
                </c:pt>
                <c:pt idx="169" c:formatCode="yyyy/m/d;@">
                  <c:v>45561</c:v>
                </c:pt>
                <c:pt idx="170" c:formatCode="yyyy/m/d;@">
                  <c:v>45575</c:v>
                </c:pt>
                <c:pt idx="171" c:formatCode="yyyy/m/d;@">
                  <c:v>45582</c:v>
                </c:pt>
                <c:pt idx="172" c:formatCode="yyyy/m/d;@">
                  <c:v>45589</c:v>
                </c:pt>
                <c:pt idx="173" c:formatCode="yyyy/m/d;@">
                  <c:v>45596</c:v>
                </c:pt>
                <c:pt idx="174" c:formatCode="yyyy/m/d;@">
                  <c:v>45603</c:v>
                </c:pt>
                <c:pt idx="175" c:formatCode="yyyy/m/d;@">
                  <c:v>45610</c:v>
                </c:pt>
                <c:pt idx="176" c:formatCode="yyyy/m/d;@">
                  <c:v>45617</c:v>
                </c:pt>
                <c:pt idx="177" c:formatCode="yyyy/m/d;@">
                  <c:v>45624</c:v>
                </c:pt>
                <c:pt idx="178" c:formatCode="yyyy/m/d;@">
                  <c:v>45631</c:v>
                </c:pt>
                <c:pt idx="179" c:formatCode="yyyy/m/d;@">
                  <c:v>45638</c:v>
                </c:pt>
                <c:pt idx="180" c:formatCode="yyyy/m/d;@">
                  <c:v>45645</c:v>
                </c:pt>
                <c:pt idx="181" c:formatCode="yyyy/m/d;@">
                  <c:v>45652</c:v>
                </c:pt>
                <c:pt idx="182" c:formatCode="yyyy/m/d;@">
                  <c:v>45659</c:v>
                </c:pt>
                <c:pt idx="183" c:formatCode="yyyy/m/d;@">
                  <c:v>45666</c:v>
                </c:pt>
                <c:pt idx="184" c:formatCode="yyyy/m/d;@">
                  <c:v>45673</c:v>
                </c:pt>
                <c:pt idx="185" c:formatCode="yyyy/m/d;@">
                  <c:v>45680</c:v>
                </c:pt>
                <c:pt idx="186" c:formatCode="yyyy/m/d;@">
                  <c:v>45694</c:v>
                </c:pt>
                <c:pt idx="187" c:formatCode="yyyy/m/d;@">
                  <c:v>45701</c:v>
                </c:pt>
                <c:pt idx="188" c:formatCode="yyyy/m/d;@">
                  <c:v>45708</c:v>
                </c:pt>
                <c:pt idx="189" c:formatCode="yyyy/m/d;@">
                  <c:v>45715</c:v>
                </c:pt>
                <c:pt idx="190" c:formatCode="yyyy/m/d;@">
                  <c:v>45722</c:v>
                </c:pt>
                <c:pt idx="191" c:formatCode="yyyy/m/d;@">
                  <c:v>45729</c:v>
                </c:pt>
                <c:pt idx="192" c:formatCode="yyyy/m/d;@">
                  <c:v>45736</c:v>
                </c:pt>
                <c:pt idx="193" c:formatCode="yyyy/m/d;@">
                  <c:v>45743</c:v>
                </c:pt>
                <c:pt idx="194" c:formatCode="yyyy/m/d;@">
                  <c:v>45750</c:v>
                </c:pt>
                <c:pt idx="195" c:formatCode="yyyy/m/d;@">
                  <c:v>45757</c:v>
                </c:pt>
                <c:pt idx="196" c:formatCode="yyyy/m/d;@">
                  <c:v>45764</c:v>
                </c:pt>
                <c:pt idx="197" c:formatCode="yyyy/m/d;@">
                  <c:v>45771</c:v>
                </c:pt>
                <c:pt idx="198" c:formatCode="yyyy/m/d;@">
                  <c:v>45777</c:v>
                </c:pt>
                <c:pt idx="199" c:formatCode="yyyy/m/d;@">
                  <c:v>45785</c:v>
                </c:pt>
                <c:pt idx="200" c:formatCode="yyyy/m/d;@">
                  <c:v>45792</c:v>
                </c:pt>
                <c:pt idx="201" c:formatCode="yyyy/m/d;@">
                  <c:v>45799</c:v>
                </c:pt>
                <c:pt idx="202" c:formatCode="yyyy/m/d;@">
                  <c:v>45806</c:v>
                </c:pt>
                <c:pt idx="203" c:formatCode="yyyy/m/d;@">
                  <c:v>45813</c:v>
                </c:pt>
                <c:pt idx="204" c:formatCode="yyyy/m/d;@">
                  <c:v>45820</c:v>
                </c:pt>
                <c:pt idx="205" c:formatCode="yyyy/m/d;@">
                  <c:v>45827</c:v>
                </c:pt>
                <c:pt idx="206" c:formatCode="yyyy/m/d;@">
                  <c:v>45834</c:v>
                </c:pt>
                <c:pt idx="207" c:formatCode="yyyy/m/d;@">
                  <c:v>45841</c:v>
                </c:pt>
                <c:pt idx="208" c:formatCode="yyyy/m/d;@">
                  <c:v>45848</c:v>
                </c:pt>
                <c:pt idx="209" c:formatCode="yyyy/m/d;@">
                  <c:v>45855</c:v>
                </c:pt>
                <c:pt idx="210" c:formatCode="yyyy/m/d;@">
                  <c:v>45862</c:v>
                </c:pt>
                <c:pt idx="211" c:formatCode="yyyy/m/d;@">
                  <c:v>45869</c:v>
                </c:pt>
                <c:pt idx="212" c:formatCode="yyyy/m/d;@">
                  <c:v>45876</c:v>
                </c:pt>
                <c:pt idx="213" c:formatCode="yyyy/m/d;@">
                  <c:v>45883</c:v>
                </c:pt>
                <c:pt idx="214" c:formatCode="yyyy/m/d;@">
                  <c:v>45890</c:v>
                </c:pt>
                <c:pt idx="215" c:formatCode="yyyy/m/d;@">
                  <c:v>45897</c:v>
                </c:pt>
                <c:pt idx="216" c:formatCode="yyyy/m/d;@">
                  <c:v>45904</c:v>
                </c:pt>
                <c:pt idx="217" c:formatCode="yyyy/m/d;@">
                  <c:v>45911</c:v>
                </c:pt>
                <c:pt idx="218" c:formatCode="yyyy/m/d;@">
                  <c:v>45918</c:v>
                </c:pt>
                <c:pt idx="219" c:formatCode="yyyy/m/d;@">
                  <c:v>45925</c:v>
                </c:pt>
                <c:pt idx="220" c:formatCode="yyyy/m/d;@">
                  <c:v>45939</c:v>
                </c:pt>
                <c:pt idx="221" c:formatCode="yyyy/m/d;@">
                  <c:v>45946</c:v>
                </c:pt>
                <c:pt idx="222" c:formatCode="yyyy/m/d;@">
                  <c:v>45953</c:v>
                </c:pt>
                <c:pt idx="223" c:formatCode="yyyy/m/d;@">
                  <c:v>45960</c:v>
                </c:pt>
                <c:pt idx="224" c:formatCode="yyyy/m/d;@">
                  <c:v>45967</c:v>
                </c:pt>
                <c:pt idx="225" c:formatCode="yyyy/m/d;@">
                  <c:v>45974</c:v>
                </c:pt>
                <c:pt idx="226" c:formatCode="yyyy/m/d;@">
                  <c:v>45981</c:v>
                </c:pt>
                <c:pt idx="227" c:formatCode="yyyy/m/d;@">
                  <c:v>45988</c:v>
                </c:pt>
                <c:pt idx="228" c:formatCode="yyyy/m/d;@">
                  <c:v>45995</c:v>
                </c:pt>
                <c:pt idx="229" c:formatCode="yyyy/m/d;@">
                  <c:v>46002</c:v>
                </c:pt>
                <c:pt idx="230" c:formatCode="yyyy/m/d;@">
                  <c:v>46009</c:v>
                </c:pt>
                <c:pt idx="231" c:formatCode="yyyy/m/d;@">
                  <c:v>46016</c:v>
                </c:pt>
                <c:pt idx="232" c:formatCode="yyyy/m/d;@">
                  <c:v>46023</c:v>
                </c:pt>
                <c:pt idx="233" c:formatCode="yyyy/m/d;@">
                  <c:v>46030</c:v>
                </c:pt>
                <c:pt idx="234" c:formatCode="yyyy/m/d;@">
                  <c:v>46037</c:v>
                </c:pt>
                <c:pt idx="235" c:formatCode="yyyy/m/d;@">
                  <c:v>46044</c:v>
                </c:pt>
                <c:pt idx="236" c:formatCode="yyyy/m/d;@">
                  <c:v>46051</c:v>
                </c:pt>
                <c:pt idx="237" c:formatCode="yyyy/m/d;@">
                  <c:v>46058</c:v>
                </c:pt>
                <c:pt idx="238" c:formatCode="yyyy/m/d;@">
                  <c:v>46065</c:v>
                </c:pt>
                <c:pt idx="239" c:formatCode="yyyy/m/d;@">
                  <c:v>46079</c:v>
                </c:pt>
                <c:pt idx="240" c:formatCode="yyyy/m/d;@">
                  <c:v>46086</c:v>
                </c:pt>
                <c:pt idx="241" c:formatCode="yyyy/m/d;@">
                  <c:v>46093</c:v>
                </c:pt>
                <c:pt idx="242" c:formatCode="yyyy/m/d;@">
                  <c:v>46100</c:v>
                </c:pt>
                <c:pt idx="243" c:formatCode="yyyy/m/d;@">
                  <c:v>46107</c:v>
                </c:pt>
                <c:pt idx="244" c:formatCode="yyyy/m/d;@">
                  <c:v>46114</c:v>
                </c:pt>
                <c:pt idx="245" c:formatCode="yyyy/m/d;@">
                  <c:v>46121</c:v>
                </c:pt>
                <c:pt idx="246" c:formatCode="yyyy/m/d;@">
                  <c:v>46128</c:v>
                </c:pt>
                <c:pt idx="247" c:formatCode="yyyy/m/d;@">
                  <c:v>46135</c:v>
                </c:pt>
                <c:pt idx="248" c:formatCode="yyyy/m/d;@">
                  <c:v>46142</c:v>
                </c:pt>
                <c:pt idx="249" c:formatCode="yyyy/m/d;@">
                  <c:v>46149</c:v>
                </c:pt>
                <c:pt idx="250" c:formatCode="yyyy/m/d;@">
                  <c:v>46156</c:v>
                </c:pt>
                <c:pt idx="251" c:formatCode="yyyy/m/d;@">
                  <c:v>46163</c:v>
                </c:pt>
                <c:pt idx="252" c:formatCode="yyyy/m/d;@">
                  <c:v>46170</c:v>
                </c:pt>
                <c:pt idx="253" c:formatCode="yyyy/m/d;@">
                  <c:v>46177</c:v>
                </c:pt>
                <c:pt idx="254" c:formatCode="yyyy/m/d;@">
                  <c:v>46184</c:v>
                </c:pt>
                <c:pt idx="255" c:formatCode="yyyy/m/d;@">
                  <c:v>46191</c:v>
                </c:pt>
                <c:pt idx="256" c:formatCode="yyyy/m/d;@">
                  <c:v>46198</c:v>
                </c:pt>
                <c:pt idx="257" c:formatCode="yyyy/m/d;@">
                  <c:v>46205</c:v>
                </c:pt>
                <c:pt idx="258" c:formatCode="yyyy/m/d;@">
                  <c:v>46212</c:v>
                </c:pt>
                <c:pt idx="259" c:formatCode="yyyy/m/d;@">
                  <c:v>46219</c:v>
                </c:pt>
                <c:pt idx="260" c:formatCode="yyyy/m/d;@">
                  <c:v>46226</c:v>
                </c:pt>
                <c:pt idx="261" c:formatCode="yyyy/m/d;@">
                  <c:v>46233</c:v>
                </c:pt>
                <c:pt idx="262" c:formatCode="yyyy/m/d;@">
                  <c:v>46240</c:v>
                </c:pt>
                <c:pt idx="263" c:formatCode="yyyy/m/d;@">
                  <c:v>46247</c:v>
                </c:pt>
                <c:pt idx="264" c:formatCode="yyyy/m/d;@">
                  <c:v>46254</c:v>
                </c:pt>
                <c:pt idx="265" c:formatCode="yyyy/m/d;@">
                  <c:v>46261</c:v>
                </c:pt>
                <c:pt idx="266" c:formatCode="yyyy/m/d;@">
                  <c:v>46268</c:v>
                </c:pt>
                <c:pt idx="267" c:formatCode="yyyy/m/d;@">
                  <c:v>46275</c:v>
                </c:pt>
                <c:pt idx="268" c:formatCode="yyyy/m/d;@">
                  <c:v>46282</c:v>
                </c:pt>
                <c:pt idx="269" c:formatCode="yyyy/m/d;@">
                  <c:v>46289</c:v>
                </c:pt>
              </c:numCache>
            </c:numRef>
          </c:cat>
          <c:val>
            <c:numRef>
              <c:f>标肥价差!$C$4:$C$1179</c:f>
              <c:numCache>
                <c:formatCode>General</c:formatCode>
                <c:ptCount val="1176"/>
                <c:pt idx="0">
                  <c:v>-0.9</c:v>
                </c:pt>
                <c:pt idx="1">
                  <c:v>-0.7</c:v>
                </c:pt>
                <c:pt idx="2">
                  <c:v>-0.9</c:v>
                </c:pt>
                <c:pt idx="3">
                  <c:v>-0.7</c:v>
                </c:pt>
                <c:pt idx="4">
                  <c:v>-0.3</c:v>
                </c:pt>
                <c:pt idx="5">
                  <c:v>-0.3</c:v>
                </c:pt>
                <c:pt idx="6">
                  <c:v>-0.3</c:v>
                </c:pt>
                <c:pt idx="7">
                  <c:v>-0.3</c:v>
                </c:pt>
                <c:pt idx="8">
                  <c:v>-0.3</c:v>
                </c:pt>
                <c:pt idx="9">
                  <c:v>-0.3</c:v>
                </c:pt>
                <c:pt idx="10">
                  <c:v>0.1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 c:formatCode="0.0_ ">
                  <c:v>0.4</c:v>
                </c:pt>
                <c:pt idx="15" c:formatCode="0.0_ ">
                  <c:v>0.3</c:v>
                </c:pt>
                <c:pt idx="16" c:formatCode="0.0_ ">
                  <c:v>0.399999999999999</c:v>
                </c:pt>
                <c:pt idx="17" c:formatCode="0.0_ ">
                  <c:v>0.3</c:v>
                </c:pt>
                <c:pt idx="18" c:formatCode="0.0_ ">
                  <c:v>0.4</c:v>
                </c:pt>
                <c:pt idx="19" c:formatCode="0.0_ ">
                  <c:v>0.4</c:v>
                </c:pt>
                <c:pt idx="20" c:formatCode="0.0_ ">
                  <c:v>0.6</c:v>
                </c:pt>
                <c:pt idx="21" c:formatCode="0.0_ ">
                  <c:v>0.6</c:v>
                </c:pt>
                <c:pt idx="22" c:formatCode="0.0_ ">
                  <c:v>0.5</c:v>
                </c:pt>
                <c:pt idx="23" c:formatCode="0.0_ ">
                  <c:v>0.7</c:v>
                </c:pt>
                <c:pt idx="24" c:formatCode="0.0_ ">
                  <c:v>1</c:v>
                </c:pt>
                <c:pt idx="25" c:formatCode="0.0_ ">
                  <c:v>0.6</c:v>
                </c:pt>
                <c:pt idx="26" c:formatCode="0.0_ ">
                  <c:v>0.6</c:v>
                </c:pt>
                <c:pt idx="27" c:formatCode="0.0_ ">
                  <c:v>0.7</c:v>
                </c:pt>
                <c:pt idx="28" c:formatCode="0.0_ ">
                  <c:v>0.7</c:v>
                </c:pt>
                <c:pt idx="29" c:formatCode="0.0_ ">
                  <c:v>0.9</c:v>
                </c:pt>
                <c:pt idx="30" c:formatCode="0.0_ ">
                  <c:v>0.6</c:v>
                </c:pt>
                <c:pt idx="31" c:formatCode="0.0_ ">
                  <c:v>0.5</c:v>
                </c:pt>
                <c:pt idx="32" c:formatCode="0.0_ ">
                  <c:v>0.5</c:v>
                </c:pt>
                <c:pt idx="33" c:formatCode="0.0_ ">
                  <c:v>0.5</c:v>
                </c:pt>
                <c:pt idx="34" c:formatCode="0.0_ ">
                  <c:v>0.5</c:v>
                </c:pt>
                <c:pt idx="35" c:formatCode="0.0_ ">
                  <c:v>0.5</c:v>
                </c:pt>
                <c:pt idx="36" c:formatCode="0.0_ ">
                  <c:v>0.7</c:v>
                </c:pt>
                <c:pt idx="37" c:formatCode="0.0_ ">
                  <c:v>0.6</c:v>
                </c:pt>
                <c:pt idx="38" c:formatCode="0.0_ ">
                  <c:v>0.6</c:v>
                </c:pt>
                <c:pt idx="39" c:formatCode="0.0_ ">
                  <c:v>0.6</c:v>
                </c:pt>
                <c:pt idx="40" c:formatCode="0.0_ ">
                  <c:v>0.4</c:v>
                </c:pt>
                <c:pt idx="41" c:formatCode="0.0_ ">
                  <c:v>0.4</c:v>
                </c:pt>
                <c:pt idx="42" c:formatCode="0.0_ ">
                  <c:v>0.4</c:v>
                </c:pt>
                <c:pt idx="43" c:formatCode="0.0_ ">
                  <c:v>0.4</c:v>
                </c:pt>
                <c:pt idx="44" c:formatCode="0.0_ ">
                  <c:v>0.4</c:v>
                </c:pt>
                <c:pt idx="45" c:formatCode="0.0_ ">
                  <c:v>0.2</c:v>
                </c:pt>
                <c:pt idx="46" c:formatCode="0.0_ ">
                  <c:v>0.4</c:v>
                </c:pt>
                <c:pt idx="47" c:formatCode="0.0_ ">
                  <c:v>0.3</c:v>
                </c:pt>
                <c:pt idx="48" c:formatCode="0.0_ ">
                  <c:v>0.2</c:v>
                </c:pt>
                <c:pt idx="49" c:formatCode="0.0_ ">
                  <c:v>0.2</c:v>
                </c:pt>
                <c:pt idx="50" c:formatCode="0.0_ ">
                  <c:v>0.1</c:v>
                </c:pt>
                <c:pt idx="51" c:formatCode="0.0_ ">
                  <c:v>0.1</c:v>
                </c:pt>
                <c:pt idx="52" c:formatCode="0.0_ ">
                  <c:v>0.1</c:v>
                </c:pt>
                <c:pt idx="53" c:formatCode="0.0_ ">
                  <c:v>0.1</c:v>
                </c:pt>
                <c:pt idx="54" c:formatCode="0.00_ ">
                  <c:v>0.15</c:v>
                </c:pt>
                <c:pt idx="55" c:formatCode="0.0_ ">
                  <c:v>0.2</c:v>
                </c:pt>
                <c:pt idx="56" c:formatCode="0.0_ ">
                  <c:v>0.3</c:v>
                </c:pt>
                <c:pt idx="57" c:formatCode="0.0_ ">
                  <c:v>0.2</c:v>
                </c:pt>
                <c:pt idx="58" c:formatCode="0.0_ ">
                  <c:v>0.1</c:v>
                </c:pt>
                <c:pt idx="59" c:formatCode="0.0_ ">
                  <c:v>0.1</c:v>
                </c:pt>
                <c:pt idx="60" c:formatCode="0.0_ ">
                  <c:v>0.1</c:v>
                </c:pt>
                <c:pt idx="61" c:formatCode="0.0_ ">
                  <c:v>0.1</c:v>
                </c:pt>
                <c:pt idx="62" c:formatCode="0.0_ ">
                  <c:v>0.3</c:v>
                </c:pt>
                <c:pt idx="63" c:formatCode="0.0_ ">
                  <c:v>0.3</c:v>
                </c:pt>
                <c:pt idx="64" c:formatCode="0.0_ ">
                  <c:v>0.4</c:v>
                </c:pt>
                <c:pt idx="65" c:formatCode="0.0_ ">
                  <c:v>0.4</c:v>
                </c:pt>
                <c:pt idx="66" c:formatCode="0.0_ ">
                  <c:v>0.4</c:v>
                </c:pt>
                <c:pt idx="67" c:formatCode="0.0_ ">
                  <c:v>0.4</c:v>
                </c:pt>
                <c:pt idx="68" c:formatCode="0.0_ ">
                  <c:v>0.5</c:v>
                </c:pt>
                <c:pt idx="69" c:formatCode="0.0_ ">
                  <c:v>0.5</c:v>
                </c:pt>
                <c:pt idx="70" c:formatCode="0.0_ ">
                  <c:v>0.7</c:v>
                </c:pt>
                <c:pt idx="71" c:formatCode="0.0_ ">
                  <c:v>0.8</c:v>
                </c:pt>
                <c:pt idx="72" c:formatCode="0.0_ ">
                  <c:v>0.6</c:v>
                </c:pt>
                <c:pt idx="73" c:formatCode="0.0_ ">
                  <c:v>0.8</c:v>
                </c:pt>
                <c:pt idx="74" c:formatCode="0.0_ ">
                  <c:v>0.8</c:v>
                </c:pt>
                <c:pt idx="75" c:formatCode="0.0_ ">
                  <c:v>0.6</c:v>
                </c:pt>
                <c:pt idx="76" c:formatCode="0.0_ ">
                  <c:v>0.5</c:v>
                </c:pt>
                <c:pt idx="77" c:formatCode="0.0_ ">
                  <c:v>0.5</c:v>
                </c:pt>
                <c:pt idx="78" c:formatCode="0.0_ ">
                  <c:v>0.6</c:v>
                </c:pt>
                <c:pt idx="79" c:formatCode="0.0_ ">
                  <c:v>0.5</c:v>
                </c:pt>
                <c:pt idx="80" c:formatCode="0.0_ ">
                  <c:v>0.4</c:v>
                </c:pt>
                <c:pt idx="81" c:formatCode="0.0_ ">
                  <c:v>0.4</c:v>
                </c:pt>
                <c:pt idx="82" c:formatCode="0.0_ ">
                  <c:v>0.4</c:v>
                </c:pt>
                <c:pt idx="83" c:formatCode="0.0_ ">
                  <c:v>0.3</c:v>
                </c:pt>
                <c:pt idx="84" c:formatCode="0.0_ ">
                  <c:v>0.2</c:v>
                </c:pt>
                <c:pt idx="85" c:formatCode="0.0_ ">
                  <c:v>0.2</c:v>
                </c:pt>
                <c:pt idx="86" c:formatCode="0.0_ ">
                  <c:v>0.2</c:v>
                </c:pt>
                <c:pt idx="87" c:formatCode="0.0_ ">
                  <c:v>0.2</c:v>
                </c:pt>
                <c:pt idx="88" c:formatCode="0.0_ ">
                  <c:v>0.2</c:v>
                </c:pt>
                <c:pt idx="89" c:formatCode="0.0_ ">
                  <c:v>0.2</c:v>
                </c:pt>
                <c:pt idx="90" c:formatCode="0.0_ ">
                  <c:v>0.2</c:v>
                </c:pt>
                <c:pt idx="91" c:formatCode="0.0_ ">
                  <c:v>0.2</c:v>
                </c:pt>
                <c:pt idx="92" c:formatCode="0.0_ ">
                  <c:v>0.2</c:v>
                </c:pt>
                <c:pt idx="93" c:formatCode="0.0_ ">
                  <c:v>0.1</c:v>
                </c:pt>
                <c:pt idx="94" c:formatCode="0.0_ ">
                  <c:v>0.1</c:v>
                </c:pt>
                <c:pt idx="95" c:formatCode="0.0_ ">
                  <c:v>0.1</c:v>
                </c:pt>
                <c:pt idx="96" c:formatCode="0.0_ ">
                  <c:v>0.1</c:v>
                </c:pt>
                <c:pt idx="97" c:formatCode="0.0_ ">
                  <c:v>0</c:v>
                </c:pt>
                <c:pt idx="98" c:formatCode="0.0_ ">
                  <c:v>0</c:v>
                </c:pt>
                <c:pt idx="99" c:formatCode="0.0_ ">
                  <c:v>0.1</c:v>
                </c:pt>
                <c:pt idx="100" c:formatCode="0.00_ ">
                  <c:v>-0.05</c:v>
                </c:pt>
                <c:pt idx="101" c:formatCode="0.0_ ">
                  <c:v>0.1</c:v>
                </c:pt>
                <c:pt idx="102" c:formatCode="0.00_ ">
                  <c:v>0</c:v>
                </c:pt>
                <c:pt idx="103" c:formatCode="0.00_ ">
                  <c:v>0</c:v>
                </c:pt>
                <c:pt idx="104" c:formatCode="0.00_ ">
                  <c:v>0</c:v>
                </c:pt>
                <c:pt idx="105" c:formatCode="0.00_ ">
                  <c:v>0</c:v>
                </c:pt>
                <c:pt idx="106" c:formatCode="0.00_ ">
                  <c:v>0</c:v>
                </c:pt>
                <c:pt idx="107" c:formatCode="0.00_ ">
                  <c:v>0.3</c:v>
                </c:pt>
                <c:pt idx="108" c:formatCode="0.00_ ">
                  <c:v>0.3</c:v>
                </c:pt>
                <c:pt idx="109" c:formatCode="0.00_ ">
                  <c:v>0.3</c:v>
                </c:pt>
                <c:pt idx="110" c:formatCode="0.00_ ">
                  <c:v>0.3</c:v>
                </c:pt>
                <c:pt idx="111" c:formatCode="0.00_ ">
                  <c:v>0.4</c:v>
                </c:pt>
                <c:pt idx="112" c:formatCode="0.00_ ">
                  <c:v>0.4</c:v>
                </c:pt>
                <c:pt idx="113" c:formatCode="0.00_ ">
                  <c:v>0.4</c:v>
                </c:pt>
                <c:pt idx="114" c:formatCode="0.00_ ">
                  <c:v>0.4</c:v>
                </c:pt>
                <c:pt idx="115" c:formatCode="0.00_ ">
                  <c:v>0.4</c:v>
                </c:pt>
                <c:pt idx="116" c:formatCode="0.00_ ">
                  <c:v>0.35</c:v>
                </c:pt>
                <c:pt idx="117" c:formatCode="0.00_ ">
                  <c:v>0.45</c:v>
                </c:pt>
                <c:pt idx="118" c:formatCode="0.00_ ">
                  <c:v>0.4</c:v>
                </c:pt>
                <c:pt idx="119" c:formatCode="0.00_ ">
                  <c:v>0.5</c:v>
                </c:pt>
                <c:pt idx="120" c:formatCode="0.00_ ">
                  <c:v>0.5</c:v>
                </c:pt>
                <c:pt idx="121" c:formatCode="0.00_ ">
                  <c:v>0.5</c:v>
                </c:pt>
                <c:pt idx="122" c:formatCode="0.00_ ">
                  <c:v>0.5</c:v>
                </c:pt>
                <c:pt idx="123" c:formatCode="0.00_ ">
                  <c:v>0.5</c:v>
                </c:pt>
                <c:pt idx="124" c:formatCode="0.00_ ">
                  <c:v>0.6</c:v>
                </c:pt>
                <c:pt idx="125" c:formatCode="0.00_ ">
                  <c:v>0.6</c:v>
                </c:pt>
                <c:pt idx="126" c:formatCode="0.00_ ">
                  <c:v>0.8</c:v>
                </c:pt>
                <c:pt idx="127" c:formatCode="0.00_ ">
                  <c:v>0.7</c:v>
                </c:pt>
                <c:pt idx="128" c:formatCode="0.00_ ">
                  <c:v>0.7</c:v>
                </c:pt>
                <c:pt idx="129" c:formatCode="0.00_ ">
                  <c:v>0.7</c:v>
                </c:pt>
                <c:pt idx="130" c:formatCode="0.00_ ">
                  <c:v>0.4</c:v>
                </c:pt>
                <c:pt idx="131" c:formatCode="0.00_ ">
                  <c:v>0.5</c:v>
                </c:pt>
                <c:pt idx="132" c:formatCode="0.00_ ">
                  <c:v>0.4</c:v>
                </c:pt>
                <c:pt idx="133" c:formatCode="0.00_ ">
                  <c:v>0.3</c:v>
                </c:pt>
                <c:pt idx="134" c:formatCode="0.00_ ">
                  <c:v>0.5</c:v>
                </c:pt>
                <c:pt idx="135" c:formatCode="0.00_ ">
                  <c:v>0.4</c:v>
                </c:pt>
                <c:pt idx="136" c:formatCode="0.00_ ">
                  <c:v>0.5</c:v>
                </c:pt>
                <c:pt idx="137" c:formatCode="0.00_ ">
                  <c:v>0.4</c:v>
                </c:pt>
                <c:pt idx="138" c:formatCode="0.00_ ">
                  <c:v>0.4</c:v>
                </c:pt>
                <c:pt idx="139" c:formatCode="0.00_ ">
                  <c:v>0.5</c:v>
                </c:pt>
                <c:pt idx="140" c:formatCode="0.00_ ">
                  <c:v>0.5</c:v>
                </c:pt>
                <c:pt idx="141" c:formatCode="0.00_ ">
                  <c:v>0.4</c:v>
                </c:pt>
                <c:pt idx="142" c:formatCode="0.00_ ">
                  <c:v>0.3</c:v>
                </c:pt>
                <c:pt idx="143" c:formatCode="0.00_ ">
                  <c:v>0.4</c:v>
                </c:pt>
                <c:pt idx="144" c:formatCode="0.00_ ">
                  <c:v>0.5</c:v>
                </c:pt>
                <c:pt idx="145" c:formatCode="0.00_ ">
                  <c:v>0.4</c:v>
                </c:pt>
                <c:pt idx="146" c:formatCode="0.00_ ">
                  <c:v>0.4</c:v>
                </c:pt>
                <c:pt idx="147" c:formatCode="0.00_ ">
                  <c:v>0.4</c:v>
                </c:pt>
                <c:pt idx="148" c:formatCode="0.00_ ">
                  <c:v>0.3</c:v>
                </c:pt>
                <c:pt idx="149" c:formatCode="0.00_ ">
                  <c:v>0.3</c:v>
                </c:pt>
                <c:pt idx="150" c:formatCode="0.00_ ">
                  <c:v>0.2</c:v>
                </c:pt>
                <c:pt idx="151" c:formatCode="0.00_ ">
                  <c:v>0.3</c:v>
                </c:pt>
                <c:pt idx="152" c:formatCode="0.00_ ">
                  <c:v>0.2</c:v>
                </c:pt>
                <c:pt idx="153" c:formatCode="0.00_ ">
                  <c:v>0.2</c:v>
                </c:pt>
                <c:pt idx="154" c:formatCode="0.00_ ">
                  <c:v>0.2</c:v>
                </c:pt>
                <c:pt idx="155" c:formatCode="0.00_ ">
                  <c:v>0.3</c:v>
                </c:pt>
                <c:pt idx="156" c:formatCode="0.00_ ">
                  <c:v>0.4</c:v>
                </c:pt>
                <c:pt idx="157" c:formatCode="0.00_ ">
                  <c:v>0.3</c:v>
                </c:pt>
                <c:pt idx="158" c:formatCode="0.00_ ">
                  <c:v>0.3</c:v>
                </c:pt>
                <c:pt idx="159" c:formatCode="0.00_ ">
                  <c:v>0.5</c:v>
                </c:pt>
                <c:pt idx="160" c:formatCode="0.00_ ">
                  <c:v>0.6</c:v>
                </c:pt>
                <c:pt idx="161" c:formatCode="0.00_ ">
                  <c:v>0.5</c:v>
                </c:pt>
                <c:pt idx="162" c:formatCode="0.00_ ">
                  <c:v>0.7</c:v>
                </c:pt>
                <c:pt idx="163" c:formatCode="0.00_ ">
                  <c:v>0.65</c:v>
                </c:pt>
                <c:pt idx="164" c:formatCode="0.00_ ">
                  <c:v>0.9</c:v>
                </c:pt>
                <c:pt idx="165" c:formatCode="0.00_ ">
                  <c:v>0.9</c:v>
                </c:pt>
                <c:pt idx="166" c:formatCode="0.00_ ">
                  <c:v>0.9</c:v>
                </c:pt>
                <c:pt idx="167" c:formatCode="0.00_ ">
                  <c:v>0.7</c:v>
                </c:pt>
                <c:pt idx="168" c:formatCode="0.00_ ">
                  <c:v>1</c:v>
                </c:pt>
                <c:pt idx="169" c:formatCode="0.00_ ">
                  <c:v>0.9</c:v>
                </c:pt>
                <c:pt idx="170" c:formatCode="0.00_ ">
                  <c:v>0.6</c:v>
                </c:pt>
                <c:pt idx="171" c:formatCode="0.00_ ">
                  <c:v>1</c:v>
                </c:pt>
                <c:pt idx="172" c:formatCode="0.00_ ">
                  <c:v>0.9</c:v>
                </c:pt>
                <c:pt idx="173" c:formatCode="0.00_ ">
                  <c:v>1</c:v>
                </c:pt>
                <c:pt idx="174" c:formatCode="0.00_ ">
                  <c:v>0.95</c:v>
                </c:pt>
                <c:pt idx="175" c:formatCode="0.00_ ">
                  <c:v>0.9</c:v>
                </c:pt>
                <c:pt idx="176" c:formatCode="0.00_ ">
                  <c:v>0.9</c:v>
                </c:pt>
                <c:pt idx="177" c:formatCode="0.00_ ">
                  <c:v>1.05</c:v>
                </c:pt>
                <c:pt idx="178" c:formatCode="0.00_ ">
                  <c:v>0.75</c:v>
                </c:pt>
                <c:pt idx="179" c:formatCode="0.00_ ">
                  <c:v>0.75</c:v>
                </c:pt>
                <c:pt idx="180" c:formatCode="0.00_ ">
                  <c:v>0.8</c:v>
                </c:pt>
                <c:pt idx="181" c:formatCode="0.00_ ">
                  <c:v>0.9</c:v>
                </c:pt>
                <c:pt idx="182" c:formatCode="0.00_ ">
                  <c:v>1</c:v>
                </c:pt>
                <c:pt idx="183" c:formatCode="0.00_ ">
                  <c:v>1.4</c:v>
                </c:pt>
                <c:pt idx="184" c:formatCode="0.00_ ">
                  <c:v>1.45</c:v>
                </c:pt>
                <c:pt idx="185" c:formatCode="0.00_ ">
                  <c:v>1.85</c:v>
                </c:pt>
                <c:pt idx="186" c:formatCode="0.00_ ">
                  <c:v>1.5</c:v>
                </c:pt>
                <c:pt idx="187" c:formatCode="0.00_ ">
                  <c:v>1.5</c:v>
                </c:pt>
                <c:pt idx="188" c:formatCode="0.00_ ">
                  <c:v>1.2</c:v>
                </c:pt>
                <c:pt idx="189" c:formatCode="0.00_ ">
                  <c:v>1.4</c:v>
                </c:pt>
                <c:pt idx="190" c:formatCode="0.00_ ">
                  <c:v>1.15</c:v>
                </c:pt>
                <c:pt idx="191" c:formatCode="0.00_ ">
                  <c:v>0.95</c:v>
                </c:pt>
                <c:pt idx="192" c:formatCode="0.00_ ">
                  <c:v>0.9</c:v>
                </c:pt>
                <c:pt idx="193" c:formatCode="0.00_ ">
                  <c:v>0.75</c:v>
                </c:pt>
                <c:pt idx="194" c:formatCode="0.00_ ">
                  <c:v>0.55</c:v>
                </c:pt>
                <c:pt idx="195" c:formatCode="0.00_ ">
                  <c:v>0.6</c:v>
                </c:pt>
                <c:pt idx="196" c:formatCode="0.00_ ">
                  <c:v>0.4</c:v>
                </c:pt>
                <c:pt idx="197" c:formatCode="0.00_ ">
                  <c:v>0.5</c:v>
                </c:pt>
                <c:pt idx="198" c:formatCode="0.00_ ">
                  <c:v>0.5</c:v>
                </c:pt>
                <c:pt idx="199" c:formatCode="0.00_ ">
                  <c:v>0.5</c:v>
                </c:pt>
                <c:pt idx="200" c:formatCode="0.00_ ">
                  <c:v>0.4</c:v>
                </c:pt>
                <c:pt idx="201" c:formatCode="0.00_ ">
                  <c:v>0.5</c:v>
                </c:pt>
                <c:pt idx="202" c:formatCode="0.00_ ">
                  <c:v>0.55</c:v>
                </c:pt>
                <c:pt idx="203" c:formatCode="0.00_ ">
                  <c:v>0.5</c:v>
                </c:pt>
                <c:pt idx="204" c:formatCode="0.00_ ">
                  <c:v>0.55</c:v>
                </c:pt>
                <c:pt idx="205" c:formatCode="0.00_ ">
                  <c:v>0.6</c:v>
                </c:pt>
                <c:pt idx="206" c:formatCode="0.00_ ">
                  <c:v>0.55</c:v>
                </c:pt>
                <c:pt idx="207" c:formatCode="0.00_ ">
                  <c:v>0.35</c:v>
                </c:pt>
                <c:pt idx="208" c:formatCode="0.00_ ">
                  <c:v>0.6</c:v>
                </c:pt>
                <c:pt idx="209" c:formatCode="0.00_ ">
                  <c:v>0.8</c:v>
                </c:pt>
                <c:pt idx="210" c:formatCode="0.00_ ">
                  <c:v>0.9</c:v>
                </c:pt>
                <c:pt idx="211" c:formatCode="0.00_ ">
                  <c:v>0.9</c:v>
                </c:pt>
                <c:pt idx="212" c:formatCode="0.00_ ">
                  <c:v>0.85</c:v>
                </c:pt>
                <c:pt idx="213" c:formatCode="0.00_ ">
                  <c:v>0.75</c:v>
                </c:pt>
                <c:pt idx="214" c:formatCode="0.00_ ">
                  <c:v>0.8</c:v>
                </c:pt>
                <c:pt idx="215" c:formatCode="0.00_ ">
                  <c:v>0.9</c:v>
                </c:pt>
                <c:pt idx="216" c:formatCode="0.00_ ">
                  <c:v>0.75</c:v>
                </c:pt>
                <c:pt idx="217" c:formatCode="0.00_ ">
                  <c:v>0.7</c:v>
                </c:pt>
                <c:pt idx="218" c:formatCode="0.00_ ">
                  <c:v>0.8</c:v>
                </c:pt>
                <c:pt idx="219" c:formatCode="0.00_ ">
                  <c:v>0.8</c:v>
                </c:pt>
                <c:pt idx="220" c:formatCode="0.00_ ">
                  <c:v>1.05</c:v>
                </c:pt>
                <c:pt idx="221" c:formatCode="0.00_ ">
                  <c:v>1</c:v>
                </c:pt>
                <c:pt idx="222" c:formatCode="0.00_ ">
                  <c:v>0.95</c:v>
                </c:pt>
                <c:pt idx="223" c:formatCode="0.00_ ">
                  <c:v>0.85</c:v>
                </c:pt>
                <c:pt idx="224" c:formatCode="0.00_ ">
                  <c:v>0.8</c:v>
                </c:pt>
                <c:pt idx="225" c:formatCode="0.00_ ">
                  <c:v>0.95</c:v>
                </c:pt>
                <c:pt idx="226" c:formatCode="0.00_ ">
                  <c:v>0.95</c:v>
                </c:pt>
                <c:pt idx="227" c:formatCode="0.00_ ">
                  <c:v>0.9</c:v>
                </c:pt>
                <c:pt idx="228" c:formatCode="0.00_ ">
                  <c:v>0.9</c:v>
                </c:pt>
                <c:pt idx="229" c:formatCode="0.00_ ">
                  <c:v>0.6</c:v>
                </c:pt>
                <c:pt idx="230" c:formatCode="0.00_ ">
                  <c:v>0.55</c:v>
                </c:pt>
                <c:pt idx="231" c:formatCode="0.00_ ">
                  <c:v>0.85</c:v>
                </c:pt>
                <c:pt idx="232" c:formatCode="0.00_ ">
                  <c:v>0.9</c:v>
                </c:pt>
                <c:pt idx="233" c:formatCode="0.00_ ">
                  <c:v>0.8</c:v>
                </c:pt>
                <c:pt idx="234" c:formatCode="0.00_ ">
                  <c:v>0.95</c:v>
                </c:pt>
                <c:pt idx="235" c:formatCode="0.00_ ">
                  <c:v>1.2</c:v>
                </c:pt>
                <c:pt idx="236" c:formatCode="0.00_ ">
                  <c:v>1.3</c:v>
                </c:pt>
                <c:pt idx="237" c:formatCode="0.00_ ">
                  <c:v>1.55</c:v>
                </c:pt>
                <c:pt idx="238" c:formatCode="0.00_ ">
                  <c:v>1.6</c:v>
                </c:pt>
                <c:pt idx="239" c:formatCode="0.00_ ">
                  <c:v>1.15</c:v>
                </c:pt>
                <c:pt idx="240" c:formatCode="0.00_ ">
                  <c:v>1.25</c:v>
                </c:pt>
                <c:pt idx="241" c:formatCode="0.00_ ">
                  <c:v>1.2</c:v>
                </c:pt>
                <c:pt idx="242" c:formatCode="0.00_ ">
                  <c:v>1.25</c:v>
                </c:pt>
                <c:pt idx="243" c:formatCode="0.00_ ">
                  <c:v>0.95</c:v>
                </c:pt>
                <c:pt idx="244" c:formatCode="0.00_ ">
                  <c:v>1</c:v>
                </c:pt>
                <c:pt idx="245" c:formatCode="0.00_ ">
                  <c:v>0.97</c:v>
                </c:pt>
                <c:pt idx="246" c:formatCode="0.00_ ">
                  <c:v>0.85</c:v>
                </c:pt>
                <c:pt idx="247" c:formatCode="0.00_ ">
                  <c:v>0.8</c:v>
                </c:pt>
                <c:pt idx="248" c:formatCode="0.00_ ">
                  <c:v>0.65</c:v>
                </c:pt>
                <c:pt idx="249" c:formatCode="0.00_ ">
                  <c:v>0.7</c:v>
                </c:pt>
                <c:pt idx="250" c:formatCode="0.00_ ">
                  <c:v>0.6</c:v>
                </c:pt>
                <c:pt idx="251" c:formatCode="0.00_ ">
                  <c:v>0.6</c:v>
                </c:pt>
                <c:pt idx="252" c:formatCode="0.00_ ">
                  <c:v>0.75</c:v>
                </c:pt>
                <c:pt idx="253" c:formatCode="0.00_ ">
                  <c:v>0.65</c:v>
                </c:pt>
                <c:pt idx="254" c:formatCode="0.00_ ">
                  <c:v>0.65</c:v>
                </c:pt>
                <c:pt idx="255" c:formatCode="0.00_ ">
                  <c:v>0.65</c:v>
                </c:pt>
                <c:pt idx="256" c:formatCode="0.00_ ">
                  <c:v>0.75</c:v>
                </c:pt>
                <c:pt idx="257" c:formatCode="0.00_ ">
                  <c:v>0.9</c:v>
                </c:pt>
                <c:pt idx="258" c:formatCode="0.00_ ">
                  <c:v>0.75</c:v>
                </c:pt>
                <c:pt idx="259" c:formatCode="0.00_ ">
                  <c:v>0.75</c:v>
                </c:pt>
                <c:pt idx="260" c:formatCode="0.00_ ">
                  <c:v>1</c:v>
                </c:pt>
                <c:pt idx="261" c:formatCode="0.00_ ">
                  <c:v>1.15</c:v>
                </c:pt>
                <c:pt idx="262" c:formatCode="0.00_ ">
                  <c:v>1.1</c:v>
                </c:pt>
                <c:pt idx="263" c:formatCode="0.00_ ">
                  <c:v>1.45</c:v>
                </c:pt>
                <c:pt idx="264" c:formatCode="0.00_ ">
                  <c:v>1.05</c:v>
                </c:pt>
                <c:pt idx="265" c:formatCode="0.00_ ">
                  <c:v>1.2</c:v>
                </c:pt>
                <c:pt idx="266" c:formatCode="0.00_ ">
                  <c:v>1.1</c:v>
                </c:pt>
                <c:pt idx="267" c:formatCode="0.00_ ">
                  <c:v>1.05</c:v>
                </c:pt>
                <c:pt idx="268" c:formatCode="0.00_ ">
                  <c:v>1.15</c:v>
                </c:pt>
                <c:pt idx="269" c:formatCode="0.00_ ">
                  <c:v>1.25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514966234"/>
        <c:axId val="215151941"/>
      </c:lineChart>
      <c:dateAx>
        <c:axId val="514966234"/>
        <c:scaling>
          <c:orientation val="minMax"/>
          <c:max val="46289"/>
          <c:min val="45559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ysClr val="window" lastClr="FFFFFF">
                <a:lumMod val="50000"/>
              </a:sysClr>
            </a:solidFill>
            <a:round/>
          </a:ln>
          <a:effectLst/>
        </c:spPr>
        <c:txPr>
          <a:bodyPr rot="-270000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ysClr val="windowText" lastClr="000000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215151941"/>
        <c:crosses val="autoZero"/>
        <c:auto val="1"/>
        <c:lblOffset val="100"/>
        <c:baseTimeUnit val="days"/>
        <c:majorUnit val="4"/>
        <c:majorTimeUnit val="months"/>
      </c:dateAx>
      <c:valAx>
        <c:axId val="215151941"/>
        <c:scaling>
          <c:orientation val="minMax"/>
          <c:max val="2"/>
          <c:min val="-0.1"/>
        </c:scaling>
        <c:delete val="0"/>
        <c:axPos val="l"/>
        <c:numFmt formatCode="#,##0.00_ " sourceLinked="0"/>
        <c:majorTickMark val="out"/>
        <c:minorTickMark val="none"/>
        <c:tickLblPos val="nextTo"/>
        <c:spPr>
          <a:noFill/>
          <a:ln>
            <a:solidFill>
              <a:sysClr val="window" lastClr="FFFFFF">
                <a:lumMod val="50000"/>
              </a:sysClr>
            </a:solidFill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514966234"/>
        <c:crosses val="autoZero"/>
        <c:crossBetween val="between"/>
        <c:majorUnit val="0.3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a03c5a-5603-4e14-ad87-02456ba327e6}"/>
      </c:ext>
    </c:extLst>
  </c:chart>
  <c:spPr>
    <a:solidFill>
      <a:sysClr val="window" lastClr="FFFFFF"/>
    </a:solidFill>
    <a:ln w="12700" cap="flat" cmpd="sng" algn="ctr">
      <a:solidFill>
        <a:sysClr val="window" lastClr="FFFFFF">
          <a:lumMod val="85000"/>
        </a:sysClr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  <a:sym typeface="宋体" panose="02010600030101010101" pitchFamily="7" charset="-122"/>
        </a:defRPr>
      </a:pPr>
    </a:p>
  </c:txPr>
  <c:externalData r:id="rId1">
    <c:autoUpdate val="0"/>
  </c:externalData>
  <c:userShapes r:id="rId2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r>
              <a:rPr lang="en-US" altLang="zh-CN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150kg</a:t>
            </a:r>
            <a:r>
              <a:rPr altLang="en-US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与标猪出栏价差</a:t>
            </a:r>
            <a:endParaRPr lang="en-US" altLang="zh-CN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31609649122807"/>
          <c:y val="0.02430555555555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2181835897798"/>
          <c:y val="0.28125"/>
          <c:w val="0.85887079568115"/>
          <c:h val="0.505851417824074"/>
        </c:manualLayout>
      </c:layout>
      <c:lineChart>
        <c:grouping val="standard"/>
        <c:varyColors val="0"/>
        <c:ser>
          <c:idx val="0"/>
          <c:order val="0"/>
          <c:tx>
            <c:strRef>
              <c:f>'150公斤标肥价差'!$B$2</c:f>
              <c:strCache>
                <c:ptCount val="1"/>
                <c:pt idx="0">
                  <c:v>四川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'150公斤标肥价差'!$A$4:$A$902</c:f>
              <c:numCache>
                <c:formatCode>yyyy/m/d;@</c:formatCode>
                <c:ptCount val="899"/>
                <c:pt idx="0" c:formatCode="yyyy/m/d;@">
                  <c:v>45057</c:v>
                </c:pt>
                <c:pt idx="1" c:formatCode="yyyy/m/d;@">
                  <c:v>45064</c:v>
                </c:pt>
                <c:pt idx="2" c:formatCode="yyyy/m/d;@">
                  <c:v>45071</c:v>
                </c:pt>
                <c:pt idx="3" c:formatCode="yyyy/m/d;@">
                  <c:v>45078</c:v>
                </c:pt>
                <c:pt idx="4" c:formatCode="yyyy/m/d;@">
                  <c:v>45085</c:v>
                </c:pt>
                <c:pt idx="5" c:formatCode="yyyy/m/d;@">
                  <c:v>45092</c:v>
                </c:pt>
                <c:pt idx="6" c:formatCode="yyyy/m/d;@">
                  <c:v>45098</c:v>
                </c:pt>
                <c:pt idx="7" c:formatCode="yyyy/m/d;@">
                  <c:v>45106</c:v>
                </c:pt>
                <c:pt idx="8" c:formatCode="yyyy/m/d;@">
                  <c:v>45113</c:v>
                </c:pt>
                <c:pt idx="9" c:formatCode="yyyy/m/d;@">
                  <c:v>45120</c:v>
                </c:pt>
                <c:pt idx="10" c:formatCode="yyyy/m/d;@">
                  <c:v>45127</c:v>
                </c:pt>
                <c:pt idx="11" c:formatCode="yyyy/m/d;@">
                  <c:v>45134</c:v>
                </c:pt>
                <c:pt idx="12" c:formatCode="yyyy/m/d;@">
                  <c:v>45141</c:v>
                </c:pt>
                <c:pt idx="13" c:formatCode="yyyy/m/d;@">
                  <c:v>45148</c:v>
                </c:pt>
                <c:pt idx="14" c:formatCode="yyyy/m/d;@">
                  <c:v>45155</c:v>
                </c:pt>
                <c:pt idx="15" c:formatCode="yyyy/m/d;@">
                  <c:v>45162</c:v>
                </c:pt>
                <c:pt idx="16" c:formatCode="yyyy/m/d;@">
                  <c:v>45169</c:v>
                </c:pt>
                <c:pt idx="17" c:formatCode="yyyy/m/d;@">
                  <c:v>45176</c:v>
                </c:pt>
                <c:pt idx="18" c:formatCode="yyyy/m/d;@">
                  <c:v>45183</c:v>
                </c:pt>
                <c:pt idx="19" c:formatCode="yyyy/m/d;@">
                  <c:v>45190</c:v>
                </c:pt>
                <c:pt idx="20" c:formatCode="yyyy/m/d;@">
                  <c:v>45197</c:v>
                </c:pt>
                <c:pt idx="21" c:formatCode="yyyy/m/d;@">
                  <c:v>45205</c:v>
                </c:pt>
                <c:pt idx="22" c:formatCode="yyyy/m/d;@">
                  <c:v>45211</c:v>
                </c:pt>
                <c:pt idx="23" c:formatCode="yyyy/m/d;@">
                  <c:v>45218</c:v>
                </c:pt>
                <c:pt idx="24" c:formatCode="yyyy/m/d;@">
                  <c:v>45225</c:v>
                </c:pt>
                <c:pt idx="25" c:formatCode="yyyy/m/d;@">
                  <c:v>45232</c:v>
                </c:pt>
                <c:pt idx="26" c:formatCode="yyyy/m/d;@">
                  <c:v>45239</c:v>
                </c:pt>
                <c:pt idx="27" c:formatCode="yyyy/m/d;@">
                  <c:v>45246</c:v>
                </c:pt>
                <c:pt idx="28" c:formatCode="yyyy/m/d;@">
                  <c:v>45253</c:v>
                </c:pt>
                <c:pt idx="29" c:formatCode="yyyy/m/d;@">
                  <c:v>45260</c:v>
                </c:pt>
                <c:pt idx="30" c:formatCode="yyyy/m/d;@">
                  <c:v>45267</c:v>
                </c:pt>
                <c:pt idx="31" c:formatCode="yyyy/m/d;@">
                  <c:v>45274</c:v>
                </c:pt>
                <c:pt idx="32" c:formatCode="yyyy/m/d;@">
                  <c:v>45281</c:v>
                </c:pt>
                <c:pt idx="33" c:formatCode="yyyy/m/d;@">
                  <c:v>45288</c:v>
                </c:pt>
                <c:pt idx="34" c:formatCode="yyyy/m/d;@">
                  <c:v>45295</c:v>
                </c:pt>
                <c:pt idx="35" c:formatCode="yyyy/m/d;@">
                  <c:v>45302</c:v>
                </c:pt>
                <c:pt idx="36" c:formatCode="yyyy/m/d;@">
                  <c:v>45309</c:v>
                </c:pt>
                <c:pt idx="37" c:formatCode="yyyy/m/d;@">
                  <c:v>45316</c:v>
                </c:pt>
                <c:pt idx="38" c:formatCode="yyyy/m/d;@">
                  <c:v>45323</c:v>
                </c:pt>
                <c:pt idx="39" c:formatCode="yyyy/m/d;@">
                  <c:v>45344</c:v>
                </c:pt>
                <c:pt idx="40" c:formatCode="yyyy/m/d;@">
                  <c:v>45351</c:v>
                </c:pt>
                <c:pt idx="41" c:formatCode="yyyy/m/d;@">
                  <c:v>45358</c:v>
                </c:pt>
                <c:pt idx="42" c:formatCode="yyyy/m/d;@">
                  <c:v>45365</c:v>
                </c:pt>
                <c:pt idx="43" c:formatCode="yyyy/m/d;@">
                  <c:v>45372</c:v>
                </c:pt>
                <c:pt idx="44" c:formatCode="yyyy/m/d;@">
                  <c:v>45379</c:v>
                </c:pt>
                <c:pt idx="45" c:formatCode="yyyy/m/d;@">
                  <c:v>45385</c:v>
                </c:pt>
                <c:pt idx="46" c:formatCode="yyyy/m/d;@">
                  <c:v>45393</c:v>
                </c:pt>
                <c:pt idx="47" c:formatCode="yyyy/m/d;@">
                  <c:v>45400</c:v>
                </c:pt>
                <c:pt idx="48" c:formatCode="yyyy/m/d;@">
                  <c:v>45407</c:v>
                </c:pt>
                <c:pt idx="49" c:formatCode="yyyy/m/d;@">
                  <c:v>45414</c:v>
                </c:pt>
                <c:pt idx="50" c:formatCode="yyyy/m/d;@">
                  <c:v>45421</c:v>
                </c:pt>
                <c:pt idx="51" c:formatCode="yyyy/m/d;@">
                  <c:v>45428</c:v>
                </c:pt>
                <c:pt idx="52" c:formatCode="yyyy/m/d;@">
                  <c:v>45435</c:v>
                </c:pt>
                <c:pt idx="53" c:formatCode="yyyy/m/d;@">
                  <c:v>45442</c:v>
                </c:pt>
                <c:pt idx="54" c:formatCode="yyyy/m/d;@">
                  <c:v>45449</c:v>
                </c:pt>
                <c:pt idx="55" c:formatCode="yyyy/m/d;@">
                  <c:v>45456</c:v>
                </c:pt>
                <c:pt idx="56" c:formatCode="yyyy/m/d;@">
                  <c:v>45463</c:v>
                </c:pt>
                <c:pt idx="57" c:formatCode="yyyy/m/d;@">
                  <c:v>45470</c:v>
                </c:pt>
                <c:pt idx="58" c:formatCode="yyyy/m/d;@">
                  <c:v>45477</c:v>
                </c:pt>
                <c:pt idx="59" c:formatCode="yyyy/m/d;@">
                  <c:v>45484</c:v>
                </c:pt>
                <c:pt idx="60" c:formatCode="yyyy/m/d;@">
                  <c:v>45491</c:v>
                </c:pt>
                <c:pt idx="61" c:formatCode="yyyy/m/d;@">
                  <c:v>45498</c:v>
                </c:pt>
                <c:pt idx="62" c:formatCode="yyyy/m/d;@">
                  <c:v>45505</c:v>
                </c:pt>
                <c:pt idx="63" c:formatCode="yyyy/m/d;@">
                  <c:v>45512</c:v>
                </c:pt>
                <c:pt idx="64" c:formatCode="yyyy/m/d;@">
                  <c:v>45519</c:v>
                </c:pt>
                <c:pt idx="65" c:formatCode="yyyy/m/d;@">
                  <c:v>45526</c:v>
                </c:pt>
                <c:pt idx="66" c:formatCode="yyyy/m/d;@">
                  <c:v>45533</c:v>
                </c:pt>
                <c:pt idx="67" c:formatCode="yyyy/m/d;@">
                  <c:v>45540</c:v>
                </c:pt>
                <c:pt idx="68" c:formatCode="yyyy/m/d;@">
                  <c:v>45547</c:v>
                </c:pt>
                <c:pt idx="69" c:formatCode="yyyy/m/d;@">
                  <c:v>45554</c:v>
                </c:pt>
                <c:pt idx="70" c:formatCode="yyyy/m/d;@">
                  <c:v>45561</c:v>
                </c:pt>
                <c:pt idx="71" c:formatCode="yyyy/m/d;@">
                  <c:v>45575</c:v>
                </c:pt>
                <c:pt idx="72" c:formatCode="yyyy/m/d;@">
                  <c:v>45582</c:v>
                </c:pt>
                <c:pt idx="73" c:formatCode="yyyy/m/d;@">
                  <c:v>45589</c:v>
                </c:pt>
                <c:pt idx="74" c:formatCode="yyyy/m/d;@">
                  <c:v>45596</c:v>
                </c:pt>
                <c:pt idx="75" c:formatCode="yyyy/m/d;@">
                  <c:v>45603</c:v>
                </c:pt>
                <c:pt idx="76" c:formatCode="yyyy/m/d;@">
                  <c:v>45610</c:v>
                </c:pt>
                <c:pt idx="77" c:formatCode="yyyy/m/d;@">
                  <c:v>45617</c:v>
                </c:pt>
                <c:pt idx="78" c:formatCode="yyyy/m/d;@">
                  <c:v>45624</c:v>
                </c:pt>
                <c:pt idx="79" c:formatCode="yyyy/m/d;@">
                  <c:v>45631</c:v>
                </c:pt>
                <c:pt idx="80" c:formatCode="yyyy/m/d;@">
                  <c:v>45638</c:v>
                </c:pt>
                <c:pt idx="81" c:formatCode="yyyy/m/d;@">
                  <c:v>45645</c:v>
                </c:pt>
                <c:pt idx="82" c:formatCode="yyyy/m/d;@">
                  <c:v>45652</c:v>
                </c:pt>
                <c:pt idx="83" c:formatCode="yyyy/m/d;@">
                  <c:v>45659</c:v>
                </c:pt>
                <c:pt idx="84" c:formatCode="yyyy/m/d;@">
                  <c:v>45666</c:v>
                </c:pt>
                <c:pt idx="85" c:formatCode="yyyy/m/d;@">
                  <c:v>45673</c:v>
                </c:pt>
                <c:pt idx="86" c:formatCode="yyyy/m/d;@">
                  <c:v>45680</c:v>
                </c:pt>
                <c:pt idx="87" c:formatCode="yyyy/m/d;@">
                  <c:v>45694</c:v>
                </c:pt>
                <c:pt idx="88" c:formatCode="yyyy/m/d;@">
                  <c:v>45701</c:v>
                </c:pt>
                <c:pt idx="89" c:formatCode="yyyy/m/d;@">
                  <c:v>45708</c:v>
                </c:pt>
                <c:pt idx="90" c:formatCode="yyyy/m/d;@">
                  <c:v>45715</c:v>
                </c:pt>
                <c:pt idx="91" c:formatCode="yyyy/m/d;@">
                  <c:v>45722</c:v>
                </c:pt>
                <c:pt idx="92" c:formatCode="yyyy/m/d;@">
                  <c:v>45729</c:v>
                </c:pt>
                <c:pt idx="93" c:formatCode="yyyy/m/d;@">
                  <c:v>45736</c:v>
                </c:pt>
                <c:pt idx="94" c:formatCode="yyyy/m/d;@">
                  <c:v>45743</c:v>
                </c:pt>
                <c:pt idx="95" c:formatCode="yyyy/m/d;@">
                  <c:v>45750</c:v>
                </c:pt>
                <c:pt idx="96" c:formatCode="yyyy/m/d;@">
                  <c:v>45757</c:v>
                </c:pt>
                <c:pt idx="97" c:formatCode="yyyy/m/d;@">
                  <c:v>45764</c:v>
                </c:pt>
                <c:pt idx="98" c:formatCode="yyyy/m/d;@">
                  <c:v>45771</c:v>
                </c:pt>
                <c:pt idx="99" c:formatCode="yyyy/m/d;@">
                  <c:v>45777</c:v>
                </c:pt>
                <c:pt idx="100" c:formatCode="yyyy/m/d;@">
                  <c:v>45785</c:v>
                </c:pt>
                <c:pt idx="101" c:formatCode="yyyy/m/d;@">
                  <c:v>45792</c:v>
                </c:pt>
                <c:pt idx="102" c:formatCode="yyyy/m/d;@">
                  <c:v>45799</c:v>
                </c:pt>
                <c:pt idx="103" c:formatCode="yyyy/m/d;@">
                  <c:v>45806</c:v>
                </c:pt>
                <c:pt idx="104" c:formatCode="yyyy/m/d;@">
                  <c:v>45813</c:v>
                </c:pt>
                <c:pt idx="105" c:formatCode="yyyy/m/d;@">
                  <c:v>45820</c:v>
                </c:pt>
                <c:pt idx="106" c:formatCode="yyyy/m/d;@">
                  <c:v>45827</c:v>
                </c:pt>
                <c:pt idx="107" c:formatCode="yyyy/m/d;@">
                  <c:v>45834</c:v>
                </c:pt>
                <c:pt idx="108" c:formatCode="yyyy/m/d;@">
                  <c:v>45841</c:v>
                </c:pt>
                <c:pt idx="109" c:formatCode="yyyy/m/d;@">
                  <c:v>45848</c:v>
                </c:pt>
                <c:pt idx="110" c:formatCode="yyyy/m/d;@">
                  <c:v>45855</c:v>
                </c:pt>
                <c:pt idx="111" c:formatCode="yyyy/m/d;@">
                  <c:v>45862</c:v>
                </c:pt>
                <c:pt idx="112" c:formatCode="yyyy/m/d;@">
                  <c:v>45869</c:v>
                </c:pt>
                <c:pt idx="113" c:formatCode="yyyy/m/d;@">
                  <c:v>45876</c:v>
                </c:pt>
                <c:pt idx="114" c:formatCode="yyyy/m/d;@">
                  <c:v>45883</c:v>
                </c:pt>
                <c:pt idx="115" c:formatCode="yyyy/m/d;@">
                  <c:v>45890</c:v>
                </c:pt>
                <c:pt idx="116" c:formatCode="yyyy/m/d;@">
                  <c:v>45897</c:v>
                </c:pt>
                <c:pt idx="117" c:formatCode="yyyy/m/d;@">
                  <c:v>45904</c:v>
                </c:pt>
                <c:pt idx="118" c:formatCode="yyyy/m/d;@">
                  <c:v>45911</c:v>
                </c:pt>
                <c:pt idx="119" c:formatCode="yyyy/m/d;@">
                  <c:v>45918</c:v>
                </c:pt>
                <c:pt idx="120" c:formatCode="yyyy/m/d;@">
                  <c:v>45925</c:v>
                </c:pt>
                <c:pt idx="121" c:formatCode="yyyy/m/d;@">
                  <c:v>45939</c:v>
                </c:pt>
                <c:pt idx="122" c:formatCode="yyyy/m/d;@">
                  <c:v>45946</c:v>
                </c:pt>
                <c:pt idx="123" c:formatCode="yyyy/m/d;@">
                  <c:v>45953</c:v>
                </c:pt>
                <c:pt idx="124" c:formatCode="yyyy/m/d;@">
                  <c:v>45960</c:v>
                </c:pt>
                <c:pt idx="125" c:formatCode="yyyy/m/d;@">
                  <c:v>45967</c:v>
                </c:pt>
                <c:pt idx="126" c:formatCode="yyyy/m/d;@">
                  <c:v>45974</c:v>
                </c:pt>
                <c:pt idx="127" c:formatCode="yyyy/m/d;@">
                  <c:v>45981</c:v>
                </c:pt>
                <c:pt idx="128" c:formatCode="yyyy/m/d;@">
                  <c:v>45988</c:v>
                </c:pt>
                <c:pt idx="129" c:formatCode="yyyy/m/d;@">
                  <c:v>45995</c:v>
                </c:pt>
                <c:pt idx="130" c:formatCode="yyyy/m/d;@">
                  <c:v>46002</c:v>
                </c:pt>
                <c:pt idx="131" c:formatCode="yyyy/m/d;@">
                  <c:v>46009</c:v>
                </c:pt>
                <c:pt idx="132" c:formatCode="yyyy/m/d;@">
                  <c:v>46016</c:v>
                </c:pt>
                <c:pt idx="133" c:formatCode="yyyy/m/d;@">
                  <c:v>46023</c:v>
                </c:pt>
                <c:pt idx="134" c:formatCode="yyyy/m/d;@">
                  <c:v>46030</c:v>
                </c:pt>
                <c:pt idx="135" c:formatCode="yyyy/m/d;@">
                  <c:v>46037</c:v>
                </c:pt>
                <c:pt idx="136" c:formatCode="yyyy/m/d;@">
                  <c:v>46044</c:v>
                </c:pt>
                <c:pt idx="137" c:formatCode="yyyy/m/d;@">
                  <c:v>46051</c:v>
                </c:pt>
                <c:pt idx="138" c:formatCode="yyyy/m/d;@">
                  <c:v>46058</c:v>
                </c:pt>
                <c:pt idx="139" c:formatCode="yyyy/m/d;@">
                  <c:v>46065</c:v>
                </c:pt>
                <c:pt idx="140" c:formatCode="yyyy/m/d;@">
                  <c:v>46079</c:v>
                </c:pt>
                <c:pt idx="141" c:formatCode="yyyy/m/d;@">
                  <c:v>46086</c:v>
                </c:pt>
                <c:pt idx="142" c:formatCode="yyyy/m/d;@">
                  <c:v>46093</c:v>
                </c:pt>
                <c:pt idx="143" c:formatCode="yyyy/m/d;@">
                  <c:v>46100</c:v>
                </c:pt>
                <c:pt idx="144" c:formatCode="yyyy/m/d;@">
                  <c:v>46107</c:v>
                </c:pt>
                <c:pt idx="145" c:formatCode="yyyy/m/d;@">
                  <c:v>46114</c:v>
                </c:pt>
                <c:pt idx="146" c:formatCode="yyyy/m/d;@">
                  <c:v>46121</c:v>
                </c:pt>
                <c:pt idx="147" c:formatCode="yyyy/m/d;@">
                  <c:v>46128</c:v>
                </c:pt>
                <c:pt idx="148" c:formatCode="yyyy/m/d;@">
                  <c:v>46135</c:v>
                </c:pt>
                <c:pt idx="149" c:formatCode="yyyy/m/d;@">
                  <c:v>46142</c:v>
                </c:pt>
                <c:pt idx="150" c:formatCode="yyyy/m/d;@">
                  <c:v>46149</c:v>
                </c:pt>
                <c:pt idx="151" c:formatCode="yyyy/m/d;@">
                  <c:v>46156</c:v>
                </c:pt>
                <c:pt idx="152" c:formatCode="yyyy/m/d;@">
                  <c:v>46163</c:v>
                </c:pt>
                <c:pt idx="153" c:formatCode="yyyy/m/d;@">
                  <c:v>46170</c:v>
                </c:pt>
                <c:pt idx="154" c:formatCode="yyyy/m/d;@">
                  <c:v>46177</c:v>
                </c:pt>
                <c:pt idx="155" c:formatCode="yyyy/m/d;@">
                  <c:v>46184</c:v>
                </c:pt>
                <c:pt idx="156" c:formatCode="yyyy/m/d;@">
                  <c:v>46191</c:v>
                </c:pt>
                <c:pt idx="157" c:formatCode="yyyy/m/d;@">
                  <c:v>46198</c:v>
                </c:pt>
                <c:pt idx="158" c:formatCode="yyyy/m/d;@">
                  <c:v>46205</c:v>
                </c:pt>
                <c:pt idx="159" c:formatCode="yyyy/m/d;@">
                  <c:v>46212</c:v>
                </c:pt>
                <c:pt idx="160" c:formatCode="yyyy/m/d;@">
                  <c:v>46219</c:v>
                </c:pt>
                <c:pt idx="161" c:formatCode="yyyy/m/d;@">
                  <c:v>46226</c:v>
                </c:pt>
                <c:pt idx="162" c:formatCode="yyyy/m/d;@">
                  <c:v>46233</c:v>
                </c:pt>
                <c:pt idx="163" c:formatCode="yyyy/m/d;@">
                  <c:v>46240</c:v>
                </c:pt>
                <c:pt idx="164" c:formatCode="yyyy/m/d;@">
                  <c:v>46247</c:v>
                </c:pt>
                <c:pt idx="165" c:formatCode="yyyy/m/d;@">
                  <c:v>46254</c:v>
                </c:pt>
                <c:pt idx="166" c:formatCode="yyyy/m/d;@">
                  <c:v>46261</c:v>
                </c:pt>
                <c:pt idx="167" c:formatCode="yyyy/m/d;@">
                  <c:v>46268</c:v>
                </c:pt>
                <c:pt idx="168" c:formatCode="yyyy/m/d;@">
                  <c:v>46275</c:v>
                </c:pt>
                <c:pt idx="169" c:formatCode="yyyy/m/d;@">
                  <c:v>46282</c:v>
                </c:pt>
                <c:pt idx="170" c:formatCode="yyyy/m/d;@">
                  <c:v>46289</c:v>
                </c:pt>
              </c:numCache>
            </c:numRef>
          </c:cat>
          <c:val>
            <c:numRef>
              <c:f>'150公斤标肥价差'!$B$4:$B$902</c:f>
              <c:numCache>
                <c:formatCode>#,##0.00_ </c:formatCode>
                <c:ptCount val="8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0.4</c:v>
                </c:pt>
                <c:pt idx="19">
                  <c:v>0.3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0.5</c:v>
                </c:pt>
                <c:pt idx="27">
                  <c:v>0.6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0.3</c:v>
                </c:pt>
                <c:pt idx="32">
                  <c:v>0.4</c:v>
                </c:pt>
                <c:pt idx="33">
                  <c:v>0.3</c:v>
                </c:pt>
                <c:pt idx="34">
                  <c:v>0.3</c:v>
                </c:pt>
                <c:pt idx="35">
                  <c:v>0.4</c:v>
                </c:pt>
                <c:pt idx="36">
                  <c:v>0.3</c:v>
                </c:pt>
                <c:pt idx="37">
                  <c:v>0.4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0.4</c:v>
                </c:pt>
                <c:pt idx="42">
                  <c:v>0.3</c:v>
                </c:pt>
                <c:pt idx="43">
                  <c:v>0.2</c:v>
                </c:pt>
                <c:pt idx="44">
                  <c:v>0.3</c:v>
                </c:pt>
                <c:pt idx="45">
                  <c:v>0.4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0.2</c:v>
                </c:pt>
                <c:pt idx="57">
                  <c:v>0.35</c:v>
                </c:pt>
                <c:pt idx="58">
                  <c:v>0.1</c:v>
                </c:pt>
                <c:pt idx="59">
                  <c:v>0.2</c:v>
                </c:pt>
                <c:pt idx="60">
                  <c:v>0.4</c:v>
                </c:pt>
                <c:pt idx="61">
                  <c:v>0.4</c:v>
                </c:pt>
                <c:pt idx="62">
                  <c:v>0.2</c:v>
                </c:pt>
                <c:pt idx="63">
                  <c:v>0.35</c:v>
                </c:pt>
                <c:pt idx="64">
                  <c:v>0.45</c:v>
                </c:pt>
                <c:pt idx="65">
                  <c:v>0.75</c:v>
                </c:pt>
                <c:pt idx="66">
                  <c:v>0.65</c:v>
                </c:pt>
                <c:pt idx="67">
                  <c:v>0.6</c:v>
                </c:pt>
                <c:pt idx="68">
                  <c:v>0.6</c:v>
                </c:pt>
                <c:pt idx="69">
                  <c:v>0.5</c:v>
                </c:pt>
                <c:pt idx="70">
                  <c:v>0.6</c:v>
                </c:pt>
                <c:pt idx="71">
                  <c:v>0.4</c:v>
                </c:pt>
                <c:pt idx="72">
                  <c:v>0.7</c:v>
                </c:pt>
                <c:pt idx="73">
                  <c:v>0.55</c:v>
                </c:pt>
                <c:pt idx="74">
                  <c:v>0.7</c:v>
                </c:pt>
                <c:pt idx="75">
                  <c:v>0.6</c:v>
                </c:pt>
                <c:pt idx="76">
                  <c:v>0.5</c:v>
                </c:pt>
                <c:pt idx="77">
                  <c:v>0.65</c:v>
                </c:pt>
                <c:pt idx="78">
                  <c:v>0.6</c:v>
                </c:pt>
                <c:pt idx="79">
                  <c:v>0.4</c:v>
                </c:pt>
                <c:pt idx="80">
                  <c:v>0.5</c:v>
                </c:pt>
                <c:pt idx="81">
                  <c:v>0.5</c:v>
                </c:pt>
                <c:pt idx="82">
                  <c:v>0.65</c:v>
                </c:pt>
                <c:pt idx="83">
                  <c:v>0.55</c:v>
                </c:pt>
                <c:pt idx="84">
                  <c:v>0.8</c:v>
                </c:pt>
                <c:pt idx="85">
                  <c:v>1.05</c:v>
                </c:pt>
                <c:pt idx="86">
                  <c:v>1.25</c:v>
                </c:pt>
                <c:pt idx="87">
                  <c:v>1</c:v>
                </c:pt>
                <c:pt idx="88">
                  <c:v>1</c:v>
                </c:pt>
                <c:pt idx="89">
                  <c:v>0.75</c:v>
                </c:pt>
                <c:pt idx="90">
                  <c:v>0.9</c:v>
                </c:pt>
                <c:pt idx="91">
                  <c:v>0.7</c:v>
                </c:pt>
                <c:pt idx="92">
                  <c:v>0.45</c:v>
                </c:pt>
                <c:pt idx="93">
                  <c:v>0.3</c:v>
                </c:pt>
                <c:pt idx="94">
                  <c:v>0.4</c:v>
                </c:pt>
                <c:pt idx="95">
                  <c:v>0.25</c:v>
                </c:pt>
                <c:pt idx="96">
                  <c:v>0.3</c:v>
                </c:pt>
                <c:pt idx="97">
                  <c:v>0.15</c:v>
                </c:pt>
                <c:pt idx="98">
                  <c:v>0.15</c:v>
                </c:pt>
                <c:pt idx="99">
                  <c:v>0.25</c:v>
                </c:pt>
                <c:pt idx="100">
                  <c:v>0.2</c:v>
                </c:pt>
                <c:pt idx="101">
                  <c:v>0.25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0.35</c:v>
                </c:pt>
                <c:pt idx="106">
                  <c:v>0.35</c:v>
                </c:pt>
                <c:pt idx="107">
                  <c:v>0.3</c:v>
                </c:pt>
                <c:pt idx="108">
                  <c:v>0.2</c:v>
                </c:pt>
                <c:pt idx="109">
                  <c:v>0.4</c:v>
                </c:pt>
                <c:pt idx="110">
                  <c:v>0.6</c:v>
                </c:pt>
                <c:pt idx="111">
                  <c:v>0.8</c:v>
                </c:pt>
                <c:pt idx="112">
                  <c:v>0.6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0.6</c:v>
                </c:pt>
                <c:pt idx="117">
                  <c:v>0.45</c:v>
                </c:pt>
                <c:pt idx="118">
                  <c:v>0.45</c:v>
                </c:pt>
                <c:pt idx="119">
                  <c:v>0.6</c:v>
                </c:pt>
                <c:pt idx="120">
                  <c:v>0.45</c:v>
                </c:pt>
                <c:pt idx="121">
                  <c:v>0.55</c:v>
                </c:pt>
                <c:pt idx="122">
                  <c:v>0.6</c:v>
                </c:pt>
                <c:pt idx="123">
                  <c:v>0.45</c:v>
                </c:pt>
                <c:pt idx="124">
                  <c:v>0.55</c:v>
                </c:pt>
                <c:pt idx="125">
                  <c:v>0.5</c:v>
                </c:pt>
                <c:pt idx="126">
                  <c:v>0.65</c:v>
                </c:pt>
                <c:pt idx="127">
                  <c:v>0.6</c:v>
                </c:pt>
                <c:pt idx="128">
                  <c:v>0.6</c:v>
                </c:pt>
                <c:pt idx="129">
                  <c:v>0.5</c:v>
                </c:pt>
                <c:pt idx="130">
                  <c:v>0.3</c:v>
                </c:pt>
                <c:pt idx="131">
                  <c:v>0.25</c:v>
                </c:pt>
                <c:pt idx="132">
                  <c:v>0.7</c:v>
                </c:pt>
                <c:pt idx="133">
                  <c:v>0.6</c:v>
                </c:pt>
                <c:pt idx="134">
                  <c:v>0.65</c:v>
                </c:pt>
                <c:pt idx="135">
                  <c:v>0.65</c:v>
                </c:pt>
                <c:pt idx="136">
                  <c:v>0.7</c:v>
                </c:pt>
                <c:pt idx="137">
                  <c:v>0.8</c:v>
                </c:pt>
                <c:pt idx="138">
                  <c:v>0.93</c:v>
                </c:pt>
                <c:pt idx="139">
                  <c:v>0.95</c:v>
                </c:pt>
                <c:pt idx="140">
                  <c:v>0.65</c:v>
                </c:pt>
                <c:pt idx="141">
                  <c:v>0.5</c:v>
                </c:pt>
                <c:pt idx="142">
                  <c:v>0.6</c:v>
                </c:pt>
                <c:pt idx="143">
                  <c:v>0.6</c:v>
                </c:pt>
                <c:pt idx="144">
                  <c:v>0.45</c:v>
                </c:pt>
                <c:pt idx="145">
                  <c:v>0.45</c:v>
                </c:pt>
                <c:pt idx="146">
                  <c:v>0.52</c:v>
                </c:pt>
                <c:pt idx="147">
                  <c:v>0.4</c:v>
                </c:pt>
                <c:pt idx="148">
                  <c:v>0.35</c:v>
                </c:pt>
                <c:pt idx="149">
                  <c:v>0.2</c:v>
                </c:pt>
                <c:pt idx="150">
                  <c:v>0.4</c:v>
                </c:pt>
                <c:pt idx="151">
                  <c:v>0.25</c:v>
                </c:pt>
                <c:pt idx="152">
                  <c:v>0.2</c:v>
                </c:pt>
                <c:pt idx="153">
                  <c:v>0.35</c:v>
                </c:pt>
                <c:pt idx="154">
                  <c:v>0.25</c:v>
                </c:pt>
                <c:pt idx="155">
                  <c:v>0.3</c:v>
                </c:pt>
                <c:pt idx="156">
                  <c:v>0.3</c:v>
                </c:pt>
                <c:pt idx="157">
                  <c:v>0.4</c:v>
                </c:pt>
                <c:pt idx="158">
                  <c:v>0.45</c:v>
                </c:pt>
                <c:pt idx="159">
                  <c:v>0.4</c:v>
                </c:pt>
                <c:pt idx="160">
                  <c:v>0.45</c:v>
                </c:pt>
                <c:pt idx="161">
                  <c:v>0.7</c:v>
                </c:pt>
                <c:pt idx="162">
                  <c:v>0.75</c:v>
                </c:pt>
                <c:pt idx="163">
                  <c:v>0.85</c:v>
                </c:pt>
                <c:pt idx="164">
                  <c:v>1.15</c:v>
                </c:pt>
                <c:pt idx="165">
                  <c:v>0.85</c:v>
                </c:pt>
                <c:pt idx="166">
                  <c:v>0.8</c:v>
                </c:pt>
                <c:pt idx="167">
                  <c:v>0.7</c:v>
                </c:pt>
                <c:pt idx="168">
                  <c:v>0.6</c:v>
                </c:pt>
                <c:pt idx="169">
                  <c:v>0.65</c:v>
                </c:pt>
                <c:pt idx="170">
                  <c:v>0.8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'150公斤标肥价差'!$C$2</c:f>
              <c:strCache>
                <c:ptCount val="1"/>
                <c:pt idx="0">
                  <c:v>全国平均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'150公斤标肥价差'!$A$4:$A$902</c:f>
              <c:numCache>
                <c:formatCode>yyyy/m/d;@</c:formatCode>
                <c:ptCount val="899"/>
                <c:pt idx="0" c:formatCode="yyyy/m/d;@">
                  <c:v>45057</c:v>
                </c:pt>
                <c:pt idx="1" c:formatCode="yyyy/m/d;@">
                  <c:v>45064</c:v>
                </c:pt>
                <c:pt idx="2" c:formatCode="yyyy/m/d;@">
                  <c:v>45071</c:v>
                </c:pt>
                <c:pt idx="3" c:formatCode="yyyy/m/d;@">
                  <c:v>45078</c:v>
                </c:pt>
                <c:pt idx="4" c:formatCode="yyyy/m/d;@">
                  <c:v>45085</c:v>
                </c:pt>
                <c:pt idx="5" c:formatCode="yyyy/m/d;@">
                  <c:v>45092</c:v>
                </c:pt>
                <c:pt idx="6" c:formatCode="yyyy/m/d;@">
                  <c:v>45098</c:v>
                </c:pt>
                <c:pt idx="7" c:formatCode="yyyy/m/d;@">
                  <c:v>45106</c:v>
                </c:pt>
                <c:pt idx="8" c:formatCode="yyyy/m/d;@">
                  <c:v>45113</c:v>
                </c:pt>
                <c:pt idx="9" c:formatCode="yyyy/m/d;@">
                  <c:v>45120</c:v>
                </c:pt>
                <c:pt idx="10" c:formatCode="yyyy/m/d;@">
                  <c:v>45127</c:v>
                </c:pt>
                <c:pt idx="11" c:formatCode="yyyy/m/d;@">
                  <c:v>45134</c:v>
                </c:pt>
                <c:pt idx="12" c:formatCode="yyyy/m/d;@">
                  <c:v>45141</c:v>
                </c:pt>
                <c:pt idx="13" c:formatCode="yyyy/m/d;@">
                  <c:v>45148</c:v>
                </c:pt>
                <c:pt idx="14" c:formatCode="yyyy/m/d;@">
                  <c:v>45155</c:v>
                </c:pt>
                <c:pt idx="15" c:formatCode="yyyy/m/d;@">
                  <c:v>45162</c:v>
                </c:pt>
                <c:pt idx="16" c:formatCode="yyyy/m/d;@">
                  <c:v>45169</c:v>
                </c:pt>
                <c:pt idx="17" c:formatCode="yyyy/m/d;@">
                  <c:v>45176</c:v>
                </c:pt>
                <c:pt idx="18" c:formatCode="yyyy/m/d;@">
                  <c:v>45183</c:v>
                </c:pt>
                <c:pt idx="19" c:formatCode="yyyy/m/d;@">
                  <c:v>45190</c:v>
                </c:pt>
                <c:pt idx="20" c:formatCode="yyyy/m/d;@">
                  <c:v>45197</c:v>
                </c:pt>
                <c:pt idx="21" c:formatCode="yyyy/m/d;@">
                  <c:v>45205</c:v>
                </c:pt>
                <c:pt idx="22" c:formatCode="yyyy/m/d;@">
                  <c:v>45211</c:v>
                </c:pt>
                <c:pt idx="23" c:formatCode="yyyy/m/d;@">
                  <c:v>45218</c:v>
                </c:pt>
                <c:pt idx="24" c:formatCode="yyyy/m/d;@">
                  <c:v>45225</c:v>
                </c:pt>
                <c:pt idx="25" c:formatCode="yyyy/m/d;@">
                  <c:v>45232</c:v>
                </c:pt>
                <c:pt idx="26" c:formatCode="yyyy/m/d;@">
                  <c:v>45239</c:v>
                </c:pt>
                <c:pt idx="27" c:formatCode="yyyy/m/d;@">
                  <c:v>45246</c:v>
                </c:pt>
                <c:pt idx="28" c:formatCode="yyyy/m/d;@">
                  <c:v>45253</c:v>
                </c:pt>
                <c:pt idx="29" c:formatCode="yyyy/m/d;@">
                  <c:v>45260</c:v>
                </c:pt>
                <c:pt idx="30" c:formatCode="yyyy/m/d;@">
                  <c:v>45267</c:v>
                </c:pt>
                <c:pt idx="31" c:formatCode="yyyy/m/d;@">
                  <c:v>45274</c:v>
                </c:pt>
                <c:pt idx="32" c:formatCode="yyyy/m/d;@">
                  <c:v>45281</c:v>
                </c:pt>
                <c:pt idx="33" c:formatCode="yyyy/m/d;@">
                  <c:v>45288</c:v>
                </c:pt>
                <c:pt idx="34" c:formatCode="yyyy/m/d;@">
                  <c:v>45295</c:v>
                </c:pt>
                <c:pt idx="35" c:formatCode="yyyy/m/d;@">
                  <c:v>45302</c:v>
                </c:pt>
                <c:pt idx="36" c:formatCode="yyyy/m/d;@">
                  <c:v>45309</c:v>
                </c:pt>
                <c:pt idx="37" c:formatCode="yyyy/m/d;@">
                  <c:v>45316</c:v>
                </c:pt>
                <c:pt idx="38" c:formatCode="yyyy/m/d;@">
                  <c:v>45323</c:v>
                </c:pt>
                <c:pt idx="39" c:formatCode="yyyy/m/d;@">
                  <c:v>45344</c:v>
                </c:pt>
                <c:pt idx="40" c:formatCode="yyyy/m/d;@">
                  <c:v>45351</c:v>
                </c:pt>
                <c:pt idx="41" c:formatCode="yyyy/m/d;@">
                  <c:v>45358</c:v>
                </c:pt>
                <c:pt idx="42" c:formatCode="yyyy/m/d;@">
                  <c:v>45365</c:v>
                </c:pt>
                <c:pt idx="43" c:formatCode="yyyy/m/d;@">
                  <c:v>45372</c:v>
                </c:pt>
                <c:pt idx="44" c:formatCode="yyyy/m/d;@">
                  <c:v>45379</c:v>
                </c:pt>
                <c:pt idx="45" c:formatCode="yyyy/m/d;@">
                  <c:v>45385</c:v>
                </c:pt>
                <c:pt idx="46" c:formatCode="yyyy/m/d;@">
                  <c:v>45393</c:v>
                </c:pt>
                <c:pt idx="47" c:formatCode="yyyy/m/d;@">
                  <c:v>45400</c:v>
                </c:pt>
                <c:pt idx="48" c:formatCode="yyyy/m/d;@">
                  <c:v>45407</c:v>
                </c:pt>
                <c:pt idx="49" c:formatCode="yyyy/m/d;@">
                  <c:v>45414</c:v>
                </c:pt>
                <c:pt idx="50" c:formatCode="yyyy/m/d;@">
                  <c:v>45421</c:v>
                </c:pt>
                <c:pt idx="51" c:formatCode="yyyy/m/d;@">
                  <c:v>45428</c:v>
                </c:pt>
                <c:pt idx="52" c:formatCode="yyyy/m/d;@">
                  <c:v>45435</c:v>
                </c:pt>
                <c:pt idx="53" c:formatCode="yyyy/m/d;@">
                  <c:v>45442</c:v>
                </c:pt>
                <c:pt idx="54" c:formatCode="yyyy/m/d;@">
                  <c:v>45449</c:v>
                </c:pt>
                <c:pt idx="55" c:formatCode="yyyy/m/d;@">
                  <c:v>45456</c:v>
                </c:pt>
                <c:pt idx="56" c:formatCode="yyyy/m/d;@">
                  <c:v>45463</c:v>
                </c:pt>
                <c:pt idx="57" c:formatCode="yyyy/m/d;@">
                  <c:v>45470</c:v>
                </c:pt>
                <c:pt idx="58" c:formatCode="yyyy/m/d;@">
                  <c:v>45477</c:v>
                </c:pt>
                <c:pt idx="59" c:formatCode="yyyy/m/d;@">
                  <c:v>45484</c:v>
                </c:pt>
                <c:pt idx="60" c:formatCode="yyyy/m/d;@">
                  <c:v>45491</c:v>
                </c:pt>
                <c:pt idx="61" c:formatCode="yyyy/m/d;@">
                  <c:v>45498</c:v>
                </c:pt>
                <c:pt idx="62" c:formatCode="yyyy/m/d;@">
                  <c:v>45505</c:v>
                </c:pt>
                <c:pt idx="63" c:formatCode="yyyy/m/d;@">
                  <c:v>45512</c:v>
                </c:pt>
                <c:pt idx="64" c:formatCode="yyyy/m/d;@">
                  <c:v>45519</c:v>
                </c:pt>
                <c:pt idx="65" c:formatCode="yyyy/m/d;@">
                  <c:v>45526</c:v>
                </c:pt>
                <c:pt idx="66" c:formatCode="yyyy/m/d;@">
                  <c:v>45533</c:v>
                </c:pt>
                <c:pt idx="67" c:formatCode="yyyy/m/d;@">
                  <c:v>45540</c:v>
                </c:pt>
                <c:pt idx="68" c:formatCode="yyyy/m/d;@">
                  <c:v>45547</c:v>
                </c:pt>
                <c:pt idx="69" c:formatCode="yyyy/m/d;@">
                  <c:v>45554</c:v>
                </c:pt>
                <c:pt idx="70" c:formatCode="yyyy/m/d;@">
                  <c:v>45561</c:v>
                </c:pt>
                <c:pt idx="71" c:formatCode="yyyy/m/d;@">
                  <c:v>45575</c:v>
                </c:pt>
                <c:pt idx="72" c:formatCode="yyyy/m/d;@">
                  <c:v>45582</c:v>
                </c:pt>
                <c:pt idx="73" c:formatCode="yyyy/m/d;@">
                  <c:v>45589</c:v>
                </c:pt>
                <c:pt idx="74" c:formatCode="yyyy/m/d;@">
                  <c:v>45596</c:v>
                </c:pt>
                <c:pt idx="75" c:formatCode="yyyy/m/d;@">
                  <c:v>45603</c:v>
                </c:pt>
                <c:pt idx="76" c:formatCode="yyyy/m/d;@">
                  <c:v>45610</c:v>
                </c:pt>
                <c:pt idx="77" c:formatCode="yyyy/m/d;@">
                  <c:v>45617</c:v>
                </c:pt>
                <c:pt idx="78" c:formatCode="yyyy/m/d;@">
                  <c:v>45624</c:v>
                </c:pt>
                <c:pt idx="79" c:formatCode="yyyy/m/d;@">
                  <c:v>45631</c:v>
                </c:pt>
                <c:pt idx="80" c:formatCode="yyyy/m/d;@">
                  <c:v>45638</c:v>
                </c:pt>
                <c:pt idx="81" c:formatCode="yyyy/m/d;@">
                  <c:v>45645</c:v>
                </c:pt>
                <c:pt idx="82" c:formatCode="yyyy/m/d;@">
                  <c:v>45652</c:v>
                </c:pt>
                <c:pt idx="83" c:formatCode="yyyy/m/d;@">
                  <c:v>45659</c:v>
                </c:pt>
                <c:pt idx="84" c:formatCode="yyyy/m/d;@">
                  <c:v>45666</c:v>
                </c:pt>
                <c:pt idx="85" c:formatCode="yyyy/m/d;@">
                  <c:v>45673</c:v>
                </c:pt>
                <c:pt idx="86" c:formatCode="yyyy/m/d;@">
                  <c:v>45680</c:v>
                </c:pt>
                <c:pt idx="87" c:formatCode="yyyy/m/d;@">
                  <c:v>45694</c:v>
                </c:pt>
                <c:pt idx="88" c:formatCode="yyyy/m/d;@">
                  <c:v>45701</c:v>
                </c:pt>
                <c:pt idx="89" c:formatCode="yyyy/m/d;@">
                  <c:v>45708</c:v>
                </c:pt>
                <c:pt idx="90" c:formatCode="yyyy/m/d;@">
                  <c:v>45715</c:v>
                </c:pt>
                <c:pt idx="91" c:formatCode="yyyy/m/d;@">
                  <c:v>45722</c:v>
                </c:pt>
                <c:pt idx="92" c:formatCode="yyyy/m/d;@">
                  <c:v>45729</c:v>
                </c:pt>
                <c:pt idx="93" c:formatCode="yyyy/m/d;@">
                  <c:v>45736</c:v>
                </c:pt>
                <c:pt idx="94" c:formatCode="yyyy/m/d;@">
                  <c:v>45743</c:v>
                </c:pt>
                <c:pt idx="95" c:formatCode="yyyy/m/d;@">
                  <c:v>45750</c:v>
                </c:pt>
                <c:pt idx="96" c:formatCode="yyyy/m/d;@">
                  <c:v>45757</c:v>
                </c:pt>
                <c:pt idx="97" c:formatCode="yyyy/m/d;@">
                  <c:v>45764</c:v>
                </c:pt>
                <c:pt idx="98" c:formatCode="yyyy/m/d;@">
                  <c:v>45771</c:v>
                </c:pt>
                <c:pt idx="99" c:formatCode="yyyy/m/d;@">
                  <c:v>45777</c:v>
                </c:pt>
                <c:pt idx="100" c:formatCode="yyyy/m/d;@">
                  <c:v>45785</c:v>
                </c:pt>
                <c:pt idx="101" c:formatCode="yyyy/m/d;@">
                  <c:v>45792</c:v>
                </c:pt>
                <c:pt idx="102" c:formatCode="yyyy/m/d;@">
                  <c:v>45799</c:v>
                </c:pt>
                <c:pt idx="103" c:formatCode="yyyy/m/d;@">
                  <c:v>45806</c:v>
                </c:pt>
                <c:pt idx="104" c:formatCode="yyyy/m/d;@">
                  <c:v>45813</c:v>
                </c:pt>
                <c:pt idx="105" c:formatCode="yyyy/m/d;@">
                  <c:v>45820</c:v>
                </c:pt>
                <c:pt idx="106" c:formatCode="yyyy/m/d;@">
                  <c:v>45827</c:v>
                </c:pt>
                <c:pt idx="107" c:formatCode="yyyy/m/d;@">
                  <c:v>45834</c:v>
                </c:pt>
                <c:pt idx="108" c:formatCode="yyyy/m/d;@">
                  <c:v>45841</c:v>
                </c:pt>
                <c:pt idx="109" c:formatCode="yyyy/m/d;@">
                  <c:v>45848</c:v>
                </c:pt>
                <c:pt idx="110" c:formatCode="yyyy/m/d;@">
                  <c:v>45855</c:v>
                </c:pt>
                <c:pt idx="111" c:formatCode="yyyy/m/d;@">
                  <c:v>45862</c:v>
                </c:pt>
                <c:pt idx="112" c:formatCode="yyyy/m/d;@">
                  <c:v>45869</c:v>
                </c:pt>
                <c:pt idx="113" c:formatCode="yyyy/m/d;@">
                  <c:v>45876</c:v>
                </c:pt>
                <c:pt idx="114" c:formatCode="yyyy/m/d;@">
                  <c:v>45883</c:v>
                </c:pt>
                <c:pt idx="115" c:formatCode="yyyy/m/d;@">
                  <c:v>45890</c:v>
                </c:pt>
                <c:pt idx="116" c:formatCode="yyyy/m/d;@">
                  <c:v>45897</c:v>
                </c:pt>
                <c:pt idx="117" c:formatCode="yyyy/m/d;@">
                  <c:v>45904</c:v>
                </c:pt>
                <c:pt idx="118" c:formatCode="yyyy/m/d;@">
                  <c:v>45911</c:v>
                </c:pt>
                <c:pt idx="119" c:formatCode="yyyy/m/d;@">
                  <c:v>45918</c:v>
                </c:pt>
                <c:pt idx="120" c:formatCode="yyyy/m/d;@">
                  <c:v>45925</c:v>
                </c:pt>
                <c:pt idx="121" c:formatCode="yyyy/m/d;@">
                  <c:v>45939</c:v>
                </c:pt>
                <c:pt idx="122" c:formatCode="yyyy/m/d;@">
                  <c:v>45946</c:v>
                </c:pt>
                <c:pt idx="123" c:formatCode="yyyy/m/d;@">
                  <c:v>45953</c:v>
                </c:pt>
                <c:pt idx="124" c:formatCode="yyyy/m/d;@">
                  <c:v>45960</c:v>
                </c:pt>
                <c:pt idx="125" c:formatCode="yyyy/m/d;@">
                  <c:v>45967</c:v>
                </c:pt>
                <c:pt idx="126" c:formatCode="yyyy/m/d;@">
                  <c:v>45974</c:v>
                </c:pt>
                <c:pt idx="127" c:formatCode="yyyy/m/d;@">
                  <c:v>45981</c:v>
                </c:pt>
                <c:pt idx="128" c:formatCode="yyyy/m/d;@">
                  <c:v>45988</c:v>
                </c:pt>
                <c:pt idx="129" c:formatCode="yyyy/m/d;@">
                  <c:v>45995</c:v>
                </c:pt>
                <c:pt idx="130" c:formatCode="yyyy/m/d;@">
                  <c:v>46002</c:v>
                </c:pt>
                <c:pt idx="131" c:formatCode="yyyy/m/d;@">
                  <c:v>46009</c:v>
                </c:pt>
                <c:pt idx="132" c:formatCode="yyyy/m/d;@">
                  <c:v>46016</c:v>
                </c:pt>
                <c:pt idx="133" c:formatCode="yyyy/m/d;@">
                  <c:v>46023</c:v>
                </c:pt>
                <c:pt idx="134" c:formatCode="yyyy/m/d;@">
                  <c:v>46030</c:v>
                </c:pt>
                <c:pt idx="135" c:formatCode="yyyy/m/d;@">
                  <c:v>46037</c:v>
                </c:pt>
                <c:pt idx="136" c:formatCode="yyyy/m/d;@">
                  <c:v>46044</c:v>
                </c:pt>
                <c:pt idx="137" c:formatCode="yyyy/m/d;@">
                  <c:v>46051</c:v>
                </c:pt>
                <c:pt idx="138" c:formatCode="yyyy/m/d;@">
                  <c:v>46058</c:v>
                </c:pt>
                <c:pt idx="139" c:formatCode="yyyy/m/d;@">
                  <c:v>46065</c:v>
                </c:pt>
                <c:pt idx="140" c:formatCode="yyyy/m/d;@">
                  <c:v>46079</c:v>
                </c:pt>
                <c:pt idx="141" c:formatCode="yyyy/m/d;@">
                  <c:v>46086</c:v>
                </c:pt>
                <c:pt idx="142" c:formatCode="yyyy/m/d;@">
                  <c:v>46093</c:v>
                </c:pt>
                <c:pt idx="143" c:formatCode="yyyy/m/d;@">
                  <c:v>46100</c:v>
                </c:pt>
                <c:pt idx="144" c:formatCode="yyyy/m/d;@">
                  <c:v>46107</c:v>
                </c:pt>
                <c:pt idx="145" c:formatCode="yyyy/m/d;@">
                  <c:v>46114</c:v>
                </c:pt>
                <c:pt idx="146" c:formatCode="yyyy/m/d;@">
                  <c:v>46121</c:v>
                </c:pt>
                <c:pt idx="147" c:formatCode="yyyy/m/d;@">
                  <c:v>46128</c:v>
                </c:pt>
                <c:pt idx="148" c:formatCode="yyyy/m/d;@">
                  <c:v>46135</c:v>
                </c:pt>
                <c:pt idx="149" c:formatCode="yyyy/m/d;@">
                  <c:v>46142</c:v>
                </c:pt>
                <c:pt idx="150" c:formatCode="yyyy/m/d;@">
                  <c:v>46149</c:v>
                </c:pt>
                <c:pt idx="151" c:formatCode="yyyy/m/d;@">
                  <c:v>46156</c:v>
                </c:pt>
                <c:pt idx="152" c:formatCode="yyyy/m/d;@">
                  <c:v>46163</c:v>
                </c:pt>
                <c:pt idx="153" c:formatCode="yyyy/m/d;@">
                  <c:v>46170</c:v>
                </c:pt>
                <c:pt idx="154" c:formatCode="yyyy/m/d;@">
                  <c:v>46177</c:v>
                </c:pt>
                <c:pt idx="155" c:formatCode="yyyy/m/d;@">
                  <c:v>46184</c:v>
                </c:pt>
                <c:pt idx="156" c:formatCode="yyyy/m/d;@">
                  <c:v>46191</c:v>
                </c:pt>
                <c:pt idx="157" c:formatCode="yyyy/m/d;@">
                  <c:v>46198</c:v>
                </c:pt>
                <c:pt idx="158" c:formatCode="yyyy/m/d;@">
                  <c:v>46205</c:v>
                </c:pt>
                <c:pt idx="159" c:formatCode="yyyy/m/d;@">
                  <c:v>46212</c:v>
                </c:pt>
                <c:pt idx="160" c:formatCode="yyyy/m/d;@">
                  <c:v>46219</c:v>
                </c:pt>
                <c:pt idx="161" c:formatCode="yyyy/m/d;@">
                  <c:v>46226</c:v>
                </c:pt>
                <c:pt idx="162" c:formatCode="yyyy/m/d;@">
                  <c:v>46233</c:v>
                </c:pt>
                <c:pt idx="163" c:formatCode="yyyy/m/d;@">
                  <c:v>46240</c:v>
                </c:pt>
                <c:pt idx="164" c:formatCode="yyyy/m/d;@">
                  <c:v>46247</c:v>
                </c:pt>
                <c:pt idx="165" c:formatCode="yyyy/m/d;@">
                  <c:v>46254</c:v>
                </c:pt>
                <c:pt idx="166" c:formatCode="yyyy/m/d;@">
                  <c:v>46261</c:v>
                </c:pt>
                <c:pt idx="167" c:formatCode="yyyy/m/d;@">
                  <c:v>46268</c:v>
                </c:pt>
                <c:pt idx="168" c:formatCode="yyyy/m/d;@">
                  <c:v>46275</c:v>
                </c:pt>
                <c:pt idx="169" c:formatCode="yyyy/m/d;@">
                  <c:v>46282</c:v>
                </c:pt>
                <c:pt idx="170" c:formatCode="yyyy/m/d;@">
                  <c:v>46289</c:v>
                </c:pt>
              </c:numCache>
            </c:numRef>
          </c:cat>
          <c:val>
            <c:numRef>
              <c:f>'150公斤标肥价差'!$C$4:$C$902</c:f>
              <c:numCache>
                <c:formatCode>#,##0.00_ </c:formatCode>
                <c:ptCount val="899"/>
                <c:pt idx="0">
                  <c:v>-0.01</c:v>
                </c:pt>
                <c:pt idx="1">
                  <c:v>-0.03</c:v>
                </c:pt>
                <c:pt idx="2">
                  <c:v>0</c:v>
                </c:pt>
                <c:pt idx="3">
                  <c:v>-0.01</c:v>
                </c:pt>
                <c:pt idx="4">
                  <c:v>0</c:v>
                </c:pt>
                <c:pt idx="5">
                  <c:v>-0.03</c:v>
                </c:pt>
                <c:pt idx="6">
                  <c:v>-0.02</c:v>
                </c:pt>
                <c:pt idx="7">
                  <c:v>-0.01</c:v>
                </c:pt>
                <c:pt idx="8">
                  <c:v>0.09</c:v>
                </c:pt>
                <c:pt idx="9">
                  <c:v>0.08</c:v>
                </c:pt>
                <c:pt idx="10">
                  <c:v>0.08</c:v>
                </c:pt>
                <c:pt idx="11">
                  <c:v>0.11</c:v>
                </c:pt>
                <c:pt idx="12">
                  <c:v>0.25</c:v>
                </c:pt>
                <c:pt idx="13">
                  <c:v>0.24</c:v>
                </c:pt>
                <c:pt idx="14">
                  <c:v>0.23</c:v>
                </c:pt>
                <c:pt idx="15">
                  <c:v>0.18</c:v>
                </c:pt>
                <c:pt idx="16">
                  <c:v>0.17</c:v>
                </c:pt>
                <c:pt idx="17">
                  <c:v>0.16</c:v>
                </c:pt>
                <c:pt idx="18">
                  <c:v>0.26</c:v>
                </c:pt>
                <c:pt idx="19">
                  <c:v>0.26</c:v>
                </c:pt>
                <c:pt idx="20">
                  <c:v>0.22</c:v>
                </c:pt>
                <c:pt idx="21">
                  <c:v>0.24</c:v>
                </c:pt>
                <c:pt idx="22">
                  <c:v>0.23</c:v>
                </c:pt>
                <c:pt idx="23">
                  <c:v>0.25</c:v>
                </c:pt>
                <c:pt idx="24">
                  <c:v>0.25</c:v>
                </c:pt>
                <c:pt idx="25">
                  <c:v>0.28</c:v>
                </c:pt>
                <c:pt idx="26">
                  <c:v>0.29</c:v>
                </c:pt>
                <c:pt idx="27">
                  <c:v>0.41</c:v>
                </c:pt>
                <c:pt idx="28">
                  <c:v>0.4</c:v>
                </c:pt>
                <c:pt idx="29">
                  <c:v>0.33</c:v>
                </c:pt>
                <c:pt idx="30">
                  <c:v>0.28</c:v>
                </c:pt>
                <c:pt idx="31">
                  <c:v>0.2</c:v>
                </c:pt>
                <c:pt idx="32">
                  <c:v>0.11</c:v>
                </c:pt>
                <c:pt idx="33">
                  <c:v>0.09</c:v>
                </c:pt>
                <c:pt idx="34">
                  <c:v>0.07</c:v>
                </c:pt>
                <c:pt idx="35">
                  <c:v>0.09</c:v>
                </c:pt>
                <c:pt idx="36">
                  <c:v>0.18</c:v>
                </c:pt>
                <c:pt idx="37">
                  <c:v>0.23</c:v>
                </c:pt>
                <c:pt idx="38">
                  <c:v>0.27</c:v>
                </c:pt>
                <c:pt idx="39">
                  <c:v>0.2</c:v>
                </c:pt>
                <c:pt idx="40">
                  <c:v>0.25</c:v>
                </c:pt>
                <c:pt idx="41">
                  <c:v>0.34</c:v>
                </c:pt>
                <c:pt idx="42">
                  <c:v>0.28</c:v>
                </c:pt>
                <c:pt idx="43">
                  <c:v>0.25</c:v>
                </c:pt>
                <c:pt idx="44">
                  <c:v>0.15</c:v>
                </c:pt>
                <c:pt idx="45">
                  <c:v>0.1</c:v>
                </c:pt>
                <c:pt idx="46">
                  <c:v>0.05</c:v>
                </c:pt>
                <c:pt idx="47">
                  <c:v>0.03</c:v>
                </c:pt>
                <c:pt idx="48">
                  <c:v>-0.03</c:v>
                </c:pt>
                <c:pt idx="49">
                  <c:v>-0.04</c:v>
                </c:pt>
                <c:pt idx="50">
                  <c:v>0</c:v>
                </c:pt>
                <c:pt idx="51">
                  <c:v>0.02</c:v>
                </c:pt>
                <c:pt idx="52">
                  <c:v>-0.12</c:v>
                </c:pt>
                <c:pt idx="53">
                  <c:v>-0.03</c:v>
                </c:pt>
                <c:pt idx="54">
                  <c:v>-0.02</c:v>
                </c:pt>
                <c:pt idx="55">
                  <c:v>-0.03</c:v>
                </c:pt>
                <c:pt idx="56">
                  <c:v>-0.02</c:v>
                </c:pt>
                <c:pt idx="57">
                  <c:v>-0.01</c:v>
                </c:pt>
                <c:pt idx="58">
                  <c:v>0.03</c:v>
                </c:pt>
                <c:pt idx="59">
                  <c:v>0.03</c:v>
                </c:pt>
                <c:pt idx="60">
                  <c:v>0.05</c:v>
                </c:pt>
                <c:pt idx="61">
                  <c:v>0.14</c:v>
                </c:pt>
                <c:pt idx="62">
                  <c:v>0.2</c:v>
                </c:pt>
                <c:pt idx="63">
                  <c:v>0.23</c:v>
                </c:pt>
                <c:pt idx="64">
                  <c:v>0.15</c:v>
                </c:pt>
                <c:pt idx="65">
                  <c:v>0.15</c:v>
                </c:pt>
                <c:pt idx="66">
                  <c:v>0.2</c:v>
                </c:pt>
                <c:pt idx="67">
                  <c:v>0.21</c:v>
                </c:pt>
                <c:pt idx="68">
                  <c:v>0.18</c:v>
                </c:pt>
                <c:pt idx="69">
                  <c:v>0.14</c:v>
                </c:pt>
                <c:pt idx="70">
                  <c:v>0.17</c:v>
                </c:pt>
                <c:pt idx="71">
                  <c:v>0.27</c:v>
                </c:pt>
                <c:pt idx="72">
                  <c:v>0.32</c:v>
                </c:pt>
                <c:pt idx="73">
                  <c:v>0.43</c:v>
                </c:pt>
                <c:pt idx="74">
                  <c:v>0.37</c:v>
                </c:pt>
                <c:pt idx="75">
                  <c:v>0.29</c:v>
                </c:pt>
                <c:pt idx="76">
                  <c:v>0.26</c:v>
                </c:pt>
                <c:pt idx="77">
                  <c:v>0.3</c:v>
                </c:pt>
                <c:pt idx="78">
                  <c:v>0.34</c:v>
                </c:pt>
                <c:pt idx="79">
                  <c:v>0.24</c:v>
                </c:pt>
                <c:pt idx="80">
                  <c:v>0.27</c:v>
                </c:pt>
                <c:pt idx="81">
                  <c:v>0.23</c:v>
                </c:pt>
                <c:pt idx="82">
                  <c:v>0.36</c:v>
                </c:pt>
                <c:pt idx="83">
                  <c:v>0.43</c:v>
                </c:pt>
                <c:pt idx="84">
                  <c:v>0.33</c:v>
                </c:pt>
                <c:pt idx="85">
                  <c:v>0.41</c:v>
                </c:pt>
                <c:pt idx="86">
                  <c:v>0.48</c:v>
                </c:pt>
                <c:pt idx="87">
                  <c:v>0.49</c:v>
                </c:pt>
                <c:pt idx="88">
                  <c:v>0.71</c:v>
                </c:pt>
                <c:pt idx="89">
                  <c:v>0.65</c:v>
                </c:pt>
                <c:pt idx="90">
                  <c:v>0.57</c:v>
                </c:pt>
                <c:pt idx="91">
                  <c:v>0.46</c:v>
                </c:pt>
                <c:pt idx="92">
                  <c:v>0.29</c:v>
                </c:pt>
                <c:pt idx="93" c:formatCode="0.00_ ">
                  <c:v>0.2</c:v>
                </c:pt>
                <c:pt idx="94">
                  <c:v>0.17</c:v>
                </c:pt>
                <c:pt idx="95" c:formatCode="0.00_ ">
                  <c:v>0.14</c:v>
                </c:pt>
                <c:pt idx="96">
                  <c:v>0.09</c:v>
                </c:pt>
                <c:pt idx="97">
                  <c:v>0.02</c:v>
                </c:pt>
                <c:pt idx="98">
                  <c:v>0.03</c:v>
                </c:pt>
                <c:pt idx="99">
                  <c:v>0.04</c:v>
                </c:pt>
                <c:pt idx="100">
                  <c:v>0.03</c:v>
                </c:pt>
                <c:pt idx="101" c:formatCode="0.00_ ">
                  <c:v>0.02</c:v>
                </c:pt>
                <c:pt idx="102">
                  <c:v>0.03</c:v>
                </c:pt>
                <c:pt idx="103">
                  <c:v>0.04</c:v>
                </c:pt>
                <c:pt idx="104">
                  <c:v>0.08</c:v>
                </c:pt>
                <c:pt idx="105">
                  <c:v>0.06</c:v>
                </c:pt>
                <c:pt idx="106">
                  <c:v>0.07</c:v>
                </c:pt>
                <c:pt idx="107">
                  <c:v>0.05</c:v>
                </c:pt>
                <c:pt idx="108">
                  <c:v>0.1</c:v>
                </c:pt>
                <c:pt idx="109">
                  <c:v>0.1</c:v>
                </c:pt>
                <c:pt idx="110">
                  <c:v>0.09</c:v>
                </c:pt>
                <c:pt idx="111">
                  <c:v>0.09</c:v>
                </c:pt>
                <c:pt idx="112">
                  <c:v>0.08</c:v>
                </c:pt>
                <c:pt idx="113">
                  <c:v>0.12</c:v>
                </c:pt>
                <c:pt idx="114">
                  <c:v>0.14</c:v>
                </c:pt>
                <c:pt idx="115">
                  <c:v>0.18</c:v>
                </c:pt>
                <c:pt idx="116">
                  <c:v>0.18</c:v>
                </c:pt>
                <c:pt idx="117">
                  <c:v>0.19</c:v>
                </c:pt>
                <c:pt idx="118">
                  <c:v>0.13</c:v>
                </c:pt>
                <c:pt idx="119">
                  <c:v>0.16</c:v>
                </c:pt>
                <c:pt idx="120">
                  <c:v>0.16</c:v>
                </c:pt>
                <c:pt idx="121">
                  <c:v>0.26</c:v>
                </c:pt>
                <c:pt idx="122">
                  <c:v>0.38</c:v>
                </c:pt>
                <c:pt idx="123">
                  <c:v>0.39</c:v>
                </c:pt>
                <c:pt idx="124">
                  <c:v>0.4</c:v>
                </c:pt>
                <c:pt idx="125">
                  <c:v>0.33</c:v>
                </c:pt>
                <c:pt idx="126">
                  <c:v>0.34</c:v>
                </c:pt>
                <c:pt idx="127">
                  <c:v>0.3</c:v>
                </c:pt>
                <c:pt idx="128">
                  <c:v>0.28</c:v>
                </c:pt>
                <c:pt idx="129">
                  <c:v>0.26</c:v>
                </c:pt>
                <c:pt idx="130">
                  <c:v>0.25</c:v>
                </c:pt>
                <c:pt idx="131">
                  <c:v>0.25</c:v>
                </c:pt>
                <c:pt idx="132">
                  <c:v>0.32</c:v>
                </c:pt>
                <c:pt idx="133">
                  <c:v>0.31</c:v>
                </c:pt>
                <c:pt idx="134">
                  <c:v>0.29</c:v>
                </c:pt>
                <c:pt idx="135">
                  <c:v>0.3</c:v>
                </c:pt>
                <c:pt idx="136">
                  <c:v>0.37</c:v>
                </c:pt>
                <c:pt idx="137">
                  <c:v>0.52</c:v>
                </c:pt>
                <c:pt idx="138">
                  <c:v>0.53</c:v>
                </c:pt>
                <c:pt idx="139">
                  <c:v>0.53</c:v>
                </c:pt>
                <c:pt idx="140">
                  <c:v>0.42</c:v>
                </c:pt>
                <c:pt idx="141">
                  <c:v>0.37</c:v>
                </c:pt>
                <c:pt idx="142">
                  <c:v>0.38</c:v>
                </c:pt>
                <c:pt idx="143">
                  <c:v>0.38</c:v>
                </c:pt>
                <c:pt idx="144">
                  <c:v>0.32</c:v>
                </c:pt>
                <c:pt idx="145">
                  <c:v>0.33</c:v>
                </c:pt>
                <c:pt idx="146">
                  <c:v>0.3</c:v>
                </c:pt>
                <c:pt idx="147">
                  <c:v>0.25</c:v>
                </c:pt>
                <c:pt idx="148">
                  <c:v>0.19</c:v>
                </c:pt>
                <c:pt idx="149">
                  <c:v>0.15</c:v>
                </c:pt>
                <c:pt idx="150">
                  <c:v>0.14</c:v>
                </c:pt>
                <c:pt idx="151">
                  <c:v>0.1</c:v>
                </c:pt>
                <c:pt idx="152">
                  <c:v>0.12</c:v>
                </c:pt>
                <c:pt idx="153">
                  <c:v>0.15</c:v>
                </c:pt>
                <c:pt idx="154" c:formatCode="0.00_ ">
                  <c:v>0.11</c:v>
                </c:pt>
                <c:pt idx="155" c:formatCode="0.00_ ">
                  <c:v>0.12</c:v>
                </c:pt>
                <c:pt idx="156" c:formatCode="0.00_ ">
                  <c:v>0.14</c:v>
                </c:pt>
                <c:pt idx="157" c:formatCode="0.00_ ">
                  <c:v>0.28</c:v>
                </c:pt>
                <c:pt idx="158" c:formatCode="0.00_ ">
                  <c:v>0.52</c:v>
                </c:pt>
                <c:pt idx="159" c:formatCode="0.00_ ">
                  <c:v>0.36</c:v>
                </c:pt>
                <c:pt idx="160" c:formatCode="0.00_ ">
                  <c:v>0.34</c:v>
                </c:pt>
                <c:pt idx="161" c:formatCode="0.00_ ">
                  <c:v>0.42</c:v>
                </c:pt>
                <c:pt idx="162" c:formatCode="0.00_ ">
                  <c:v>0.44</c:v>
                </c:pt>
                <c:pt idx="163" c:formatCode="0.00_ ">
                  <c:v>0.48</c:v>
                </c:pt>
                <c:pt idx="164" c:formatCode="0.00_ ">
                  <c:v>0.63</c:v>
                </c:pt>
                <c:pt idx="165" c:formatCode="0.00_ ">
                  <c:v>0.54</c:v>
                </c:pt>
                <c:pt idx="166" c:formatCode="0.00_ ">
                  <c:v>0.51</c:v>
                </c:pt>
                <c:pt idx="167" c:formatCode="0.00_ ">
                  <c:v>0.47</c:v>
                </c:pt>
                <c:pt idx="168" c:formatCode="0.00_ ">
                  <c:v>0.44</c:v>
                </c:pt>
                <c:pt idx="169" c:formatCode="0.00_ ">
                  <c:v>0.42</c:v>
                </c:pt>
                <c:pt idx="170" c:formatCode="0.00_ ">
                  <c:v>0.42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594210237"/>
        <c:axId val="901978759"/>
      </c:lineChart>
      <c:dateAx>
        <c:axId val="594210237"/>
        <c:scaling>
          <c:orientation val="minMax"/>
          <c:min val="45740"/>
        </c:scaling>
        <c:delete val="0"/>
        <c:axPos val="b"/>
        <c:majorTickMark val="cross"/>
        <c:minorTickMark val="none"/>
        <c:tickLblPos val="low"/>
        <c:spPr>
          <a:noFill/>
          <a:ln w="9525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901978759"/>
        <c:crosses val="autoZero"/>
        <c:auto val="1"/>
        <c:lblOffset val="100"/>
        <c:baseTimeUnit val="days"/>
        <c:majorUnit val="2"/>
        <c:majorTimeUnit val="months"/>
      </c:dateAx>
      <c:valAx>
        <c:axId val="901978759"/>
        <c:scaling>
          <c:orientation val="minMax"/>
          <c:max val="1.2"/>
          <c:min val="-0.2"/>
        </c:scaling>
        <c:delete val="0"/>
        <c:axPos val="l"/>
        <c:numFmt formatCode="#,##0.00_ " sourceLinked="1"/>
        <c:majorTickMark val="out"/>
        <c:minorTickMark val="none"/>
        <c:tickLblPos val="low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5942102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dcf09e-25e1-44d9-a9c9-3e6b27dd6757}"/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  <a:sym typeface="宋体" panose="02010600030101010101" pitchFamily="7" charset="-122"/>
        </a:defRPr>
      </a:pPr>
    </a:p>
  </c:txPr>
  <c:externalData r:id="rId1">
    <c:autoUpdate val="0"/>
  </c:externalData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cap="none" spc="2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r>
              <a:rPr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50kg二元母猪价格走势图</a:t>
            </a:r>
            <a:endParaRPr b="1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4966174661747"/>
          <c:y val="0.234259259259259"/>
          <c:w val="0.856978269782698"/>
          <c:h val="0.480416666666667"/>
        </c:manualLayout>
      </c:layout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二元母猪!$A$5:$A$1216</c:f>
              <c:numCache>
                <c:formatCode>yyyy/m/d;@</c:formatCode>
                <c:ptCount val="1212"/>
                <c:pt idx="0" c:formatCode="yyyy/m/d;@">
                  <c:v>44042</c:v>
                </c:pt>
                <c:pt idx="1" c:formatCode="yyyy/m/d;@">
                  <c:v>44049</c:v>
                </c:pt>
                <c:pt idx="2" c:formatCode="yyyy/m/d;@">
                  <c:v>44056</c:v>
                </c:pt>
                <c:pt idx="3" c:formatCode="yyyy/m/d;@">
                  <c:v>44063</c:v>
                </c:pt>
                <c:pt idx="4" c:formatCode="yyyy/m/d;@">
                  <c:v>44070</c:v>
                </c:pt>
                <c:pt idx="5" c:formatCode="yyyy/m/d;@">
                  <c:v>44077</c:v>
                </c:pt>
                <c:pt idx="6" c:formatCode="yyyy/m/d;@">
                  <c:v>44084</c:v>
                </c:pt>
                <c:pt idx="7" c:formatCode="yyyy/m/d;@">
                  <c:v>44091</c:v>
                </c:pt>
                <c:pt idx="8" c:formatCode="yyyy/m/d;@">
                  <c:v>44098</c:v>
                </c:pt>
                <c:pt idx="9" c:formatCode="yyyy/m/d;@">
                  <c:v>44104</c:v>
                </c:pt>
                <c:pt idx="10" c:formatCode="yyyy/m/d;@">
                  <c:v>44112</c:v>
                </c:pt>
                <c:pt idx="11" c:formatCode="yyyy/m/d;@">
                  <c:v>44119</c:v>
                </c:pt>
                <c:pt idx="12" c:formatCode="yyyy/m/d;@">
                  <c:v>44126</c:v>
                </c:pt>
                <c:pt idx="13" c:formatCode="yyyy/m/d;@">
                  <c:v>44133</c:v>
                </c:pt>
                <c:pt idx="14" c:formatCode="yyyy/m/d;@">
                  <c:v>44140</c:v>
                </c:pt>
                <c:pt idx="15" c:formatCode="yyyy/m/d;@">
                  <c:v>44147</c:v>
                </c:pt>
                <c:pt idx="16" c:formatCode="yyyy/m/d;@">
                  <c:v>44154</c:v>
                </c:pt>
                <c:pt idx="17" c:formatCode="yyyy/m/d;@">
                  <c:v>44161</c:v>
                </c:pt>
                <c:pt idx="18" c:formatCode="yyyy/m/d;@">
                  <c:v>44168</c:v>
                </c:pt>
                <c:pt idx="19" c:formatCode="yyyy/m/d;@">
                  <c:v>44175</c:v>
                </c:pt>
                <c:pt idx="20" c:formatCode="yyyy/m/d;@">
                  <c:v>44182</c:v>
                </c:pt>
                <c:pt idx="21" c:formatCode="yyyy/m/d;@">
                  <c:v>44189</c:v>
                </c:pt>
                <c:pt idx="22" c:formatCode="yyyy/m/d;@">
                  <c:v>44196</c:v>
                </c:pt>
                <c:pt idx="23" c:formatCode="yyyy/m/d;@">
                  <c:v>44203</c:v>
                </c:pt>
                <c:pt idx="24" c:formatCode="yyyy/m/d;@">
                  <c:v>44210</c:v>
                </c:pt>
                <c:pt idx="25" c:formatCode="yyyy/m/d;@">
                  <c:v>44217</c:v>
                </c:pt>
                <c:pt idx="26" c:formatCode="yyyy/m/d;@">
                  <c:v>44224</c:v>
                </c:pt>
                <c:pt idx="27" c:formatCode="yyyy/m/d;@">
                  <c:v>44231</c:v>
                </c:pt>
                <c:pt idx="28" c:formatCode="yyyy/m/d;@">
                  <c:v>44245</c:v>
                </c:pt>
                <c:pt idx="29" c:formatCode="yyyy/m/d;@">
                  <c:v>44252</c:v>
                </c:pt>
                <c:pt idx="30" c:formatCode="yyyy/m/d;@">
                  <c:v>44259</c:v>
                </c:pt>
                <c:pt idx="31" c:formatCode="yyyy/m/d;@">
                  <c:v>44266</c:v>
                </c:pt>
                <c:pt idx="32" c:formatCode="yyyy/m/d;@">
                  <c:v>44273</c:v>
                </c:pt>
                <c:pt idx="33" c:formatCode="yyyy/m/d;@">
                  <c:v>44280</c:v>
                </c:pt>
                <c:pt idx="34" c:formatCode="yyyy/m/d;@">
                  <c:v>44287</c:v>
                </c:pt>
                <c:pt idx="35" c:formatCode="yyyy/m/d;@">
                  <c:v>44294</c:v>
                </c:pt>
                <c:pt idx="36" c:formatCode="yyyy/m/d;@">
                  <c:v>44301</c:v>
                </c:pt>
                <c:pt idx="37" c:formatCode="yyyy/m/d;@">
                  <c:v>44308</c:v>
                </c:pt>
                <c:pt idx="38" c:formatCode="yyyy/m/d;@">
                  <c:v>44315</c:v>
                </c:pt>
                <c:pt idx="39" c:formatCode="yyyy/m/d;@">
                  <c:v>44322</c:v>
                </c:pt>
                <c:pt idx="40" c:formatCode="yyyy/m/d;@">
                  <c:v>44329</c:v>
                </c:pt>
                <c:pt idx="41" c:formatCode="yyyy/m/d;@">
                  <c:v>44336</c:v>
                </c:pt>
                <c:pt idx="42" c:formatCode="yyyy/m/d;@">
                  <c:v>44343</c:v>
                </c:pt>
                <c:pt idx="43" c:formatCode="yyyy/m/d;@">
                  <c:v>44350</c:v>
                </c:pt>
                <c:pt idx="44" c:formatCode="yyyy/m/d;@">
                  <c:v>44357</c:v>
                </c:pt>
                <c:pt idx="45" c:formatCode="yyyy/m/d;@">
                  <c:v>44364</c:v>
                </c:pt>
                <c:pt idx="46" c:formatCode="yyyy/m/d;@">
                  <c:v>44371</c:v>
                </c:pt>
                <c:pt idx="47" c:formatCode="yyyy/m/d;@">
                  <c:v>44378</c:v>
                </c:pt>
                <c:pt idx="48" c:formatCode="yyyy/m/d;@">
                  <c:v>44385</c:v>
                </c:pt>
                <c:pt idx="49" c:formatCode="yyyy/m/d;@">
                  <c:v>44392</c:v>
                </c:pt>
                <c:pt idx="50" c:formatCode="yyyy/m/d;@">
                  <c:v>44399</c:v>
                </c:pt>
                <c:pt idx="51" c:formatCode="yyyy/m/d;@">
                  <c:v>44406</c:v>
                </c:pt>
                <c:pt idx="52" c:formatCode="yyyy/m/d;@">
                  <c:v>44413</c:v>
                </c:pt>
                <c:pt idx="53" c:formatCode="yyyy/m/d;@">
                  <c:v>44420</c:v>
                </c:pt>
                <c:pt idx="54" c:formatCode="yyyy/m/d;@">
                  <c:v>44427</c:v>
                </c:pt>
                <c:pt idx="55" c:formatCode="yyyy/m/d;@">
                  <c:v>44434</c:v>
                </c:pt>
                <c:pt idx="56" c:formatCode="yyyy/m/d;@">
                  <c:v>44441</c:v>
                </c:pt>
                <c:pt idx="57" c:formatCode="yyyy/m/d;@">
                  <c:v>44448</c:v>
                </c:pt>
                <c:pt idx="58" c:formatCode="yyyy/m/d;@">
                  <c:v>44455</c:v>
                </c:pt>
                <c:pt idx="59" c:formatCode="yyyy/m/d;@">
                  <c:v>44462</c:v>
                </c:pt>
                <c:pt idx="60" c:formatCode="yyyy/m/d;@">
                  <c:v>44469</c:v>
                </c:pt>
                <c:pt idx="61" c:formatCode="yyyy/m/d;@">
                  <c:v>44477</c:v>
                </c:pt>
                <c:pt idx="62" c:formatCode="yyyy/m/d;@">
                  <c:v>44483</c:v>
                </c:pt>
                <c:pt idx="63" c:formatCode="yyyy/m/d;@">
                  <c:v>44490</c:v>
                </c:pt>
                <c:pt idx="64" c:formatCode="yyyy/m/d;@">
                  <c:v>44497</c:v>
                </c:pt>
                <c:pt idx="65" c:formatCode="yyyy/m/d;@">
                  <c:v>44504</c:v>
                </c:pt>
                <c:pt idx="66" c:formatCode="yyyy/m/d;@">
                  <c:v>44511</c:v>
                </c:pt>
                <c:pt idx="67" c:formatCode="yyyy/m/d;@">
                  <c:v>44518</c:v>
                </c:pt>
                <c:pt idx="68" c:formatCode="yyyy/m/d;@">
                  <c:v>44525</c:v>
                </c:pt>
                <c:pt idx="69" c:formatCode="yyyy/m/d;@">
                  <c:v>44532</c:v>
                </c:pt>
                <c:pt idx="70" c:formatCode="yyyy/m/d;@">
                  <c:v>44539</c:v>
                </c:pt>
                <c:pt idx="71" c:formatCode="yyyy/m/d;@">
                  <c:v>44546</c:v>
                </c:pt>
                <c:pt idx="72" c:formatCode="yyyy/m/d;@">
                  <c:v>44553</c:v>
                </c:pt>
                <c:pt idx="73" c:formatCode="yyyy/m/d;@">
                  <c:v>44560</c:v>
                </c:pt>
                <c:pt idx="74" c:formatCode="yyyy/m/d;@">
                  <c:v>44567</c:v>
                </c:pt>
                <c:pt idx="75" c:formatCode="yyyy/m/d;@">
                  <c:v>44574</c:v>
                </c:pt>
                <c:pt idx="76" c:formatCode="yyyy/m/d;@">
                  <c:v>44581</c:v>
                </c:pt>
                <c:pt idx="77" c:formatCode="yyyy/m/d;@">
                  <c:v>44587</c:v>
                </c:pt>
                <c:pt idx="78" c:formatCode="yyyy/m/d;@">
                  <c:v>44602</c:v>
                </c:pt>
                <c:pt idx="79" c:formatCode="yyyy/m/d;@">
                  <c:v>44609</c:v>
                </c:pt>
                <c:pt idx="80" c:formatCode="yyyy/m/d;@">
                  <c:v>44616</c:v>
                </c:pt>
                <c:pt idx="81" c:formatCode="yyyy/m/d;@">
                  <c:v>44623</c:v>
                </c:pt>
                <c:pt idx="82" c:formatCode="yyyy/m/d;@">
                  <c:v>44630</c:v>
                </c:pt>
                <c:pt idx="83" c:formatCode="yyyy/m/d;@">
                  <c:v>44637</c:v>
                </c:pt>
                <c:pt idx="84" c:formatCode="yyyy/m/d;@">
                  <c:v>44644</c:v>
                </c:pt>
                <c:pt idx="85" c:formatCode="yyyy/m/d;@">
                  <c:v>44651</c:v>
                </c:pt>
                <c:pt idx="86" c:formatCode="yyyy/m/d;@">
                  <c:v>44658</c:v>
                </c:pt>
                <c:pt idx="87" c:formatCode="yyyy/m/d;@">
                  <c:v>44665</c:v>
                </c:pt>
                <c:pt idx="88" c:formatCode="yyyy/m/d;@">
                  <c:v>44672</c:v>
                </c:pt>
                <c:pt idx="89" c:formatCode="yyyy/m/d;@">
                  <c:v>44679</c:v>
                </c:pt>
                <c:pt idx="90" c:formatCode="yyyy/m/d;@">
                  <c:v>44686</c:v>
                </c:pt>
                <c:pt idx="91" c:formatCode="yyyy/m/d;@">
                  <c:v>44693</c:v>
                </c:pt>
                <c:pt idx="92" c:formatCode="yyyy/m/d;@">
                  <c:v>44700</c:v>
                </c:pt>
                <c:pt idx="93" c:formatCode="yyyy/m/d;@">
                  <c:v>44707</c:v>
                </c:pt>
                <c:pt idx="94" c:formatCode="yyyy/m/d;@">
                  <c:v>44714</c:v>
                </c:pt>
                <c:pt idx="95" c:formatCode="yyyy/m/d;@">
                  <c:v>44721</c:v>
                </c:pt>
                <c:pt idx="96" c:formatCode="yyyy/m/d;@">
                  <c:v>44728</c:v>
                </c:pt>
                <c:pt idx="97" c:formatCode="yyyy/m/d;@">
                  <c:v>44735</c:v>
                </c:pt>
                <c:pt idx="98" c:formatCode="yyyy/m/d;@">
                  <c:v>44742</c:v>
                </c:pt>
                <c:pt idx="99" c:formatCode="yyyy/m/d;@">
                  <c:v>44749</c:v>
                </c:pt>
                <c:pt idx="100" c:formatCode="yyyy/m/d;@">
                  <c:v>44756</c:v>
                </c:pt>
                <c:pt idx="101" c:formatCode="yyyy/m/d;@">
                  <c:v>44763</c:v>
                </c:pt>
                <c:pt idx="102" c:formatCode="yyyy/m/d;@">
                  <c:v>44770</c:v>
                </c:pt>
                <c:pt idx="103" c:formatCode="yyyy/m/d;@">
                  <c:v>44777</c:v>
                </c:pt>
                <c:pt idx="104" c:formatCode="yyyy/m/d;@">
                  <c:v>44784</c:v>
                </c:pt>
                <c:pt idx="105" c:formatCode="yyyy/m/d;@">
                  <c:v>44791</c:v>
                </c:pt>
                <c:pt idx="106" c:formatCode="yyyy/m/d;@">
                  <c:v>44798</c:v>
                </c:pt>
                <c:pt idx="107" c:formatCode="yyyy/m/d;@">
                  <c:v>44805</c:v>
                </c:pt>
                <c:pt idx="108" c:formatCode="yyyy/m/d;@">
                  <c:v>44812</c:v>
                </c:pt>
                <c:pt idx="109" c:formatCode="yyyy/m/d;@">
                  <c:v>44819</c:v>
                </c:pt>
                <c:pt idx="110" c:formatCode="yyyy/m/d;@">
                  <c:v>44826</c:v>
                </c:pt>
                <c:pt idx="111" c:formatCode="yyyy/m/d;@">
                  <c:v>44833</c:v>
                </c:pt>
                <c:pt idx="112" c:formatCode="yyyy/m/d;@">
                  <c:v>44842</c:v>
                </c:pt>
                <c:pt idx="113" c:formatCode="yyyy/m/d;@">
                  <c:v>44847</c:v>
                </c:pt>
                <c:pt idx="114" c:formatCode="yyyy/m/d;@">
                  <c:v>44854</c:v>
                </c:pt>
                <c:pt idx="115" c:formatCode="yyyy/m/d;@">
                  <c:v>44861</c:v>
                </c:pt>
                <c:pt idx="116" c:formatCode="yyyy/m/d;@">
                  <c:v>44868</c:v>
                </c:pt>
                <c:pt idx="117" c:formatCode="yyyy/m/d;@">
                  <c:v>44875</c:v>
                </c:pt>
                <c:pt idx="118" c:formatCode="yyyy/m/d;@">
                  <c:v>44882</c:v>
                </c:pt>
                <c:pt idx="119" c:formatCode="yyyy/m/d;@">
                  <c:v>44889</c:v>
                </c:pt>
                <c:pt idx="120" c:formatCode="yyyy/m/d;@">
                  <c:v>44896</c:v>
                </c:pt>
                <c:pt idx="121" c:formatCode="yyyy/m/d;@">
                  <c:v>44903</c:v>
                </c:pt>
                <c:pt idx="122" c:formatCode="yyyy/m/d;@">
                  <c:v>44910</c:v>
                </c:pt>
                <c:pt idx="123" c:formatCode="yyyy/m/d;@">
                  <c:v>44917</c:v>
                </c:pt>
                <c:pt idx="124" c:formatCode="yyyy/m/d;@">
                  <c:v>44924</c:v>
                </c:pt>
                <c:pt idx="125" c:formatCode="yyyy/m/d;@">
                  <c:v>44931</c:v>
                </c:pt>
                <c:pt idx="126" c:formatCode="yyyy/m/d;@">
                  <c:v>44938</c:v>
                </c:pt>
                <c:pt idx="127" c:formatCode="yyyy/m/d;@">
                  <c:v>44959</c:v>
                </c:pt>
                <c:pt idx="128" c:formatCode="yyyy/m/d;@">
                  <c:v>44966</c:v>
                </c:pt>
                <c:pt idx="129" c:formatCode="yyyy/m/d;@">
                  <c:v>44973</c:v>
                </c:pt>
                <c:pt idx="130" c:formatCode="yyyy/m/d;@">
                  <c:v>44980</c:v>
                </c:pt>
                <c:pt idx="131" c:formatCode="yyyy/m/d;@">
                  <c:v>44987</c:v>
                </c:pt>
                <c:pt idx="132" c:formatCode="yyyy/m/d;@">
                  <c:v>44994</c:v>
                </c:pt>
                <c:pt idx="133" c:formatCode="yyyy/m/d;@">
                  <c:v>45001</c:v>
                </c:pt>
                <c:pt idx="134" c:formatCode="yyyy/m/d;@">
                  <c:v>45008</c:v>
                </c:pt>
                <c:pt idx="135" c:formatCode="yyyy/m/d;@">
                  <c:v>45015</c:v>
                </c:pt>
                <c:pt idx="136" c:formatCode="yyyy/m/d;@">
                  <c:v>45022</c:v>
                </c:pt>
                <c:pt idx="137" c:formatCode="yyyy/m/d;@">
                  <c:v>45029</c:v>
                </c:pt>
                <c:pt idx="138" c:formatCode="yyyy/m/d;@">
                  <c:v>45036</c:v>
                </c:pt>
                <c:pt idx="139" c:formatCode="yyyy/m/d;@">
                  <c:v>45043</c:v>
                </c:pt>
                <c:pt idx="140" c:formatCode="yyyy/m/d;@">
                  <c:v>45050</c:v>
                </c:pt>
                <c:pt idx="141" c:formatCode="yyyy/m/d;@">
                  <c:v>45057</c:v>
                </c:pt>
                <c:pt idx="142" c:formatCode="yyyy/m/d;@">
                  <c:v>45064</c:v>
                </c:pt>
                <c:pt idx="143" c:formatCode="yyyy/m/d;@">
                  <c:v>45071</c:v>
                </c:pt>
                <c:pt idx="144" c:formatCode="yyyy/m/d;@">
                  <c:v>45078</c:v>
                </c:pt>
                <c:pt idx="145" c:formatCode="yyyy/m/d;@">
                  <c:v>45085</c:v>
                </c:pt>
                <c:pt idx="146" c:formatCode="yyyy/m/d;@">
                  <c:v>45092</c:v>
                </c:pt>
                <c:pt idx="147" c:formatCode="yyyy/m/d;@">
                  <c:v>45098</c:v>
                </c:pt>
                <c:pt idx="148" c:formatCode="yyyy/m/d;@">
                  <c:v>45106</c:v>
                </c:pt>
                <c:pt idx="149" c:formatCode="yyyy/m/d;@">
                  <c:v>45113</c:v>
                </c:pt>
                <c:pt idx="150" c:formatCode="yyyy/m/d;@">
                  <c:v>45120</c:v>
                </c:pt>
                <c:pt idx="151" c:formatCode="yyyy/m/d;@">
                  <c:v>45127</c:v>
                </c:pt>
                <c:pt idx="152" c:formatCode="yyyy/m/d;@">
                  <c:v>45134</c:v>
                </c:pt>
                <c:pt idx="153" c:formatCode="yyyy/m/d;@">
                  <c:v>45141</c:v>
                </c:pt>
                <c:pt idx="154" c:formatCode="yyyy/m/d;@">
                  <c:v>45148</c:v>
                </c:pt>
                <c:pt idx="155" c:formatCode="yyyy/m/d;@">
                  <c:v>45155</c:v>
                </c:pt>
                <c:pt idx="156" c:formatCode="yyyy/m/d;@">
                  <c:v>45162</c:v>
                </c:pt>
                <c:pt idx="157" c:formatCode="yyyy/m/d;@">
                  <c:v>45169</c:v>
                </c:pt>
                <c:pt idx="158" c:formatCode="yyyy/m/d;@">
                  <c:v>45176</c:v>
                </c:pt>
                <c:pt idx="159" c:formatCode="yyyy/m/d;@">
                  <c:v>45183</c:v>
                </c:pt>
                <c:pt idx="160" c:formatCode="yyyy/m/d;@">
                  <c:v>45190</c:v>
                </c:pt>
                <c:pt idx="161" c:formatCode="yyyy/m/d;@">
                  <c:v>45197</c:v>
                </c:pt>
                <c:pt idx="162" c:formatCode="yyyy/m/d;@">
                  <c:v>45205</c:v>
                </c:pt>
                <c:pt idx="163" c:formatCode="yyyy/m/d;@">
                  <c:v>45211</c:v>
                </c:pt>
                <c:pt idx="164" c:formatCode="yyyy/m/d;@">
                  <c:v>45218</c:v>
                </c:pt>
                <c:pt idx="165" c:formatCode="yyyy/m/d;@">
                  <c:v>45225</c:v>
                </c:pt>
                <c:pt idx="166" c:formatCode="yyyy/m/d;@">
                  <c:v>45232</c:v>
                </c:pt>
                <c:pt idx="167" c:formatCode="yyyy/m/d;@">
                  <c:v>45239</c:v>
                </c:pt>
                <c:pt idx="168" c:formatCode="yyyy/m/d;@">
                  <c:v>45246</c:v>
                </c:pt>
                <c:pt idx="169" c:formatCode="yyyy/m/d;@">
                  <c:v>45253</c:v>
                </c:pt>
                <c:pt idx="170" c:formatCode="yyyy/m/d;@">
                  <c:v>45260</c:v>
                </c:pt>
                <c:pt idx="171" c:formatCode="yyyy/m/d;@">
                  <c:v>45267</c:v>
                </c:pt>
                <c:pt idx="172" c:formatCode="yyyy/m/d;@">
                  <c:v>45274</c:v>
                </c:pt>
                <c:pt idx="173" c:formatCode="yyyy/m/d;@">
                  <c:v>45281</c:v>
                </c:pt>
                <c:pt idx="174" c:formatCode="yyyy/m/d;@">
                  <c:v>45288</c:v>
                </c:pt>
                <c:pt idx="175" c:formatCode="yyyy/m/d;@">
                  <c:v>45295</c:v>
                </c:pt>
                <c:pt idx="176" c:formatCode="yyyy/m/d;@">
                  <c:v>45302</c:v>
                </c:pt>
                <c:pt idx="177" c:formatCode="yyyy/m/d;@">
                  <c:v>45309</c:v>
                </c:pt>
                <c:pt idx="178" c:formatCode="yyyy/m/d;@">
                  <c:v>45316</c:v>
                </c:pt>
                <c:pt idx="179" c:formatCode="yyyy/m/d;@">
                  <c:v>45323</c:v>
                </c:pt>
                <c:pt idx="180" c:formatCode="yyyy/m/d;@">
                  <c:v>45344</c:v>
                </c:pt>
                <c:pt idx="181" c:formatCode="yyyy/m/d;@">
                  <c:v>45351</c:v>
                </c:pt>
                <c:pt idx="182" c:formatCode="yyyy/m/d;@">
                  <c:v>45358</c:v>
                </c:pt>
                <c:pt idx="183" c:formatCode="yyyy/m/d;@">
                  <c:v>45365</c:v>
                </c:pt>
                <c:pt idx="184" c:formatCode="yyyy/m/d;@">
                  <c:v>45372</c:v>
                </c:pt>
                <c:pt idx="185" c:formatCode="yyyy/m/d;@">
                  <c:v>45379</c:v>
                </c:pt>
                <c:pt idx="186" c:formatCode="yyyy/m/d;@">
                  <c:v>45385</c:v>
                </c:pt>
                <c:pt idx="187" c:formatCode="yyyy/m/d;@">
                  <c:v>45393</c:v>
                </c:pt>
                <c:pt idx="188" c:formatCode="yyyy/m/d;@">
                  <c:v>45400</c:v>
                </c:pt>
                <c:pt idx="189" c:formatCode="yyyy/m/d;@">
                  <c:v>45407</c:v>
                </c:pt>
                <c:pt idx="190" c:formatCode="yyyy/m/d;@">
                  <c:v>45414</c:v>
                </c:pt>
                <c:pt idx="191" c:formatCode="yyyy/m/d;@">
                  <c:v>45421</c:v>
                </c:pt>
                <c:pt idx="192" c:formatCode="yyyy/m/d;@">
                  <c:v>45428</c:v>
                </c:pt>
                <c:pt idx="193" c:formatCode="yyyy/m/d;@">
                  <c:v>45435</c:v>
                </c:pt>
                <c:pt idx="194" c:formatCode="yyyy/m/d;@">
                  <c:v>45442</c:v>
                </c:pt>
                <c:pt idx="195" c:formatCode="yyyy/m/d;@">
                  <c:v>45449</c:v>
                </c:pt>
                <c:pt idx="196" c:formatCode="yyyy/m/d;@">
                  <c:v>45456</c:v>
                </c:pt>
                <c:pt idx="197" c:formatCode="yyyy/m/d;@">
                  <c:v>45463</c:v>
                </c:pt>
                <c:pt idx="198" c:formatCode="yyyy/m/d;@">
                  <c:v>45470</c:v>
                </c:pt>
                <c:pt idx="199" c:formatCode="yyyy/m/d;@">
                  <c:v>45477</c:v>
                </c:pt>
                <c:pt idx="200" c:formatCode="yyyy/m/d;@">
                  <c:v>45484</c:v>
                </c:pt>
                <c:pt idx="201" c:formatCode="yyyy/m/d;@">
                  <c:v>45491</c:v>
                </c:pt>
                <c:pt idx="202" c:formatCode="yyyy/m/d;@">
                  <c:v>45498</c:v>
                </c:pt>
                <c:pt idx="203" c:formatCode="yyyy/m/d;@">
                  <c:v>45505</c:v>
                </c:pt>
                <c:pt idx="204" c:formatCode="yyyy/m/d;@">
                  <c:v>45512</c:v>
                </c:pt>
                <c:pt idx="205" c:formatCode="yyyy/m/d;@">
                  <c:v>45519</c:v>
                </c:pt>
                <c:pt idx="206" c:formatCode="yyyy/m/d;@">
                  <c:v>45526</c:v>
                </c:pt>
                <c:pt idx="207" c:formatCode="yyyy/m/d;@">
                  <c:v>45533</c:v>
                </c:pt>
                <c:pt idx="208" c:formatCode="yyyy/m/d;@">
                  <c:v>45540</c:v>
                </c:pt>
                <c:pt idx="209" c:formatCode="yyyy/m/d;@">
                  <c:v>45547</c:v>
                </c:pt>
                <c:pt idx="210" c:formatCode="yyyy/m/d;@">
                  <c:v>45554</c:v>
                </c:pt>
                <c:pt idx="211" c:formatCode="yyyy/m/d;@">
                  <c:v>45561</c:v>
                </c:pt>
                <c:pt idx="212" c:formatCode="yyyy/m/d;@">
                  <c:v>45575</c:v>
                </c:pt>
                <c:pt idx="213" c:formatCode="yyyy/m/d;@">
                  <c:v>45582</c:v>
                </c:pt>
                <c:pt idx="214" c:formatCode="yyyy/m/d;@">
                  <c:v>45589</c:v>
                </c:pt>
                <c:pt idx="215" c:formatCode="yyyy/m/d;@">
                  <c:v>45596</c:v>
                </c:pt>
                <c:pt idx="216" c:formatCode="yyyy/m/d;@">
                  <c:v>45603</c:v>
                </c:pt>
                <c:pt idx="217" c:formatCode="yyyy/m/d;@">
                  <c:v>45610</c:v>
                </c:pt>
                <c:pt idx="218" c:formatCode="yyyy/m/d;@">
                  <c:v>45617</c:v>
                </c:pt>
                <c:pt idx="219" c:formatCode="yyyy/m/d;@">
                  <c:v>45624</c:v>
                </c:pt>
                <c:pt idx="220" c:formatCode="yyyy/m/d;@">
                  <c:v>45631</c:v>
                </c:pt>
                <c:pt idx="221" c:formatCode="yyyy/m/d;@">
                  <c:v>45638</c:v>
                </c:pt>
                <c:pt idx="222" c:formatCode="yyyy/m/d;@">
                  <c:v>45645</c:v>
                </c:pt>
                <c:pt idx="223" c:formatCode="yyyy/m/d;@">
                  <c:v>45652</c:v>
                </c:pt>
                <c:pt idx="224" c:formatCode="yyyy/m/d;@">
                  <c:v>45659</c:v>
                </c:pt>
                <c:pt idx="225" c:formatCode="yyyy/m/d;@">
                  <c:v>45666</c:v>
                </c:pt>
                <c:pt idx="226" c:formatCode="yyyy/m/d;@">
                  <c:v>45673</c:v>
                </c:pt>
                <c:pt idx="227" c:formatCode="yyyy/m/d;@">
                  <c:v>45680</c:v>
                </c:pt>
                <c:pt idx="228" c:formatCode="yyyy/m/d;@">
                  <c:v>45694</c:v>
                </c:pt>
                <c:pt idx="229" c:formatCode="yyyy/m/d;@">
                  <c:v>45701</c:v>
                </c:pt>
                <c:pt idx="230" c:formatCode="yyyy/m/d;@">
                  <c:v>45708</c:v>
                </c:pt>
                <c:pt idx="231" c:formatCode="yyyy/m/d;@">
                  <c:v>45715</c:v>
                </c:pt>
                <c:pt idx="232" c:formatCode="yyyy/m/d;@">
                  <c:v>45722</c:v>
                </c:pt>
                <c:pt idx="233" c:formatCode="yyyy/m/d;@">
                  <c:v>45729</c:v>
                </c:pt>
                <c:pt idx="234" c:formatCode="yyyy/m/d;@">
                  <c:v>45736</c:v>
                </c:pt>
                <c:pt idx="235" c:formatCode="yyyy/m/d;@">
                  <c:v>45743</c:v>
                </c:pt>
                <c:pt idx="236" c:formatCode="yyyy/m/d;@">
                  <c:v>45750</c:v>
                </c:pt>
                <c:pt idx="237" c:formatCode="yyyy/m/d;@">
                  <c:v>45757</c:v>
                </c:pt>
                <c:pt idx="238" c:formatCode="yyyy/m/d;@">
                  <c:v>45764</c:v>
                </c:pt>
                <c:pt idx="239" c:formatCode="yyyy/m/d;@">
                  <c:v>45771</c:v>
                </c:pt>
                <c:pt idx="240" c:formatCode="yyyy/m/d;@">
                  <c:v>45777</c:v>
                </c:pt>
                <c:pt idx="241" c:formatCode="yyyy/m/d;@">
                  <c:v>45785</c:v>
                </c:pt>
                <c:pt idx="242" c:formatCode="yyyy/m/d;@">
                  <c:v>45792</c:v>
                </c:pt>
                <c:pt idx="243" c:formatCode="yyyy/m/d;@">
                  <c:v>45799</c:v>
                </c:pt>
                <c:pt idx="244" c:formatCode="yyyy/m/d;@">
                  <c:v>45806</c:v>
                </c:pt>
                <c:pt idx="245" c:formatCode="yyyy/m/d;@">
                  <c:v>45813</c:v>
                </c:pt>
                <c:pt idx="246" c:formatCode="yyyy/m/d;@">
                  <c:v>45820</c:v>
                </c:pt>
                <c:pt idx="247" c:formatCode="yyyy/m/d;@">
                  <c:v>45827</c:v>
                </c:pt>
                <c:pt idx="248" c:formatCode="yyyy/m/d;@">
                  <c:v>45834</c:v>
                </c:pt>
                <c:pt idx="249" c:formatCode="yyyy/m/d;@">
                  <c:v>45841</c:v>
                </c:pt>
                <c:pt idx="250" c:formatCode="yyyy/m/d;@">
                  <c:v>45848</c:v>
                </c:pt>
                <c:pt idx="251" c:formatCode="yyyy/m/d;@">
                  <c:v>45855</c:v>
                </c:pt>
                <c:pt idx="252" c:formatCode="yyyy/m/d;@">
                  <c:v>45862</c:v>
                </c:pt>
                <c:pt idx="253" c:formatCode="yyyy/m/d;@">
                  <c:v>45869</c:v>
                </c:pt>
                <c:pt idx="254" c:formatCode="yyyy/m/d;@">
                  <c:v>45876</c:v>
                </c:pt>
                <c:pt idx="255" c:formatCode="yyyy/m/d;@">
                  <c:v>45883</c:v>
                </c:pt>
                <c:pt idx="256" c:formatCode="yyyy/m/d;@">
                  <c:v>45890</c:v>
                </c:pt>
                <c:pt idx="257" c:formatCode="yyyy/m/d;@">
                  <c:v>45897</c:v>
                </c:pt>
                <c:pt idx="258" c:formatCode="yyyy/m/d;@">
                  <c:v>45904</c:v>
                </c:pt>
                <c:pt idx="259" c:formatCode="yyyy/m/d;@">
                  <c:v>45911</c:v>
                </c:pt>
                <c:pt idx="260" c:formatCode="yyyy/m/d;@">
                  <c:v>45918</c:v>
                </c:pt>
                <c:pt idx="261" c:formatCode="yyyy/m/d;@">
                  <c:v>45925</c:v>
                </c:pt>
                <c:pt idx="262" c:formatCode="yyyy/m/d;@">
                  <c:v>45939</c:v>
                </c:pt>
                <c:pt idx="263" c:formatCode="yyyy/m/d;@">
                  <c:v>45946</c:v>
                </c:pt>
                <c:pt idx="264" c:formatCode="yyyy/m/d;@">
                  <c:v>45953</c:v>
                </c:pt>
                <c:pt idx="265" c:formatCode="yyyy/m/d;@">
                  <c:v>45960</c:v>
                </c:pt>
                <c:pt idx="266" c:formatCode="yyyy/m/d;@">
                  <c:v>45967</c:v>
                </c:pt>
                <c:pt idx="267" c:formatCode="yyyy/m/d;@">
                  <c:v>45974</c:v>
                </c:pt>
                <c:pt idx="268" c:formatCode="yyyy/m/d;@">
                  <c:v>45981</c:v>
                </c:pt>
                <c:pt idx="269" c:formatCode="yyyy/m/d;@">
                  <c:v>45988</c:v>
                </c:pt>
                <c:pt idx="270" c:formatCode="yyyy/m/d;@">
                  <c:v>45995</c:v>
                </c:pt>
                <c:pt idx="271" c:formatCode="yyyy/m/d;@">
                  <c:v>46002</c:v>
                </c:pt>
                <c:pt idx="272" c:formatCode="yyyy/m/d;@">
                  <c:v>46009</c:v>
                </c:pt>
                <c:pt idx="273" c:formatCode="yyyy/m/d;@">
                  <c:v>46016</c:v>
                </c:pt>
                <c:pt idx="274" c:formatCode="yyyy/m/d;@">
                  <c:v>46023</c:v>
                </c:pt>
                <c:pt idx="275" c:formatCode="yyyy/m/d;@">
                  <c:v>46030</c:v>
                </c:pt>
                <c:pt idx="276" c:formatCode="yyyy/m/d;@">
                  <c:v>46037</c:v>
                </c:pt>
                <c:pt idx="277" c:formatCode="yyyy/m/d;@">
                  <c:v>46044</c:v>
                </c:pt>
                <c:pt idx="278" c:formatCode="yyyy/m/d;@">
                  <c:v>46051</c:v>
                </c:pt>
                <c:pt idx="279" c:formatCode="yyyy/m/d;@">
                  <c:v>46058</c:v>
                </c:pt>
                <c:pt idx="280" c:formatCode="yyyy/m/d;@">
                  <c:v>46065</c:v>
                </c:pt>
                <c:pt idx="281" c:formatCode="yyyy/m/d;@">
                  <c:v>46079</c:v>
                </c:pt>
                <c:pt idx="282" c:formatCode="yyyy/m/d;@">
                  <c:v>46086</c:v>
                </c:pt>
                <c:pt idx="283" c:formatCode="yyyy/m/d;@">
                  <c:v>46093</c:v>
                </c:pt>
                <c:pt idx="284" c:formatCode="yyyy/m/d;@">
                  <c:v>46100</c:v>
                </c:pt>
                <c:pt idx="285" c:formatCode="yyyy/m/d;@">
                  <c:v>46107</c:v>
                </c:pt>
                <c:pt idx="286" c:formatCode="yyyy/m/d;@">
                  <c:v>46114</c:v>
                </c:pt>
                <c:pt idx="287" c:formatCode="yyyy/m/d;@">
                  <c:v>46121</c:v>
                </c:pt>
                <c:pt idx="288" c:formatCode="yyyy/m/d;@">
                  <c:v>46128</c:v>
                </c:pt>
                <c:pt idx="289" c:formatCode="yyyy/m/d;@">
                  <c:v>46135</c:v>
                </c:pt>
                <c:pt idx="290" c:formatCode="yyyy/m/d;@">
                  <c:v>46142</c:v>
                </c:pt>
                <c:pt idx="291" c:formatCode="yyyy/m/d;@">
                  <c:v>46149</c:v>
                </c:pt>
                <c:pt idx="292" c:formatCode="yyyy/m/d;@">
                  <c:v>46156</c:v>
                </c:pt>
                <c:pt idx="293" c:formatCode="yyyy/m/d;@">
                  <c:v>46163</c:v>
                </c:pt>
                <c:pt idx="294" c:formatCode="yyyy/m/d;@">
                  <c:v>46170</c:v>
                </c:pt>
                <c:pt idx="295" c:formatCode="yyyy/m/d;@">
                  <c:v>46177</c:v>
                </c:pt>
                <c:pt idx="296" c:formatCode="yyyy/m/d;@">
                  <c:v>46184</c:v>
                </c:pt>
                <c:pt idx="297" c:formatCode="yyyy/m/d;@">
                  <c:v>46191</c:v>
                </c:pt>
                <c:pt idx="298" c:formatCode="yyyy/m/d;@">
                  <c:v>46198</c:v>
                </c:pt>
                <c:pt idx="299" c:formatCode="yyyy/m/d;@">
                  <c:v>46205</c:v>
                </c:pt>
                <c:pt idx="300" c:formatCode="yyyy/m/d;@">
                  <c:v>46212</c:v>
                </c:pt>
                <c:pt idx="301" c:formatCode="yyyy/m/d;@">
                  <c:v>46219</c:v>
                </c:pt>
                <c:pt idx="302" c:formatCode="yyyy/m/d;@">
                  <c:v>46226</c:v>
                </c:pt>
                <c:pt idx="303" c:formatCode="yyyy/m/d;@">
                  <c:v>46233</c:v>
                </c:pt>
                <c:pt idx="304" c:formatCode="yyyy/m/d;@">
                  <c:v>46240</c:v>
                </c:pt>
                <c:pt idx="305" c:formatCode="yyyy/m/d;@">
                  <c:v>46247</c:v>
                </c:pt>
                <c:pt idx="306" c:formatCode="yyyy/m/d;@">
                  <c:v>46254</c:v>
                </c:pt>
                <c:pt idx="307" c:formatCode="yyyy/m/d;@">
                  <c:v>46261</c:v>
                </c:pt>
                <c:pt idx="308" c:formatCode="yyyy/m/d;@">
                  <c:v>46268</c:v>
                </c:pt>
                <c:pt idx="309" c:formatCode="yyyy/m/d;@">
                  <c:v>46275</c:v>
                </c:pt>
                <c:pt idx="310" c:formatCode="yyyy/m/d;@">
                  <c:v>46282</c:v>
                </c:pt>
                <c:pt idx="311" c:formatCode="yyyy/m/d;@">
                  <c:v>46289</c:v>
                </c:pt>
              </c:numCache>
            </c:numRef>
          </c:cat>
          <c:val>
            <c:numRef>
              <c:f>二元母猪!$B$5:$B$1216</c:f>
              <c:numCache>
                <c:formatCode>0_ </c:formatCode>
                <c:ptCount val="1212"/>
                <c:pt idx="0">
                  <c:v>5462</c:v>
                </c:pt>
                <c:pt idx="1" c:formatCode="General">
                  <c:v>5462</c:v>
                </c:pt>
                <c:pt idx="2" c:formatCode="General">
                  <c:v>5462</c:v>
                </c:pt>
                <c:pt idx="3">
                  <c:v>5462</c:v>
                </c:pt>
                <c:pt idx="4" c:formatCode="General">
                  <c:v>5353</c:v>
                </c:pt>
                <c:pt idx="5" c:formatCode="General">
                  <c:v>5346</c:v>
                </c:pt>
                <c:pt idx="6" c:formatCode="General">
                  <c:v>5337</c:v>
                </c:pt>
                <c:pt idx="7" c:formatCode="General">
                  <c:v>5312</c:v>
                </c:pt>
                <c:pt idx="8" c:formatCode="General">
                  <c:v>5306</c:v>
                </c:pt>
                <c:pt idx="9" c:formatCode="General">
                  <c:v>5269</c:v>
                </c:pt>
                <c:pt idx="10" c:formatCode="General">
                  <c:v>5234</c:v>
                </c:pt>
                <c:pt idx="11" c:formatCode="General">
                  <c:v>5205</c:v>
                </c:pt>
                <c:pt idx="12" c:formatCode="General">
                  <c:v>5186</c:v>
                </c:pt>
                <c:pt idx="13" c:formatCode="General">
                  <c:v>5119</c:v>
                </c:pt>
                <c:pt idx="14" c:formatCode="General">
                  <c:v>5093</c:v>
                </c:pt>
                <c:pt idx="15" c:formatCode="General">
                  <c:v>5066</c:v>
                </c:pt>
                <c:pt idx="16" c:formatCode="General">
                  <c:v>5052</c:v>
                </c:pt>
                <c:pt idx="17" c:formatCode="General">
                  <c:v>4905</c:v>
                </c:pt>
                <c:pt idx="18" c:formatCode="General">
                  <c:v>4789</c:v>
                </c:pt>
                <c:pt idx="19" c:formatCode="General">
                  <c:v>4734</c:v>
                </c:pt>
                <c:pt idx="20" c:formatCode="General">
                  <c:v>4638</c:v>
                </c:pt>
                <c:pt idx="21" c:formatCode="General">
                  <c:v>4553</c:v>
                </c:pt>
                <c:pt idx="22" c:formatCode="General">
                  <c:v>4452</c:v>
                </c:pt>
                <c:pt idx="23" c:formatCode="General">
                  <c:v>4391</c:v>
                </c:pt>
                <c:pt idx="24" c:formatCode="General">
                  <c:v>4294</c:v>
                </c:pt>
                <c:pt idx="25" c:formatCode="General">
                  <c:v>4219</c:v>
                </c:pt>
                <c:pt idx="26" c:formatCode="General">
                  <c:v>4219</c:v>
                </c:pt>
                <c:pt idx="27" c:formatCode="General">
                  <c:v>4219</c:v>
                </c:pt>
                <c:pt idx="28" c:formatCode="General">
                  <c:v>4226</c:v>
                </c:pt>
                <c:pt idx="29" c:formatCode="General">
                  <c:v>4247</c:v>
                </c:pt>
                <c:pt idx="30" c:formatCode="General">
                  <c:v>4250</c:v>
                </c:pt>
                <c:pt idx="31" c:formatCode="General">
                  <c:v>4250</c:v>
                </c:pt>
                <c:pt idx="32" c:formatCode="General">
                  <c:v>4224</c:v>
                </c:pt>
                <c:pt idx="33" c:formatCode="General">
                  <c:v>4178</c:v>
                </c:pt>
                <c:pt idx="34" c:formatCode="General">
                  <c:v>4140</c:v>
                </c:pt>
                <c:pt idx="35" c:formatCode="General">
                  <c:v>4108</c:v>
                </c:pt>
                <c:pt idx="36" c:formatCode="General">
                  <c:v>4108</c:v>
                </c:pt>
                <c:pt idx="37" c:formatCode="General">
                  <c:v>4108</c:v>
                </c:pt>
                <c:pt idx="38" c:formatCode="General">
                  <c:v>4108</c:v>
                </c:pt>
                <c:pt idx="39" c:formatCode="General">
                  <c:v>4104</c:v>
                </c:pt>
                <c:pt idx="40" c:formatCode="General">
                  <c:v>4075</c:v>
                </c:pt>
                <c:pt idx="41" c:formatCode="General">
                  <c:v>3982</c:v>
                </c:pt>
                <c:pt idx="42" c:formatCode="General">
                  <c:v>3929</c:v>
                </c:pt>
                <c:pt idx="43" c:formatCode="General">
                  <c:v>3815</c:v>
                </c:pt>
                <c:pt idx="44" c:formatCode="General">
                  <c:v>3355</c:v>
                </c:pt>
                <c:pt idx="45" c:formatCode="General">
                  <c:v>2959</c:v>
                </c:pt>
                <c:pt idx="46" c:formatCode="General">
                  <c:v>2579</c:v>
                </c:pt>
                <c:pt idx="47" c:formatCode="General">
                  <c:v>2399</c:v>
                </c:pt>
                <c:pt idx="48" c:formatCode="General">
                  <c:v>2391</c:v>
                </c:pt>
                <c:pt idx="49" c:formatCode="General">
                  <c:v>2401</c:v>
                </c:pt>
                <c:pt idx="50" c:formatCode="General">
                  <c:v>2395</c:v>
                </c:pt>
                <c:pt idx="51" c:formatCode="General">
                  <c:v>2375</c:v>
                </c:pt>
                <c:pt idx="52" c:formatCode="General">
                  <c:v>2375</c:v>
                </c:pt>
                <c:pt idx="53" c:formatCode="General">
                  <c:v>2322</c:v>
                </c:pt>
                <c:pt idx="54" c:formatCode="General">
                  <c:v>2290</c:v>
                </c:pt>
                <c:pt idx="55" c:formatCode="General">
                  <c:v>2238</c:v>
                </c:pt>
                <c:pt idx="56" c:formatCode="General">
                  <c:v>2204</c:v>
                </c:pt>
                <c:pt idx="57" c:formatCode="General">
                  <c:v>2014</c:v>
                </c:pt>
                <c:pt idx="58" c:formatCode="General">
                  <c:v>1891</c:v>
                </c:pt>
                <c:pt idx="59" c:formatCode="General">
                  <c:v>1615</c:v>
                </c:pt>
                <c:pt idx="60" c:formatCode="General">
                  <c:v>1459</c:v>
                </c:pt>
                <c:pt idx="61" c:formatCode="General">
                  <c:v>1284</c:v>
                </c:pt>
                <c:pt idx="62" c:formatCode="General">
                  <c:v>1233</c:v>
                </c:pt>
                <c:pt idx="63" c:formatCode="General">
                  <c:v>1239</c:v>
                </c:pt>
                <c:pt idx="64" c:formatCode="General">
                  <c:v>1532</c:v>
                </c:pt>
                <c:pt idx="65" c:formatCode="General">
                  <c:v>1569</c:v>
                </c:pt>
                <c:pt idx="66" c:formatCode="General">
                  <c:v>1588</c:v>
                </c:pt>
                <c:pt idx="67" c:formatCode="General">
                  <c:v>1632</c:v>
                </c:pt>
                <c:pt idx="68" c:formatCode="General">
                  <c:v>1632</c:v>
                </c:pt>
                <c:pt idx="69" c:formatCode="General">
                  <c:v>1644</c:v>
                </c:pt>
                <c:pt idx="70" c:formatCode="General">
                  <c:v>1659</c:v>
                </c:pt>
                <c:pt idx="71" c:formatCode="General">
                  <c:v>1671</c:v>
                </c:pt>
                <c:pt idx="72" c:formatCode="General">
                  <c:v>1672</c:v>
                </c:pt>
                <c:pt idx="73" c:formatCode="General">
                  <c:v>1672</c:v>
                </c:pt>
                <c:pt idx="74" c:formatCode="General">
                  <c:v>1673</c:v>
                </c:pt>
                <c:pt idx="75" c:formatCode="General">
                  <c:v>1654</c:v>
                </c:pt>
                <c:pt idx="76" c:formatCode="General">
                  <c:v>1646</c:v>
                </c:pt>
                <c:pt idx="77" c:formatCode="General">
                  <c:v>1646</c:v>
                </c:pt>
                <c:pt idx="78" c:formatCode="General">
                  <c:v>1643</c:v>
                </c:pt>
                <c:pt idx="79" c:formatCode="General">
                  <c:v>1643</c:v>
                </c:pt>
                <c:pt idx="80" c:formatCode="General">
                  <c:v>1635</c:v>
                </c:pt>
                <c:pt idx="81" c:formatCode="General">
                  <c:v>1635</c:v>
                </c:pt>
                <c:pt idx="82" c:formatCode="General">
                  <c:v>1635</c:v>
                </c:pt>
                <c:pt idx="83" c:formatCode="General">
                  <c:v>1635</c:v>
                </c:pt>
                <c:pt idx="84" c:formatCode="General">
                  <c:v>1635</c:v>
                </c:pt>
                <c:pt idx="85" c:formatCode="General">
                  <c:v>1623</c:v>
                </c:pt>
                <c:pt idx="86" c:formatCode="General">
                  <c:v>1623</c:v>
                </c:pt>
                <c:pt idx="87" c:formatCode="General">
                  <c:v>1611</c:v>
                </c:pt>
                <c:pt idx="88" c:formatCode="General">
                  <c:v>1633</c:v>
                </c:pt>
                <c:pt idx="89" c:formatCode="General">
                  <c:v>1668</c:v>
                </c:pt>
                <c:pt idx="90" c:formatCode="General">
                  <c:v>1722</c:v>
                </c:pt>
                <c:pt idx="91" c:formatCode="General">
                  <c:v>1764</c:v>
                </c:pt>
                <c:pt idx="92" c:formatCode="General">
                  <c:v>1800</c:v>
                </c:pt>
                <c:pt idx="93" c:formatCode="General">
                  <c:v>1833</c:v>
                </c:pt>
                <c:pt idx="94" c:formatCode="General">
                  <c:v>1835</c:v>
                </c:pt>
                <c:pt idx="95" c:formatCode="General">
                  <c:v>1829</c:v>
                </c:pt>
                <c:pt idx="96" c:formatCode="General">
                  <c:v>1819</c:v>
                </c:pt>
                <c:pt idx="97" c:formatCode="General">
                  <c:v>1804</c:v>
                </c:pt>
                <c:pt idx="98" c:formatCode="General">
                  <c:v>1804</c:v>
                </c:pt>
                <c:pt idx="99" c:formatCode="General">
                  <c:v>1829</c:v>
                </c:pt>
                <c:pt idx="100" c:formatCode="General">
                  <c:v>1840</c:v>
                </c:pt>
                <c:pt idx="101" c:formatCode="General">
                  <c:v>1881</c:v>
                </c:pt>
                <c:pt idx="102" c:formatCode="General">
                  <c:v>1888</c:v>
                </c:pt>
                <c:pt idx="103" c:formatCode="General">
                  <c:v>1884</c:v>
                </c:pt>
                <c:pt idx="104" c:formatCode="General">
                  <c:v>1848</c:v>
                </c:pt>
                <c:pt idx="105" c:formatCode="General">
                  <c:v>1832</c:v>
                </c:pt>
                <c:pt idx="106" c:formatCode="General">
                  <c:v>1808</c:v>
                </c:pt>
                <c:pt idx="107" c:formatCode="General">
                  <c:v>1808</c:v>
                </c:pt>
                <c:pt idx="108" c:formatCode="General">
                  <c:v>1794</c:v>
                </c:pt>
                <c:pt idx="109" c:formatCode="General">
                  <c:v>1784</c:v>
                </c:pt>
                <c:pt idx="110" c:formatCode="General">
                  <c:v>1778</c:v>
                </c:pt>
                <c:pt idx="111" c:formatCode="General">
                  <c:v>1780</c:v>
                </c:pt>
                <c:pt idx="112" c:formatCode="General">
                  <c:v>1781</c:v>
                </c:pt>
                <c:pt idx="113" c:formatCode="General">
                  <c:v>1811</c:v>
                </c:pt>
                <c:pt idx="114" c:formatCode="General">
                  <c:v>1827</c:v>
                </c:pt>
                <c:pt idx="115" c:formatCode="General">
                  <c:v>1857</c:v>
                </c:pt>
                <c:pt idx="116" c:formatCode="General">
                  <c:v>1852</c:v>
                </c:pt>
                <c:pt idx="117" c:formatCode="General">
                  <c:v>1834</c:v>
                </c:pt>
                <c:pt idx="118" c:formatCode="General">
                  <c:v>1815</c:v>
                </c:pt>
                <c:pt idx="119" c:formatCode="General">
                  <c:v>1796</c:v>
                </c:pt>
                <c:pt idx="120" c:formatCode="General">
                  <c:v>1792</c:v>
                </c:pt>
                <c:pt idx="121" c:formatCode="General">
                  <c:v>1771</c:v>
                </c:pt>
                <c:pt idx="122" c:formatCode="General">
                  <c:v>1767</c:v>
                </c:pt>
                <c:pt idx="123" c:formatCode="General">
                  <c:v>1746</c:v>
                </c:pt>
                <c:pt idx="124" c:formatCode="General">
                  <c:v>1715</c:v>
                </c:pt>
                <c:pt idx="125" c:formatCode="General">
                  <c:v>1687</c:v>
                </c:pt>
                <c:pt idx="126" c:formatCode="General">
                  <c:v>1644</c:v>
                </c:pt>
                <c:pt idx="127" c:formatCode="General">
                  <c:v>1599</c:v>
                </c:pt>
                <c:pt idx="128" c:formatCode="General">
                  <c:v>1574</c:v>
                </c:pt>
                <c:pt idx="129" c:formatCode="General">
                  <c:v>1599</c:v>
                </c:pt>
                <c:pt idx="130" c:formatCode="General">
                  <c:v>1632</c:v>
                </c:pt>
                <c:pt idx="131" c:formatCode="General">
                  <c:v>1655</c:v>
                </c:pt>
                <c:pt idx="132" c:formatCode="General">
                  <c:v>1655</c:v>
                </c:pt>
                <c:pt idx="133" c:formatCode="General">
                  <c:v>1648</c:v>
                </c:pt>
                <c:pt idx="134" c:formatCode="General">
                  <c:v>1630</c:v>
                </c:pt>
                <c:pt idx="135" c:formatCode="General">
                  <c:v>1627</c:v>
                </c:pt>
                <c:pt idx="136" c:formatCode="General">
                  <c:v>1626</c:v>
                </c:pt>
                <c:pt idx="137" c:formatCode="General">
                  <c:v>1625</c:v>
                </c:pt>
                <c:pt idx="138" c:formatCode="General">
                  <c:v>1624</c:v>
                </c:pt>
                <c:pt idx="139" c:formatCode="General">
                  <c:v>1624</c:v>
                </c:pt>
                <c:pt idx="140" c:formatCode="General">
                  <c:v>1624</c:v>
                </c:pt>
                <c:pt idx="141" c:formatCode="General">
                  <c:v>1624</c:v>
                </c:pt>
                <c:pt idx="142" c:formatCode="General">
                  <c:v>1624</c:v>
                </c:pt>
                <c:pt idx="143" c:formatCode="General">
                  <c:v>1624</c:v>
                </c:pt>
                <c:pt idx="144" c:formatCode="General">
                  <c:v>1624</c:v>
                </c:pt>
                <c:pt idx="145" c:formatCode="General">
                  <c:v>1621</c:v>
                </c:pt>
                <c:pt idx="146" c:formatCode="General">
                  <c:v>1619</c:v>
                </c:pt>
                <c:pt idx="147" c:formatCode="General">
                  <c:v>1611</c:v>
                </c:pt>
                <c:pt idx="148" c:formatCode="General">
                  <c:v>1602</c:v>
                </c:pt>
                <c:pt idx="149" c:formatCode="General">
                  <c:v>1595</c:v>
                </c:pt>
                <c:pt idx="150" c:formatCode="General">
                  <c:v>1589</c:v>
                </c:pt>
                <c:pt idx="151" c:formatCode="General">
                  <c:v>1574</c:v>
                </c:pt>
                <c:pt idx="152" c:formatCode="General">
                  <c:v>1571</c:v>
                </c:pt>
                <c:pt idx="153" c:formatCode="General">
                  <c:v>1613</c:v>
                </c:pt>
                <c:pt idx="154" c:formatCode="General">
                  <c:v>1631</c:v>
                </c:pt>
                <c:pt idx="155" c:formatCode="General">
                  <c:v>1633</c:v>
                </c:pt>
                <c:pt idx="156" c:formatCode="General">
                  <c:v>1633</c:v>
                </c:pt>
                <c:pt idx="157" c:formatCode="General">
                  <c:v>1629</c:v>
                </c:pt>
                <c:pt idx="158" c:formatCode="General">
                  <c:v>1616</c:v>
                </c:pt>
                <c:pt idx="159" c:formatCode="General">
                  <c:v>1603</c:v>
                </c:pt>
                <c:pt idx="160" c:formatCode="General">
                  <c:v>1581</c:v>
                </c:pt>
                <c:pt idx="161" c:formatCode="General">
                  <c:v>1569</c:v>
                </c:pt>
                <c:pt idx="162" c:formatCode="General">
                  <c:v>1564</c:v>
                </c:pt>
                <c:pt idx="163" c:formatCode="General">
                  <c:v>1546</c:v>
                </c:pt>
                <c:pt idx="164" c:formatCode="General">
                  <c:v>1535</c:v>
                </c:pt>
                <c:pt idx="165" c:formatCode="General">
                  <c:v>1535</c:v>
                </c:pt>
                <c:pt idx="166" c:formatCode="General">
                  <c:v>1535</c:v>
                </c:pt>
                <c:pt idx="167" c:formatCode="General">
                  <c:v>1535</c:v>
                </c:pt>
                <c:pt idx="168" c:formatCode="General">
                  <c:v>1535</c:v>
                </c:pt>
                <c:pt idx="169" c:formatCode="General">
                  <c:v>1535</c:v>
                </c:pt>
                <c:pt idx="170" c:formatCode="General">
                  <c:v>1539</c:v>
                </c:pt>
                <c:pt idx="171" c:formatCode="General">
                  <c:v>1541</c:v>
                </c:pt>
                <c:pt idx="172" c:formatCode="General">
                  <c:v>1541</c:v>
                </c:pt>
                <c:pt idx="173" c:formatCode="General">
                  <c:v>1538</c:v>
                </c:pt>
                <c:pt idx="174" c:formatCode="General">
                  <c:v>1538</c:v>
                </c:pt>
                <c:pt idx="175" c:formatCode="General">
                  <c:v>1538</c:v>
                </c:pt>
                <c:pt idx="176" c:formatCode="General">
                  <c:v>1538</c:v>
                </c:pt>
                <c:pt idx="177" c:formatCode="General">
                  <c:v>1538</c:v>
                </c:pt>
                <c:pt idx="178" c:formatCode="General">
                  <c:v>1538</c:v>
                </c:pt>
                <c:pt idx="179" c:formatCode="General">
                  <c:v>1538</c:v>
                </c:pt>
                <c:pt idx="180" c:formatCode="General">
                  <c:v>1541</c:v>
                </c:pt>
                <c:pt idx="181" c:formatCode="General">
                  <c:v>1541</c:v>
                </c:pt>
                <c:pt idx="182" c:formatCode="General">
                  <c:v>1541</c:v>
                </c:pt>
                <c:pt idx="183" c:formatCode="General">
                  <c:v>1543</c:v>
                </c:pt>
                <c:pt idx="184" c:formatCode="General">
                  <c:v>1554</c:v>
                </c:pt>
                <c:pt idx="185" c:formatCode="General">
                  <c:v>1574</c:v>
                </c:pt>
                <c:pt idx="186" c:formatCode="General">
                  <c:v>1577</c:v>
                </c:pt>
                <c:pt idx="187" c:formatCode="General">
                  <c:v>1577</c:v>
                </c:pt>
                <c:pt idx="188" c:formatCode="General">
                  <c:v>1577</c:v>
                </c:pt>
                <c:pt idx="189" c:formatCode="General">
                  <c:v>1577</c:v>
                </c:pt>
                <c:pt idx="190" c:formatCode="General">
                  <c:v>1577</c:v>
                </c:pt>
                <c:pt idx="191" c:formatCode="General">
                  <c:v>1576</c:v>
                </c:pt>
                <c:pt idx="192" c:formatCode="General">
                  <c:v>1576</c:v>
                </c:pt>
                <c:pt idx="193" c:formatCode="General">
                  <c:v>1576</c:v>
                </c:pt>
                <c:pt idx="194" c:formatCode="General">
                  <c:v>1594</c:v>
                </c:pt>
                <c:pt idx="195" c:formatCode="General">
                  <c:v>1625</c:v>
                </c:pt>
                <c:pt idx="196" c:formatCode="General">
                  <c:v>1627</c:v>
                </c:pt>
                <c:pt idx="197" c:formatCode="General">
                  <c:v>1624</c:v>
                </c:pt>
                <c:pt idx="198" c:formatCode="General">
                  <c:v>1620</c:v>
                </c:pt>
                <c:pt idx="199" c:formatCode="General">
                  <c:v>1620</c:v>
                </c:pt>
                <c:pt idx="200" c:formatCode="General">
                  <c:v>1622</c:v>
                </c:pt>
                <c:pt idx="201" c:formatCode="General">
                  <c:v>1631</c:v>
                </c:pt>
                <c:pt idx="202" c:formatCode="General">
                  <c:v>1632</c:v>
                </c:pt>
                <c:pt idx="203" c:formatCode="General">
                  <c:v>1638</c:v>
                </c:pt>
                <c:pt idx="204" c:formatCode="General">
                  <c:v>1642</c:v>
                </c:pt>
                <c:pt idx="205" c:formatCode="General">
                  <c:v>1662</c:v>
                </c:pt>
                <c:pt idx="206" c:formatCode="General">
                  <c:v>1662</c:v>
                </c:pt>
                <c:pt idx="207" c:formatCode="General">
                  <c:v>1662</c:v>
                </c:pt>
                <c:pt idx="208" c:formatCode="General">
                  <c:v>1656</c:v>
                </c:pt>
                <c:pt idx="209" c:formatCode="General">
                  <c:v>1651</c:v>
                </c:pt>
                <c:pt idx="210" c:formatCode="General">
                  <c:v>1651</c:v>
                </c:pt>
                <c:pt idx="211" c:formatCode="General">
                  <c:v>1646</c:v>
                </c:pt>
                <c:pt idx="212" c:formatCode="General">
                  <c:v>1629</c:v>
                </c:pt>
                <c:pt idx="213" c:formatCode="General">
                  <c:v>1629</c:v>
                </c:pt>
                <c:pt idx="214" c:formatCode="General">
                  <c:v>1629</c:v>
                </c:pt>
                <c:pt idx="215" c:formatCode="General">
                  <c:v>1629</c:v>
                </c:pt>
                <c:pt idx="216" c:formatCode="General">
                  <c:v>1627</c:v>
                </c:pt>
                <c:pt idx="217" c:formatCode="General">
                  <c:v>1626</c:v>
                </c:pt>
                <c:pt idx="218" c:formatCode="General">
                  <c:v>1626</c:v>
                </c:pt>
                <c:pt idx="219" c:formatCode="General">
                  <c:v>1626</c:v>
                </c:pt>
                <c:pt idx="220" c:formatCode="General">
                  <c:v>1620</c:v>
                </c:pt>
                <c:pt idx="221" c:formatCode="General">
                  <c:v>1619</c:v>
                </c:pt>
                <c:pt idx="222" c:formatCode="General">
                  <c:v>1618</c:v>
                </c:pt>
                <c:pt idx="223" c:formatCode="General">
                  <c:v>1618</c:v>
                </c:pt>
                <c:pt idx="224" c:formatCode="General">
                  <c:v>1629</c:v>
                </c:pt>
                <c:pt idx="225" c:formatCode="General">
                  <c:v>1636</c:v>
                </c:pt>
                <c:pt idx="226" c:formatCode="General">
                  <c:v>1640</c:v>
                </c:pt>
                <c:pt idx="227" c:formatCode="General">
                  <c:v>1642</c:v>
                </c:pt>
                <c:pt idx="228" c:formatCode="General">
                  <c:v>1642</c:v>
                </c:pt>
                <c:pt idx="229" c:formatCode="General">
                  <c:v>1642</c:v>
                </c:pt>
                <c:pt idx="230" c:formatCode="General">
                  <c:v>1642</c:v>
                </c:pt>
                <c:pt idx="231" c:formatCode="General">
                  <c:v>1635</c:v>
                </c:pt>
                <c:pt idx="232" c:formatCode="General">
                  <c:v>1635</c:v>
                </c:pt>
                <c:pt idx="233" c:formatCode="General">
                  <c:v>1635</c:v>
                </c:pt>
                <c:pt idx="234" c:formatCode="General">
                  <c:v>1635</c:v>
                </c:pt>
                <c:pt idx="235" c:formatCode="General">
                  <c:v>1635</c:v>
                </c:pt>
                <c:pt idx="236" c:formatCode="General">
                  <c:v>1635</c:v>
                </c:pt>
                <c:pt idx="237" c:formatCode="General">
                  <c:v>1635</c:v>
                </c:pt>
                <c:pt idx="238" c:formatCode="General">
                  <c:v>1635</c:v>
                </c:pt>
                <c:pt idx="239" c:formatCode="General">
                  <c:v>1635</c:v>
                </c:pt>
                <c:pt idx="240" c:formatCode="General">
                  <c:v>1635</c:v>
                </c:pt>
                <c:pt idx="241" c:formatCode="General">
                  <c:v>1631</c:v>
                </c:pt>
                <c:pt idx="242" c:formatCode="General">
                  <c:v>1631</c:v>
                </c:pt>
                <c:pt idx="243" c:formatCode="General">
                  <c:v>1631</c:v>
                </c:pt>
                <c:pt idx="244" c:formatCode="General">
                  <c:v>1627</c:v>
                </c:pt>
                <c:pt idx="245" c:formatCode="General">
                  <c:v>1626</c:v>
                </c:pt>
                <c:pt idx="246" c:formatCode="General">
                  <c:v>1621</c:v>
                </c:pt>
                <c:pt idx="247" c:formatCode="General">
                  <c:v>1621</c:v>
                </c:pt>
                <c:pt idx="248" c:formatCode="General">
                  <c:v>1623</c:v>
                </c:pt>
                <c:pt idx="249" c:formatCode="General">
                  <c:v>1623</c:v>
                </c:pt>
                <c:pt idx="250" c:formatCode="General">
                  <c:v>1623</c:v>
                </c:pt>
                <c:pt idx="251" c:formatCode="General">
                  <c:v>1628</c:v>
                </c:pt>
                <c:pt idx="252" c:formatCode="General">
                  <c:v>1628</c:v>
                </c:pt>
                <c:pt idx="253" c:formatCode="General">
                  <c:v>1628</c:v>
                </c:pt>
                <c:pt idx="254" c:formatCode="General">
                  <c:v>1614</c:v>
                </c:pt>
                <c:pt idx="255" c:formatCode="General">
                  <c:v>1611</c:v>
                </c:pt>
                <c:pt idx="256" c:formatCode="General">
                  <c:v>1611</c:v>
                </c:pt>
                <c:pt idx="257" c:formatCode="General">
                  <c:v>1600</c:v>
                </c:pt>
                <c:pt idx="258" c:formatCode="General">
                  <c:v>1596</c:v>
                </c:pt>
                <c:pt idx="259" c:formatCode="General">
                  <c:v>1595</c:v>
                </c:pt>
                <c:pt idx="260" c:formatCode="General">
                  <c:v>1590</c:v>
                </c:pt>
                <c:pt idx="261" c:formatCode="General">
                  <c:v>1590</c:v>
                </c:pt>
                <c:pt idx="262" c:formatCode="General">
                  <c:v>1566</c:v>
                </c:pt>
                <c:pt idx="263" c:formatCode="General">
                  <c:v>1547</c:v>
                </c:pt>
                <c:pt idx="264" c:formatCode="General">
                  <c:v>1546</c:v>
                </c:pt>
                <c:pt idx="265" c:formatCode="General">
                  <c:v>1546</c:v>
                </c:pt>
                <c:pt idx="266" c:formatCode="General">
                  <c:v>1548</c:v>
                </c:pt>
                <c:pt idx="267" c:formatCode="General">
                  <c:v>1548</c:v>
                </c:pt>
                <c:pt idx="268" c:formatCode="General">
                  <c:v>1548</c:v>
                </c:pt>
                <c:pt idx="269" c:formatCode="General">
                  <c:v>1548</c:v>
                </c:pt>
                <c:pt idx="270" c:formatCode="General">
                  <c:v>1546</c:v>
                </c:pt>
                <c:pt idx="271" c:formatCode="General">
                  <c:v>1546</c:v>
                </c:pt>
                <c:pt idx="272" c:formatCode="General">
                  <c:v>1546</c:v>
                </c:pt>
                <c:pt idx="273" c:formatCode="General">
                  <c:v>1546</c:v>
                </c:pt>
                <c:pt idx="274" c:formatCode="General">
                  <c:v>1553</c:v>
                </c:pt>
                <c:pt idx="275" c:formatCode="General">
                  <c:v>1556</c:v>
                </c:pt>
                <c:pt idx="276" c:formatCode="General">
                  <c:v>1559</c:v>
                </c:pt>
                <c:pt idx="277" c:formatCode="General">
                  <c:v>1559</c:v>
                </c:pt>
                <c:pt idx="278" c:formatCode="General">
                  <c:v>1559</c:v>
                </c:pt>
                <c:pt idx="279" c:formatCode="General">
                  <c:v>1559</c:v>
                </c:pt>
                <c:pt idx="280" c:formatCode="General">
                  <c:v>1559</c:v>
                </c:pt>
                <c:pt idx="281" c:formatCode="General">
                  <c:v>1559</c:v>
                </c:pt>
                <c:pt idx="282" c:formatCode="General">
                  <c:v>1559</c:v>
                </c:pt>
                <c:pt idx="283" c:formatCode="General">
                  <c:v>1541</c:v>
                </c:pt>
                <c:pt idx="284" c:formatCode="General">
                  <c:v>1536</c:v>
                </c:pt>
                <c:pt idx="285" c:formatCode="General">
                  <c:v>1514</c:v>
                </c:pt>
                <c:pt idx="286" c:formatCode="General">
                  <c:v>1408</c:v>
                </c:pt>
                <c:pt idx="287" c:formatCode="General">
                  <c:v>1404</c:v>
                </c:pt>
                <c:pt idx="288" c:formatCode="General">
                  <c:v>1404</c:v>
                </c:pt>
                <c:pt idx="289" c:formatCode="General">
                  <c:v>1404</c:v>
                </c:pt>
                <c:pt idx="290" c:formatCode="General">
                  <c:v>1406</c:v>
                </c:pt>
                <c:pt idx="291" c:formatCode="General">
                  <c:v>1407</c:v>
                </c:pt>
                <c:pt idx="292" c:formatCode="General">
                  <c:v>1407</c:v>
                </c:pt>
                <c:pt idx="293" c:formatCode="General">
                  <c:v>1407</c:v>
                </c:pt>
                <c:pt idx="294" c:formatCode="General">
                  <c:v>1407</c:v>
                </c:pt>
                <c:pt idx="295" c:formatCode="General">
                  <c:v>1407</c:v>
                </c:pt>
                <c:pt idx="296" c:formatCode="General">
                  <c:v>1364</c:v>
                </c:pt>
                <c:pt idx="297" c:formatCode="General">
                  <c:v>1319</c:v>
                </c:pt>
                <c:pt idx="298" c:formatCode="General">
                  <c:v>1311</c:v>
                </c:pt>
                <c:pt idx="299" c:formatCode="General">
                  <c:v>1312</c:v>
                </c:pt>
                <c:pt idx="300" c:formatCode="General">
                  <c:v>1318</c:v>
                </c:pt>
                <c:pt idx="301" c:formatCode="General">
                  <c:v>1331</c:v>
                </c:pt>
                <c:pt idx="302" c:formatCode="General">
                  <c:v>1331</c:v>
                </c:pt>
                <c:pt idx="303" c:formatCode="General">
                  <c:v>1331</c:v>
                </c:pt>
                <c:pt idx="304" c:formatCode="General">
                  <c:v>1316</c:v>
                </c:pt>
                <c:pt idx="305" c:formatCode="General">
                  <c:v>1316</c:v>
                </c:pt>
                <c:pt idx="306" c:formatCode="General">
                  <c:v>1316</c:v>
                </c:pt>
                <c:pt idx="307" c:formatCode="General">
                  <c:v>1316</c:v>
                </c:pt>
                <c:pt idx="308" c:formatCode="General">
                  <c:v>1315</c:v>
                </c:pt>
                <c:pt idx="309" c:formatCode="General">
                  <c:v>1315</c:v>
                </c:pt>
                <c:pt idx="310" c:formatCode="General">
                  <c:v>1315</c:v>
                </c:pt>
                <c:pt idx="311" c:formatCode="General">
                  <c:v>1313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0"/>
        <c:smooth val="0"/>
        <c:axId val="897905202"/>
        <c:axId val="950673811"/>
      </c:lineChart>
      <c:dateAx>
        <c:axId val="897905202"/>
        <c:scaling>
          <c:orientation val="minMax"/>
          <c:max val="46289"/>
          <c:min val="45559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900" b="1" i="0" u="none" strike="noStrike" kern="1200" cap="all" baseline="0">
                    <a:solidFill>
                      <a:sysClr val="windowText" lastClr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  <a:sym typeface="宋体" panose="02010600030101010101" pitchFamily="7" charset="-122"/>
                  </a:defRPr>
                </a:pPr>
                <a:r>
                  <a:rPr b="1">
                    <a:solidFill>
                      <a:sysClr val="windowText" lastClr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  <a:sym typeface="宋体" panose="02010600030101010101" pitchFamily="7" charset="-122"/>
                  </a:rPr>
                  <a:t>元/头</a:t>
                </a:r>
                <a:endParaRPr b="1">
                  <a:solidFill>
                    <a:sysClr val="windowText" lastClr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348344716956942"/>
              <c:y val="0.126761128705903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0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950673811"/>
        <c:crosses val="autoZero"/>
        <c:auto val="1"/>
        <c:lblOffset val="100"/>
        <c:baseTimeUnit val="days"/>
        <c:majorUnit val="4"/>
        <c:majorTimeUnit val="months"/>
      </c:dateAx>
      <c:valAx>
        <c:axId val="950673811"/>
        <c:scaling>
          <c:orientation val="minMax"/>
          <c:max val="1700"/>
          <c:min val="1200"/>
        </c:scaling>
        <c:delete val="0"/>
        <c:axPos val="l"/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897905202"/>
        <c:crosses val="autoZero"/>
        <c:crossBetween val="between"/>
        <c:majorUnit val="100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b5a4fc2-8031-4f19-b688-ffe9574e56cd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  <a:sym typeface="宋体" panose="02010600030101010101" pitchFamily="7" charset="-122"/>
        </a:defRPr>
      </a:pPr>
    </a:p>
  </c:txPr>
  <c:externalData r:id="rId1">
    <c:autoUpdate val="0"/>
  </c:externalData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cap="none" spc="2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r>
              <a:rPr lang="en-US" altLang="zh-CN"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2025-2026</a:t>
            </a:r>
            <a:r>
              <a:rPr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年50kg二元母猪价走势图</a:t>
            </a:r>
            <a:endParaRPr b="1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6363057801737"/>
          <c:y val="0.271064814814815"/>
          <c:w val="0.87277628032345"/>
          <c:h val="0.495231481481481"/>
        </c:manualLayout>
      </c:layout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二元母猪!$A$130:$A$1226</c:f>
              <c:numCache>
                <c:formatCode>yyyy/m/d;@</c:formatCode>
                <c:ptCount val="1097"/>
                <c:pt idx="0" c:formatCode="yyyy/m/d;@">
                  <c:v>44931</c:v>
                </c:pt>
                <c:pt idx="1" c:formatCode="yyyy/m/d;@">
                  <c:v>44938</c:v>
                </c:pt>
                <c:pt idx="2" c:formatCode="yyyy/m/d;@">
                  <c:v>44959</c:v>
                </c:pt>
                <c:pt idx="3" c:formatCode="yyyy/m/d;@">
                  <c:v>44966</c:v>
                </c:pt>
                <c:pt idx="4" c:formatCode="yyyy/m/d;@">
                  <c:v>44973</c:v>
                </c:pt>
                <c:pt idx="5" c:formatCode="yyyy/m/d;@">
                  <c:v>44980</c:v>
                </c:pt>
                <c:pt idx="6" c:formatCode="yyyy/m/d;@">
                  <c:v>44987</c:v>
                </c:pt>
                <c:pt idx="7" c:formatCode="yyyy/m/d;@">
                  <c:v>44994</c:v>
                </c:pt>
                <c:pt idx="8" c:formatCode="yyyy/m/d;@">
                  <c:v>45001</c:v>
                </c:pt>
                <c:pt idx="9" c:formatCode="yyyy/m/d;@">
                  <c:v>45008</c:v>
                </c:pt>
                <c:pt idx="10" c:formatCode="yyyy/m/d;@">
                  <c:v>45015</c:v>
                </c:pt>
                <c:pt idx="11" c:formatCode="yyyy/m/d;@">
                  <c:v>45022</c:v>
                </c:pt>
                <c:pt idx="12" c:formatCode="yyyy/m/d;@">
                  <c:v>45029</c:v>
                </c:pt>
                <c:pt idx="13" c:formatCode="yyyy/m/d;@">
                  <c:v>45036</c:v>
                </c:pt>
                <c:pt idx="14" c:formatCode="yyyy/m/d;@">
                  <c:v>45043</c:v>
                </c:pt>
                <c:pt idx="15" c:formatCode="yyyy/m/d;@">
                  <c:v>45050</c:v>
                </c:pt>
                <c:pt idx="16" c:formatCode="yyyy/m/d;@">
                  <c:v>45057</c:v>
                </c:pt>
                <c:pt idx="17" c:formatCode="yyyy/m/d;@">
                  <c:v>45064</c:v>
                </c:pt>
                <c:pt idx="18" c:formatCode="yyyy/m/d;@">
                  <c:v>45071</c:v>
                </c:pt>
                <c:pt idx="19" c:formatCode="yyyy/m/d;@">
                  <c:v>45078</c:v>
                </c:pt>
                <c:pt idx="20" c:formatCode="yyyy/m/d;@">
                  <c:v>45085</c:v>
                </c:pt>
                <c:pt idx="21" c:formatCode="yyyy/m/d;@">
                  <c:v>45092</c:v>
                </c:pt>
                <c:pt idx="22" c:formatCode="yyyy/m/d;@">
                  <c:v>45098</c:v>
                </c:pt>
                <c:pt idx="23" c:formatCode="yyyy/m/d;@">
                  <c:v>45106</c:v>
                </c:pt>
                <c:pt idx="24" c:formatCode="yyyy/m/d;@">
                  <c:v>45113</c:v>
                </c:pt>
                <c:pt idx="25" c:formatCode="yyyy/m/d;@">
                  <c:v>45120</c:v>
                </c:pt>
                <c:pt idx="26" c:formatCode="yyyy/m/d;@">
                  <c:v>45127</c:v>
                </c:pt>
                <c:pt idx="27" c:formatCode="yyyy/m/d;@">
                  <c:v>45134</c:v>
                </c:pt>
                <c:pt idx="28" c:formatCode="yyyy/m/d;@">
                  <c:v>45141</c:v>
                </c:pt>
                <c:pt idx="29" c:formatCode="yyyy/m/d;@">
                  <c:v>45148</c:v>
                </c:pt>
                <c:pt idx="30" c:formatCode="yyyy/m/d;@">
                  <c:v>45155</c:v>
                </c:pt>
                <c:pt idx="31" c:formatCode="yyyy/m/d;@">
                  <c:v>45162</c:v>
                </c:pt>
                <c:pt idx="32" c:formatCode="yyyy/m/d;@">
                  <c:v>45169</c:v>
                </c:pt>
                <c:pt idx="33" c:formatCode="yyyy/m/d;@">
                  <c:v>45176</c:v>
                </c:pt>
                <c:pt idx="34" c:formatCode="yyyy/m/d;@">
                  <c:v>45183</c:v>
                </c:pt>
                <c:pt idx="35" c:formatCode="yyyy/m/d;@">
                  <c:v>45190</c:v>
                </c:pt>
                <c:pt idx="36" c:formatCode="yyyy/m/d;@">
                  <c:v>45197</c:v>
                </c:pt>
                <c:pt idx="37" c:formatCode="yyyy/m/d;@">
                  <c:v>45205</c:v>
                </c:pt>
                <c:pt idx="38" c:formatCode="yyyy/m/d;@">
                  <c:v>45211</c:v>
                </c:pt>
                <c:pt idx="39" c:formatCode="yyyy/m/d;@">
                  <c:v>45218</c:v>
                </c:pt>
                <c:pt idx="40" c:formatCode="yyyy/m/d;@">
                  <c:v>45225</c:v>
                </c:pt>
                <c:pt idx="41" c:formatCode="yyyy/m/d;@">
                  <c:v>45232</c:v>
                </c:pt>
                <c:pt idx="42" c:formatCode="yyyy/m/d;@">
                  <c:v>45239</c:v>
                </c:pt>
                <c:pt idx="43" c:formatCode="yyyy/m/d;@">
                  <c:v>45246</c:v>
                </c:pt>
                <c:pt idx="44" c:formatCode="yyyy/m/d;@">
                  <c:v>45253</c:v>
                </c:pt>
                <c:pt idx="45" c:formatCode="yyyy/m/d;@">
                  <c:v>45260</c:v>
                </c:pt>
                <c:pt idx="46" c:formatCode="yyyy/m/d;@">
                  <c:v>45267</c:v>
                </c:pt>
                <c:pt idx="47" c:formatCode="yyyy/m/d;@">
                  <c:v>45274</c:v>
                </c:pt>
                <c:pt idx="48" c:formatCode="yyyy/m/d;@">
                  <c:v>45281</c:v>
                </c:pt>
                <c:pt idx="49" c:formatCode="yyyy/m/d;@">
                  <c:v>45288</c:v>
                </c:pt>
                <c:pt idx="50" c:formatCode="yyyy/m/d;@">
                  <c:v>45295</c:v>
                </c:pt>
                <c:pt idx="51" c:formatCode="yyyy/m/d;@">
                  <c:v>45302</c:v>
                </c:pt>
                <c:pt idx="52" c:formatCode="yyyy/m/d;@">
                  <c:v>45309</c:v>
                </c:pt>
                <c:pt idx="53" c:formatCode="yyyy/m/d;@">
                  <c:v>45316</c:v>
                </c:pt>
                <c:pt idx="54" c:formatCode="yyyy/m/d;@">
                  <c:v>45323</c:v>
                </c:pt>
                <c:pt idx="55" c:formatCode="yyyy/m/d;@">
                  <c:v>45344</c:v>
                </c:pt>
                <c:pt idx="56" c:formatCode="yyyy/m/d;@">
                  <c:v>45351</c:v>
                </c:pt>
                <c:pt idx="57" c:formatCode="yyyy/m/d;@">
                  <c:v>45358</c:v>
                </c:pt>
                <c:pt idx="58" c:formatCode="yyyy/m/d;@">
                  <c:v>45365</c:v>
                </c:pt>
                <c:pt idx="59" c:formatCode="yyyy/m/d;@">
                  <c:v>45372</c:v>
                </c:pt>
                <c:pt idx="60" c:formatCode="yyyy/m/d;@">
                  <c:v>45379</c:v>
                </c:pt>
                <c:pt idx="61" c:formatCode="yyyy/m/d;@">
                  <c:v>45385</c:v>
                </c:pt>
                <c:pt idx="62" c:formatCode="yyyy/m/d;@">
                  <c:v>45393</c:v>
                </c:pt>
                <c:pt idx="63" c:formatCode="yyyy/m/d;@">
                  <c:v>45400</c:v>
                </c:pt>
                <c:pt idx="64" c:formatCode="yyyy/m/d;@">
                  <c:v>45407</c:v>
                </c:pt>
                <c:pt idx="65" c:formatCode="yyyy/m/d;@">
                  <c:v>45414</c:v>
                </c:pt>
                <c:pt idx="66" c:formatCode="yyyy/m/d;@">
                  <c:v>45421</c:v>
                </c:pt>
                <c:pt idx="67" c:formatCode="yyyy/m/d;@">
                  <c:v>45428</c:v>
                </c:pt>
                <c:pt idx="68" c:formatCode="yyyy/m/d;@">
                  <c:v>45435</c:v>
                </c:pt>
                <c:pt idx="69" c:formatCode="yyyy/m/d;@">
                  <c:v>45442</c:v>
                </c:pt>
                <c:pt idx="70" c:formatCode="yyyy/m/d;@">
                  <c:v>45449</c:v>
                </c:pt>
                <c:pt idx="71" c:formatCode="yyyy/m/d;@">
                  <c:v>45456</c:v>
                </c:pt>
                <c:pt idx="72" c:formatCode="yyyy/m/d;@">
                  <c:v>45463</c:v>
                </c:pt>
                <c:pt idx="73" c:formatCode="yyyy/m/d;@">
                  <c:v>45470</c:v>
                </c:pt>
                <c:pt idx="74" c:formatCode="yyyy/m/d;@">
                  <c:v>45477</c:v>
                </c:pt>
                <c:pt idx="75" c:formatCode="yyyy/m/d;@">
                  <c:v>45484</c:v>
                </c:pt>
                <c:pt idx="76" c:formatCode="yyyy/m/d;@">
                  <c:v>45491</c:v>
                </c:pt>
                <c:pt idx="77" c:formatCode="yyyy/m/d;@">
                  <c:v>45498</c:v>
                </c:pt>
                <c:pt idx="78" c:formatCode="yyyy/m/d;@">
                  <c:v>45505</c:v>
                </c:pt>
                <c:pt idx="79" c:formatCode="yyyy/m/d;@">
                  <c:v>45512</c:v>
                </c:pt>
                <c:pt idx="80" c:formatCode="yyyy/m/d;@">
                  <c:v>45519</c:v>
                </c:pt>
                <c:pt idx="81" c:formatCode="yyyy/m/d;@">
                  <c:v>45526</c:v>
                </c:pt>
                <c:pt idx="82" c:formatCode="yyyy/m/d;@">
                  <c:v>45533</c:v>
                </c:pt>
                <c:pt idx="83" c:formatCode="yyyy/m/d;@">
                  <c:v>45540</c:v>
                </c:pt>
                <c:pt idx="84" c:formatCode="yyyy/m/d;@">
                  <c:v>45547</c:v>
                </c:pt>
                <c:pt idx="85" c:formatCode="yyyy/m/d;@">
                  <c:v>45554</c:v>
                </c:pt>
                <c:pt idx="86" c:formatCode="yyyy/m/d;@">
                  <c:v>45561</c:v>
                </c:pt>
                <c:pt idx="87" c:formatCode="yyyy/m/d;@">
                  <c:v>45575</c:v>
                </c:pt>
                <c:pt idx="88" c:formatCode="yyyy/m/d;@">
                  <c:v>45582</c:v>
                </c:pt>
                <c:pt idx="89" c:formatCode="yyyy/m/d;@">
                  <c:v>45589</c:v>
                </c:pt>
                <c:pt idx="90" c:formatCode="yyyy/m/d;@">
                  <c:v>45596</c:v>
                </c:pt>
                <c:pt idx="91" c:formatCode="yyyy/m/d;@">
                  <c:v>45603</c:v>
                </c:pt>
                <c:pt idx="92" c:formatCode="yyyy/m/d;@">
                  <c:v>45610</c:v>
                </c:pt>
                <c:pt idx="93" c:formatCode="yyyy/m/d;@">
                  <c:v>45617</c:v>
                </c:pt>
                <c:pt idx="94" c:formatCode="yyyy/m/d;@">
                  <c:v>45624</c:v>
                </c:pt>
                <c:pt idx="95" c:formatCode="yyyy/m/d;@">
                  <c:v>45631</c:v>
                </c:pt>
                <c:pt idx="96" c:formatCode="yyyy/m/d;@">
                  <c:v>45638</c:v>
                </c:pt>
                <c:pt idx="97" c:formatCode="yyyy/m/d;@">
                  <c:v>45645</c:v>
                </c:pt>
                <c:pt idx="98" c:formatCode="yyyy/m/d;@">
                  <c:v>45652</c:v>
                </c:pt>
                <c:pt idx="99" c:formatCode="yyyy/m/d;@">
                  <c:v>45659</c:v>
                </c:pt>
                <c:pt idx="100" c:formatCode="yyyy/m/d;@">
                  <c:v>45666</c:v>
                </c:pt>
                <c:pt idx="101" c:formatCode="yyyy/m/d;@">
                  <c:v>45673</c:v>
                </c:pt>
                <c:pt idx="102" c:formatCode="yyyy/m/d;@">
                  <c:v>45680</c:v>
                </c:pt>
                <c:pt idx="103" c:formatCode="yyyy/m/d;@">
                  <c:v>45694</c:v>
                </c:pt>
                <c:pt idx="104" c:formatCode="yyyy/m/d;@">
                  <c:v>45701</c:v>
                </c:pt>
                <c:pt idx="105" c:formatCode="yyyy/m/d;@">
                  <c:v>45708</c:v>
                </c:pt>
                <c:pt idx="106" c:formatCode="yyyy/m/d;@">
                  <c:v>45715</c:v>
                </c:pt>
                <c:pt idx="107" c:formatCode="yyyy/m/d;@">
                  <c:v>45722</c:v>
                </c:pt>
                <c:pt idx="108" c:formatCode="yyyy/m/d;@">
                  <c:v>45729</c:v>
                </c:pt>
                <c:pt idx="109" c:formatCode="yyyy/m/d;@">
                  <c:v>45736</c:v>
                </c:pt>
                <c:pt idx="110" c:formatCode="yyyy/m/d;@">
                  <c:v>45743</c:v>
                </c:pt>
                <c:pt idx="111" c:formatCode="yyyy/m/d;@">
                  <c:v>45750</c:v>
                </c:pt>
                <c:pt idx="112" c:formatCode="yyyy/m/d;@">
                  <c:v>45757</c:v>
                </c:pt>
                <c:pt idx="113" c:formatCode="yyyy/m/d;@">
                  <c:v>45764</c:v>
                </c:pt>
                <c:pt idx="114" c:formatCode="yyyy/m/d;@">
                  <c:v>45771</c:v>
                </c:pt>
                <c:pt idx="115" c:formatCode="yyyy/m/d;@">
                  <c:v>45777</c:v>
                </c:pt>
                <c:pt idx="116" c:formatCode="yyyy/m/d;@">
                  <c:v>45785</c:v>
                </c:pt>
                <c:pt idx="117" c:formatCode="yyyy/m/d;@">
                  <c:v>45792</c:v>
                </c:pt>
                <c:pt idx="118" c:formatCode="yyyy/m/d;@">
                  <c:v>45799</c:v>
                </c:pt>
                <c:pt idx="119" c:formatCode="yyyy/m/d;@">
                  <c:v>45806</c:v>
                </c:pt>
                <c:pt idx="120" c:formatCode="yyyy/m/d;@">
                  <c:v>45813</c:v>
                </c:pt>
                <c:pt idx="121" c:formatCode="yyyy/m/d;@">
                  <c:v>45820</c:v>
                </c:pt>
                <c:pt idx="122" c:formatCode="yyyy/m/d;@">
                  <c:v>45827</c:v>
                </c:pt>
                <c:pt idx="123" c:formatCode="yyyy/m/d;@">
                  <c:v>45834</c:v>
                </c:pt>
                <c:pt idx="124" c:formatCode="yyyy/m/d;@">
                  <c:v>45841</c:v>
                </c:pt>
                <c:pt idx="125" c:formatCode="yyyy/m/d;@">
                  <c:v>45848</c:v>
                </c:pt>
                <c:pt idx="126" c:formatCode="yyyy/m/d;@">
                  <c:v>45855</c:v>
                </c:pt>
                <c:pt idx="127" c:formatCode="yyyy/m/d;@">
                  <c:v>45862</c:v>
                </c:pt>
                <c:pt idx="128" c:formatCode="yyyy/m/d;@">
                  <c:v>45869</c:v>
                </c:pt>
                <c:pt idx="129" c:formatCode="yyyy/m/d;@">
                  <c:v>45876</c:v>
                </c:pt>
                <c:pt idx="130" c:formatCode="yyyy/m/d;@">
                  <c:v>45883</c:v>
                </c:pt>
                <c:pt idx="131" c:formatCode="yyyy/m/d;@">
                  <c:v>45890</c:v>
                </c:pt>
                <c:pt idx="132" c:formatCode="yyyy/m/d;@">
                  <c:v>45897</c:v>
                </c:pt>
                <c:pt idx="133" c:formatCode="yyyy/m/d;@">
                  <c:v>45904</c:v>
                </c:pt>
                <c:pt idx="134" c:formatCode="yyyy/m/d;@">
                  <c:v>45911</c:v>
                </c:pt>
                <c:pt idx="135" c:formatCode="yyyy/m/d;@">
                  <c:v>45918</c:v>
                </c:pt>
                <c:pt idx="136" c:formatCode="yyyy/m/d;@">
                  <c:v>45925</c:v>
                </c:pt>
                <c:pt idx="137" c:formatCode="yyyy/m/d;@">
                  <c:v>45939</c:v>
                </c:pt>
                <c:pt idx="138" c:formatCode="yyyy/m/d;@">
                  <c:v>45946</c:v>
                </c:pt>
                <c:pt idx="139" c:formatCode="yyyy/m/d;@">
                  <c:v>45953</c:v>
                </c:pt>
                <c:pt idx="140" c:formatCode="yyyy/m/d;@">
                  <c:v>45960</c:v>
                </c:pt>
                <c:pt idx="141" c:formatCode="yyyy/m/d;@">
                  <c:v>45967</c:v>
                </c:pt>
                <c:pt idx="142" c:formatCode="yyyy/m/d;@">
                  <c:v>45974</c:v>
                </c:pt>
                <c:pt idx="143" c:formatCode="yyyy/m/d;@">
                  <c:v>45981</c:v>
                </c:pt>
                <c:pt idx="144" c:formatCode="yyyy/m/d;@">
                  <c:v>45988</c:v>
                </c:pt>
                <c:pt idx="145" c:formatCode="yyyy/m/d;@">
                  <c:v>45995</c:v>
                </c:pt>
                <c:pt idx="146" c:formatCode="yyyy/m/d;@">
                  <c:v>46002</c:v>
                </c:pt>
                <c:pt idx="147" c:formatCode="yyyy/m/d;@">
                  <c:v>46009</c:v>
                </c:pt>
                <c:pt idx="148" c:formatCode="yyyy/m/d;@">
                  <c:v>46016</c:v>
                </c:pt>
                <c:pt idx="149" c:formatCode="yyyy/m/d;@">
                  <c:v>46023</c:v>
                </c:pt>
                <c:pt idx="150" c:formatCode="yyyy/m/d;@">
                  <c:v>46030</c:v>
                </c:pt>
                <c:pt idx="151" c:formatCode="yyyy/m/d;@">
                  <c:v>46037</c:v>
                </c:pt>
                <c:pt idx="152" c:formatCode="yyyy/m/d;@">
                  <c:v>46044</c:v>
                </c:pt>
                <c:pt idx="153" c:formatCode="yyyy/m/d;@">
                  <c:v>46051</c:v>
                </c:pt>
                <c:pt idx="154" c:formatCode="yyyy/m/d;@">
                  <c:v>46058</c:v>
                </c:pt>
                <c:pt idx="155" c:formatCode="yyyy/m/d;@">
                  <c:v>46065</c:v>
                </c:pt>
                <c:pt idx="156" c:formatCode="yyyy/m/d;@">
                  <c:v>46079</c:v>
                </c:pt>
                <c:pt idx="157" c:formatCode="yyyy/m/d;@">
                  <c:v>46086</c:v>
                </c:pt>
                <c:pt idx="158" c:formatCode="yyyy/m/d;@">
                  <c:v>46093</c:v>
                </c:pt>
                <c:pt idx="159" c:formatCode="yyyy/m/d;@">
                  <c:v>46100</c:v>
                </c:pt>
                <c:pt idx="160" c:formatCode="yyyy/m/d;@">
                  <c:v>46107</c:v>
                </c:pt>
                <c:pt idx="161" c:formatCode="yyyy/m/d;@">
                  <c:v>46114</c:v>
                </c:pt>
                <c:pt idx="162" c:formatCode="yyyy/m/d;@">
                  <c:v>46121</c:v>
                </c:pt>
                <c:pt idx="163" c:formatCode="yyyy/m/d;@">
                  <c:v>46128</c:v>
                </c:pt>
                <c:pt idx="164" c:formatCode="yyyy/m/d;@">
                  <c:v>46135</c:v>
                </c:pt>
                <c:pt idx="165" c:formatCode="yyyy/m/d;@">
                  <c:v>46142</c:v>
                </c:pt>
                <c:pt idx="166" c:formatCode="yyyy/m/d;@">
                  <c:v>46149</c:v>
                </c:pt>
                <c:pt idx="167" c:formatCode="yyyy/m/d;@">
                  <c:v>46156</c:v>
                </c:pt>
                <c:pt idx="168" c:formatCode="yyyy/m/d;@">
                  <c:v>46163</c:v>
                </c:pt>
                <c:pt idx="169" c:formatCode="yyyy/m/d;@">
                  <c:v>46170</c:v>
                </c:pt>
                <c:pt idx="170" c:formatCode="yyyy/m/d;@">
                  <c:v>46177</c:v>
                </c:pt>
                <c:pt idx="171" c:formatCode="yyyy/m/d;@">
                  <c:v>46184</c:v>
                </c:pt>
                <c:pt idx="172" c:formatCode="yyyy/m/d;@">
                  <c:v>46191</c:v>
                </c:pt>
                <c:pt idx="173" c:formatCode="yyyy/m/d;@">
                  <c:v>46198</c:v>
                </c:pt>
                <c:pt idx="174" c:formatCode="yyyy/m/d;@">
                  <c:v>46205</c:v>
                </c:pt>
                <c:pt idx="175" c:formatCode="yyyy/m/d;@">
                  <c:v>46212</c:v>
                </c:pt>
                <c:pt idx="176" c:formatCode="yyyy/m/d;@">
                  <c:v>46219</c:v>
                </c:pt>
                <c:pt idx="177" c:formatCode="yyyy/m/d;@">
                  <c:v>46226</c:v>
                </c:pt>
                <c:pt idx="178" c:formatCode="yyyy/m/d;@">
                  <c:v>46233</c:v>
                </c:pt>
                <c:pt idx="179" c:formatCode="yyyy/m/d;@">
                  <c:v>46240</c:v>
                </c:pt>
                <c:pt idx="180" c:formatCode="yyyy/m/d;@">
                  <c:v>46247</c:v>
                </c:pt>
                <c:pt idx="181" c:formatCode="yyyy/m/d;@">
                  <c:v>46254</c:v>
                </c:pt>
                <c:pt idx="182" c:formatCode="yyyy/m/d;@">
                  <c:v>46261</c:v>
                </c:pt>
                <c:pt idx="183" c:formatCode="yyyy/m/d;@">
                  <c:v>46268</c:v>
                </c:pt>
                <c:pt idx="184" c:formatCode="yyyy/m/d;@">
                  <c:v>46275</c:v>
                </c:pt>
                <c:pt idx="185" c:formatCode="yyyy/m/d;@">
                  <c:v>46282</c:v>
                </c:pt>
                <c:pt idx="186" c:formatCode="yyyy/m/d;@">
                  <c:v>46289</c:v>
                </c:pt>
              </c:numCache>
            </c:numRef>
          </c:cat>
          <c:val>
            <c:numRef>
              <c:f>二元母猪!$B$130:$B$1226</c:f>
              <c:numCache>
                <c:formatCode>General</c:formatCode>
                <c:ptCount val="1097"/>
                <c:pt idx="0">
                  <c:v>1687</c:v>
                </c:pt>
                <c:pt idx="1">
                  <c:v>1644</c:v>
                </c:pt>
                <c:pt idx="2">
                  <c:v>1599</c:v>
                </c:pt>
                <c:pt idx="3">
                  <c:v>1574</c:v>
                </c:pt>
                <c:pt idx="4">
                  <c:v>1599</c:v>
                </c:pt>
                <c:pt idx="5">
                  <c:v>1632</c:v>
                </c:pt>
                <c:pt idx="6">
                  <c:v>1655</c:v>
                </c:pt>
                <c:pt idx="7">
                  <c:v>1655</c:v>
                </c:pt>
                <c:pt idx="8">
                  <c:v>1648</c:v>
                </c:pt>
                <c:pt idx="9">
                  <c:v>1630</c:v>
                </c:pt>
                <c:pt idx="10">
                  <c:v>1627</c:v>
                </c:pt>
                <c:pt idx="11">
                  <c:v>1626</c:v>
                </c:pt>
                <c:pt idx="12">
                  <c:v>1625</c:v>
                </c:pt>
                <c:pt idx="13">
                  <c:v>1624</c:v>
                </c:pt>
                <c:pt idx="14">
                  <c:v>1624</c:v>
                </c:pt>
                <c:pt idx="15">
                  <c:v>1624</c:v>
                </c:pt>
                <c:pt idx="16">
                  <c:v>1624</c:v>
                </c:pt>
                <c:pt idx="17">
                  <c:v>1624</c:v>
                </c:pt>
                <c:pt idx="18">
                  <c:v>1624</c:v>
                </c:pt>
                <c:pt idx="19">
                  <c:v>1624</c:v>
                </c:pt>
                <c:pt idx="20">
                  <c:v>1621</c:v>
                </c:pt>
                <c:pt idx="21">
                  <c:v>1619</c:v>
                </c:pt>
                <c:pt idx="22">
                  <c:v>1611</c:v>
                </c:pt>
                <c:pt idx="23">
                  <c:v>1602</c:v>
                </c:pt>
                <c:pt idx="24">
                  <c:v>1595</c:v>
                </c:pt>
                <c:pt idx="25">
                  <c:v>1589</c:v>
                </c:pt>
                <c:pt idx="26">
                  <c:v>1574</c:v>
                </c:pt>
                <c:pt idx="27">
                  <c:v>1571</c:v>
                </c:pt>
                <c:pt idx="28">
                  <c:v>1613</c:v>
                </c:pt>
                <c:pt idx="29">
                  <c:v>1631</c:v>
                </c:pt>
                <c:pt idx="30">
                  <c:v>1633</c:v>
                </c:pt>
                <c:pt idx="31">
                  <c:v>1633</c:v>
                </c:pt>
                <c:pt idx="32">
                  <c:v>1629</c:v>
                </c:pt>
                <c:pt idx="33">
                  <c:v>1616</c:v>
                </c:pt>
                <c:pt idx="34">
                  <c:v>1603</c:v>
                </c:pt>
                <c:pt idx="35">
                  <c:v>1581</c:v>
                </c:pt>
                <c:pt idx="36">
                  <c:v>1569</c:v>
                </c:pt>
                <c:pt idx="37">
                  <c:v>1564</c:v>
                </c:pt>
                <c:pt idx="38">
                  <c:v>1546</c:v>
                </c:pt>
                <c:pt idx="39">
                  <c:v>1535</c:v>
                </c:pt>
                <c:pt idx="40">
                  <c:v>1535</c:v>
                </c:pt>
                <c:pt idx="41">
                  <c:v>1535</c:v>
                </c:pt>
                <c:pt idx="42">
                  <c:v>1535</c:v>
                </c:pt>
                <c:pt idx="43">
                  <c:v>1535</c:v>
                </c:pt>
                <c:pt idx="44">
                  <c:v>1535</c:v>
                </c:pt>
                <c:pt idx="45">
                  <c:v>1539</c:v>
                </c:pt>
                <c:pt idx="46">
                  <c:v>1541</c:v>
                </c:pt>
                <c:pt idx="47">
                  <c:v>1541</c:v>
                </c:pt>
                <c:pt idx="48">
                  <c:v>1538</c:v>
                </c:pt>
                <c:pt idx="49">
                  <c:v>1538</c:v>
                </c:pt>
                <c:pt idx="50">
                  <c:v>1538</c:v>
                </c:pt>
                <c:pt idx="51">
                  <c:v>1538</c:v>
                </c:pt>
                <c:pt idx="52">
                  <c:v>1538</c:v>
                </c:pt>
                <c:pt idx="53">
                  <c:v>1538</c:v>
                </c:pt>
                <c:pt idx="54">
                  <c:v>1538</c:v>
                </c:pt>
                <c:pt idx="55">
                  <c:v>1541</c:v>
                </c:pt>
                <c:pt idx="56">
                  <c:v>1541</c:v>
                </c:pt>
                <c:pt idx="57">
                  <c:v>1541</c:v>
                </c:pt>
                <c:pt idx="58">
                  <c:v>1543</c:v>
                </c:pt>
                <c:pt idx="59">
                  <c:v>1554</c:v>
                </c:pt>
                <c:pt idx="60">
                  <c:v>1574</c:v>
                </c:pt>
                <c:pt idx="61">
                  <c:v>1577</c:v>
                </c:pt>
                <c:pt idx="62">
                  <c:v>1577</c:v>
                </c:pt>
                <c:pt idx="63">
                  <c:v>1577</c:v>
                </c:pt>
                <c:pt idx="64">
                  <c:v>1577</c:v>
                </c:pt>
                <c:pt idx="65">
                  <c:v>1577</c:v>
                </c:pt>
                <c:pt idx="66">
                  <c:v>1576</c:v>
                </c:pt>
                <c:pt idx="67">
                  <c:v>1576</c:v>
                </c:pt>
                <c:pt idx="68">
                  <c:v>1576</c:v>
                </c:pt>
                <c:pt idx="69">
                  <c:v>1594</c:v>
                </c:pt>
                <c:pt idx="70">
                  <c:v>1625</c:v>
                </c:pt>
                <c:pt idx="71">
                  <c:v>1627</c:v>
                </c:pt>
                <c:pt idx="72">
                  <c:v>1624</c:v>
                </c:pt>
                <c:pt idx="73">
                  <c:v>1620</c:v>
                </c:pt>
                <c:pt idx="74">
                  <c:v>1620</c:v>
                </c:pt>
                <c:pt idx="75">
                  <c:v>1622</c:v>
                </c:pt>
                <c:pt idx="76">
                  <c:v>1631</c:v>
                </c:pt>
                <c:pt idx="77">
                  <c:v>1632</c:v>
                </c:pt>
                <c:pt idx="78">
                  <c:v>1638</c:v>
                </c:pt>
                <c:pt idx="79">
                  <c:v>1642</c:v>
                </c:pt>
                <c:pt idx="80">
                  <c:v>1662</c:v>
                </c:pt>
                <c:pt idx="81">
                  <c:v>1662</c:v>
                </c:pt>
                <c:pt idx="82">
                  <c:v>1662</c:v>
                </c:pt>
                <c:pt idx="83">
                  <c:v>1656</c:v>
                </c:pt>
                <c:pt idx="84">
                  <c:v>1651</c:v>
                </c:pt>
                <c:pt idx="85">
                  <c:v>1651</c:v>
                </c:pt>
                <c:pt idx="86">
                  <c:v>1646</c:v>
                </c:pt>
                <c:pt idx="87">
                  <c:v>1629</c:v>
                </c:pt>
                <c:pt idx="88">
                  <c:v>1629</c:v>
                </c:pt>
                <c:pt idx="89">
                  <c:v>1629</c:v>
                </c:pt>
                <c:pt idx="90">
                  <c:v>1629</c:v>
                </c:pt>
                <c:pt idx="91">
                  <c:v>1627</c:v>
                </c:pt>
                <c:pt idx="92">
                  <c:v>1626</c:v>
                </c:pt>
                <c:pt idx="93">
                  <c:v>1626</c:v>
                </c:pt>
                <c:pt idx="94">
                  <c:v>1626</c:v>
                </c:pt>
                <c:pt idx="95">
                  <c:v>1620</c:v>
                </c:pt>
                <c:pt idx="96">
                  <c:v>1619</c:v>
                </c:pt>
                <c:pt idx="97">
                  <c:v>1618</c:v>
                </c:pt>
                <c:pt idx="98">
                  <c:v>1618</c:v>
                </c:pt>
                <c:pt idx="99">
                  <c:v>1629</c:v>
                </c:pt>
                <c:pt idx="100">
                  <c:v>1636</c:v>
                </c:pt>
                <c:pt idx="101">
                  <c:v>1640</c:v>
                </c:pt>
                <c:pt idx="102">
                  <c:v>1642</c:v>
                </c:pt>
                <c:pt idx="103">
                  <c:v>1642</c:v>
                </c:pt>
                <c:pt idx="104">
                  <c:v>1642</c:v>
                </c:pt>
                <c:pt idx="105">
                  <c:v>1642</c:v>
                </c:pt>
                <c:pt idx="106">
                  <c:v>1635</c:v>
                </c:pt>
                <c:pt idx="107">
                  <c:v>1635</c:v>
                </c:pt>
                <c:pt idx="108">
                  <c:v>1635</c:v>
                </c:pt>
                <c:pt idx="109">
                  <c:v>1635</c:v>
                </c:pt>
                <c:pt idx="110">
                  <c:v>1635</c:v>
                </c:pt>
                <c:pt idx="111">
                  <c:v>1635</c:v>
                </c:pt>
                <c:pt idx="112">
                  <c:v>1635</c:v>
                </c:pt>
                <c:pt idx="113">
                  <c:v>1635</c:v>
                </c:pt>
                <c:pt idx="114">
                  <c:v>1635</c:v>
                </c:pt>
                <c:pt idx="115">
                  <c:v>1635</c:v>
                </c:pt>
                <c:pt idx="116">
                  <c:v>1631</c:v>
                </c:pt>
                <c:pt idx="117">
                  <c:v>1631</c:v>
                </c:pt>
                <c:pt idx="118">
                  <c:v>1631</c:v>
                </c:pt>
                <c:pt idx="119">
                  <c:v>1627</c:v>
                </c:pt>
                <c:pt idx="120">
                  <c:v>1626</c:v>
                </c:pt>
                <c:pt idx="121">
                  <c:v>1621</c:v>
                </c:pt>
                <c:pt idx="122">
                  <c:v>1621</c:v>
                </c:pt>
                <c:pt idx="123">
                  <c:v>1623</c:v>
                </c:pt>
                <c:pt idx="124">
                  <c:v>1623</c:v>
                </c:pt>
                <c:pt idx="125">
                  <c:v>1623</c:v>
                </c:pt>
                <c:pt idx="126">
                  <c:v>1628</c:v>
                </c:pt>
                <c:pt idx="127">
                  <c:v>1628</c:v>
                </c:pt>
                <c:pt idx="128">
                  <c:v>1628</c:v>
                </c:pt>
                <c:pt idx="129">
                  <c:v>1614</c:v>
                </c:pt>
                <c:pt idx="130">
                  <c:v>1611</c:v>
                </c:pt>
                <c:pt idx="131">
                  <c:v>1611</c:v>
                </c:pt>
                <c:pt idx="132">
                  <c:v>1600</c:v>
                </c:pt>
                <c:pt idx="133">
                  <c:v>1596</c:v>
                </c:pt>
                <c:pt idx="134">
                  <c:v>1595</c:v>
                </c:pt>
                <c:pt idx="135">
                  <c:v>1590</c:v>
                </c:pt>
                <c:pt idx="136">
                  <c:v>1590</c:v>
                </c:pt>
                <c:pt idx="137">
                  <c:v>1566</c:v>
                </c:pt>
                <c:pt idx="138">
                  <c:v>1547</c:v>
                </c:pt>
                <c:pt idx="139">
                  <c:v>1546</c:v>
                </c:pt>
                <c:pt idx="140">
                  <c:v>1546</c:v>
                </c:pt>
                <c:pt idx="141">
                  <c:v>1548</c:v>
                </c:pt>
                <c:pt idx="142">
                  <c:v>1548</c:v>
                </c:pt>
                <c:pt idx="143">
                  <c:v>1548</c:v>
                </c:pt>
                <c:pt idx="144">
                  <c:v>1548</c:v>
                </c:pt>
                <c:pt idx="145">
                  <c:v>1546</c:v>
                </c:pt>
                <c:pt idx="146">
                  <c:v>1546</c:v>
                </c:pt>
                <c:pt idx="147">
                  <c:v>1546</c:v>
                </c:pt>
                <c:pt idx="148">
                  <c:v>1546</c:v>
                </c:pt>
                <c:pt idx="149">
                  <c:v>1553</c:v>
                </c:pt>
                <c:pt idx="150">
                  <c:v>1556</c:v>
                </c:pt>
                <c:pt idx="151">
                  <c:v>1559</c:v>
                </c:pt>
                <c:pt idx="152">
                  <c:v>1559</c:v>
                </c:pt>
                <c:pt idx="153">
                  <c:v>1559</c:v>
                </c:pt>
                <c:pt idx="154">
                  <c:v>1559</c:v>
                </c:pt>
                <c:pt idx="155">
                  <c:v>1559</c:v>
                </c:pt>
                <c:pt idx="156">
                  <c:v>1559</c:v>
                </c:pt>
                <c:pt idx="157">
                  <c:v>1559</c:v>
                </c:pt>
                <c:pt idx="158">
                  <c:v>1541</c:v>
                </c:pt>
                <c:pt idx="159">
                  <c:v>1536</c:v>
                </c:pt>
                <c:pt idx="160">
                  <c:v>1514</c:v>
                </c:pt>
                <c:pt idx="161">
                  <c:v>1408</c:v>
                </c:pt>
                <c:pt idx="162">
                  <c:v>1404</c:v>
                </c:pt>
                <c:pt idx="163">
                  <c:v>1404</c:v>
                </c:pt>
                <c:pt idx="164">
                  <c:v>1404</c:v>
                </c:pt>
                <c:pt idx="165">
                  <c:v>1406</c:v>
                </c:pt>
                <c:pt idx="166">
                  <c:v>1407</c:v>
                </c:pt>
                <c:pt idx="167">
                  <c:v>1407</c:v>
                </c:pt>
                <c:pt idx="168">
                  <c:v>1407</c:v>
                </c:pt>
                <c:pt idx="169">
                  <c:v>1407</c:v>
                </c:pt>
                <c:pt idx="170">
                  <c:v>1407</c:v>
                </c:pt>
                <c:pt idx="171">
                  <c:v>1364</c:v>
                </c:pt>
                <c:pt idx="172">
                  <c:v>1319</c:v>
                </c:pt>
                <c:pt idx="173">
                  <c:v>1311</c:v>
                </c:pt>
                <c:pt idx="174">
                  <c:v>1312</c:v>
                </c:pt>
                <c:pt idx="175">
                  <c:v>1318</c:v>
                </c:pt>
                <c:pt idx="176">
                  <c:v>1331</c:v>
                </c:pt>
                <c:pt idx="177">
                  <c:v>1331</c:v>
                </c:pt>
                <c:pt idx="178">
                  <c:v>1331</c:v>
                </c:pt>
                <c:pt idx="179">
                  <c:v>1316</c:v>
                </c:pt>
                <c:pt idx="180">
                  <c:v>1316</c:v>
                </c:pt>
                <c:pt idx="181">
                  <c:v>1316</c:v>
                </c:pt>
                <c:pt idx="182">
                  <c:v>1316</c:v>
                </c:pt>
                <c:pt idx="183">
                  <c:v>1315</c:v>
                </c:pt>
                <c:pt idx="184">
                  <c:v>1315</c:v>
                </c:pt>
                <c:pt idx="185">
                  <c:v>1315</c:v>
                </c:pt>
                <c:pt idx="186">
                  <c:v>1313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accent1">
                  <a:lumMod val="60000"/>
                  <a:lumOff val="40000"/>
                  <a:alpha val="33000"/>
                </a:schemeClr>
              </a:solidFill>
              <a:round/>
            </a:ln>
            <a:effectLst/>
          </c:spPr>
        </c:dropLines>
        <c:marker val="0"/>
        <c:smooth val="0"/>
        <c:axId val="565691046"/>
        <c:axId val="786370340"/>
      </c:lineChart>
      <c:dateAx>
        <c:axId val="565691046"/>
        <c:scaling>
          <c:orientation val="minMax"/>
          <c:max val="46289"/>
          <c:min val="45924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900" b="1" i="0" u="none" strike="noStrike" kern="1200" cap="all" baseline="0">
                    <a:solidFill>
                      <a:sysClr val="windowText" lastClr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  <a:sym typeface="宋体" panose="02010600030101010101" pitchFamily="7" charset="-122"/>
                  </a:defRPr>
                </a:pPr>
                <a:r>
                  <a:rPr b="1">
                    <a:solidFill>
                      <a:sysClr val="windowText" lastClr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  <a:sym typeface="宋体" panose="02010600030101010101" pitchFamily="7" charset="-122"/>
                  </a:rPr>
                  <a:t>元/头</a:t>
                </a:r>
                <a:endParaRPr b="1">
                  <a:solidFill>
                    <a:sysClr val="windowText" lastClr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220806281347778"/>
              <c:y val="0.15680368610891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0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786370340"/>
        <c:crosses val="autoZero"/>
        <c:auto val="1"/>
        <c:lblOffset val="100"/>
        <c:baseTimeUnit val="days"/>
        <c:majorUnit val="2"/>
        <c:majorTimeUnit val="months"/>
      </c:dateAx>
      <c:valAx>
        <c:axId val="786370340"/>
        <c:scaling>
          <c:orientation val="minMax"/>
          <c:max val="1650"/>
          <c:min val="125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565691046"/>
        <c:crosses val="autoZero"/>
        <c:crossBetween val="between"/>
        <c:majorUnit val="100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ff428e8-fc16-4e01-9fe9-07fcfb17b2ff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  <a:sym typeface="宋体" panose="02010600030101010101" pitchFamily="7" charset="-122"/>
        </a:defRPr>
      </a:pPr>
    </a:p>
  </c:txPr>
  <c:externalData r:id="rId1">
    <c:autoUpdate val="0"/>
  </c:externalData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cap="none" spc="2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r>
              <a:rPr lang="en-US" altLang="zh-CN"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2025-2026</a:t>
            </a:r>
            <a:r>
              <a:rPr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年15kg仔猪价格走势图</a:t>
            </a:r>
            <a:endParaRPr b="1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1891688081163"/>
          <c:y val="0.205324074074074"/>
          <c:w val="0.875886089696615"/>
          <c:h val="0.495925925925926"/>
        </c:manualLayout>
      </c:layout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'15公斤仔猪'!$A$231:$A$2195</c:f>
              <c:numCache>
                <c:formatCode>yyyy/m/d;@</c:formatCode>
                <c:ptCount val="1965"/>
                <c:pt idx="0" c:formatCode="yyyy/m/d;@">
                  <c:v>44931</c:v>
                </c:pt>
                <c:pt idx="1" c:formatCode="yyyy/m/d;@">
                  <c:v>44938</c:v>
                </c:pt>
                <c:pt idx="2" c:formatCode="yyyy/m/d;@">
                  <c:v>44959</c:v>
                </c:pt>
                <c:pt idx="3" c:formatCode="yyyy/m/d;@">
                  <c:v>44966</c:v>
                </c:pt>
                <c:pt idx="4" c:formatCode="yyyy/m/d;@">
                  <c:v>44973</c:v>
                </c:pt>
                <c:pt idx="5" c:formatCode="yyyy/m/d;@">
                  <c:v>44980</c:v>
                </c:pt>
                <c:pt idx="6" c:formatCode="yyyy/m/d;@">
                  <c:v>44987</c:v>
                </c:pt>
                <c:pt idx="7" c:formatCode="yyyy/m/d;@">
                  <c:v>44994</c:v>
                </c:pt>
                <c:pt idx="8" c:formatCode="yyyy/m/d;@">
                  <c:v>45001</c:v>
                </c:pt>
                <c:pt idx="9" c:formatCode="yyyy/m/d;@">
                  <c:v>45008</c:v>
                </c:pt>
                <c:pt idx="10" c:formatCode="yyyy/m/d;@">
                  <c:v>45015</c:v>
                </c:pt>
                <c:pt idx="11" c:formatCode="yyyy/m/d;@">
                  <c:v>45022</c:v>
                </c:pt>
                <c:pt idx="12" c:formatCode="yyyy/m/d;@">
                  <c:v>45029</c:v>
                </c:pt>
                <c:pt idx="13" c:formatCode="yyyy/m/d;@">
                  <c:v>45036</c:v>
                </c:pt>
                <c:pt idx="14" c:formatCode="yyyy/m/d;@">
                  <c:v>45043</c:v>
                </c:pt>
                <c:pt idx="15" c:formatCode="yyyy/m/d;@">
                  <c:v>45050</c:v>
                </c:pt>
                <c:pt idx="16" c:formatCode="yyyy/m/d;@">
                  <c:v>45057</c:v>
                </c:pt>
                <c:pt idx="17" c:formatCode="yyyy/m/d;@">
                  <c:v>45064</c:v>
                </c:pt>
                <c:pt idx="18" c:formatCode="yyyy/m/d;@">
                  <c:v>45071</c:v>
                </c:pt>
                <c:pt idx="19" c:formatCode="yyyy/m/d;@">
                  <c:v>45078</c:v>
                </c:pt>
                <c:pt idx="20" c:formatCode="yyyy/m/d;@">
                  <c:v>45085</c:v>
                </c:pt>
                <c:pt idx="21" c:formatCode="yyyy/m/d;@">
                  <c:v>45092</c:v>
                </c:pt>
                <c:pt idx="22" c:formatCode="yyyy/m/d;@">
                  <c:v>45098</c:v>
                </c:pt>
                <c:pt idx="23" c:formatCode="yyyy/m/d;@">
                  <c:v>45106</c:v>
                </c:pt>
                <c:pt idx="24" c:formatCode="yyyy/m/d;@">
                  <c:v>45113</c:v>
                </c:pt>
                <c:pt idx="25" c:formatCode="yyyy/m/d;@">
                  <c:v>45120</c:v>
                </c:pt>
                <c:pt idx="26" c:formatCode="yyyy/m/d;@">
                  <c:v>45127</c:v>
                </c:pt>
                <c:pt idx="27" c:formatCode="yyyy/m/d;@">
                  <c:v>45134</c:v>
                </c:pt>
                <c:pt idx="28" c:formatCode="yyyy/m/d;@">
                  <c:v>45141</c:v>
                </c:pt>
                <c:pt idx="29" c:formatCode="yyyy/m/d;@">
                  <c:v>45148</c:v>
                </c:pt>
                <c:pt idx="30" c:formatCode="yyyy/m/d;@">
                  <c:v>45155</c:v>
                </c:pt>
                <c:pt idx="31" c:formatCode="yyyy/m/d;@">
                  <c:v>45162</c:v>
                </c:pt>
                <c:pt idx="32" c:formatCode="yyyy/m/d;@">
                  <c:v>45169</c:v>
                </c:pt>
                <c:pt idx="33" c:formatCode="yyyy/m/d;@">
                  <c:v>45176</c:v>
                </c:pt>
                <c:pt idx="34" c:formatCode="yyyy/m/d;@">
                  <c:v>45183</c:v>
                </c:pt>
                <c:pt idx="35" c:formatCode="yyyy/m/d;@">
                  <c:v>45190</c:v>
                </c:pt>
                <c:pt idx="36" c:formatCode="yyyy/m/d;@">
                  <c:v>45197</c:v>
                </c:pt>
                <c:pt idx="37" c:formatCode="yyyy/m/d;@">
                  <c:v>45205</c:v>
                </c:pt>
                <c:pt idx="38" c:formatCode="yyyy/m/d;@">
                  <c:v>45211</c:v>
                </c:pt>
                <c:pt idx="39" c:formatCode="yyyy/m/d;@">
                  <c:v>45218</c:v>
                </c:pt>
                <c:pt idx="40" c:formatCode="yyyy/m/d;@">
                  <c:v>45225</c:v>
                </c:pt>
                <c:pt idx="41" c:formatCode="yyyy/m/d;@">
                  <c:v>45232</c:v>
                </c:pt>
                <c:pt idx="42" c:formatCode="yyyy/m/d;@">
                  <c:v>45239</c:v>
                </c:pt>
                <c:pt idx="43" c:formatCode="yyyy/m/d;@">
                  <c:v>45246</c:v>
                </c:pt>
                <c:pt idx="44" c:formatCode="yyyy/m/d;@">
                  <c:v>45253</c:v>
                </c:pt>
                <c:pt idx="45" c:formatCode="yyyy/m/d;@">
                  <c:v>45260</c:v>
                </c:pt>
                <c:pt idx="46" c:formatCode="yyyy/m/d;@">
                  <c:v>45267</c:v>
                </c:pt>
                <c:pt idx="47" c:formatCode="yyyy/m/d;@">
                  <c:v>45274</c:v>
                </c:pt>
                <c:pt idx="48" c:formatCode="yyyy/m/d;@">
                  <c:v>45281</c:v>
                </c:pt>
                <c:pt idx="49" c:formatCode="yyyy/m/d;@">
                  <c:v>45288</c:v>
                </c:pt>
                <c:pt idx="50" c:formatCode="yyyy/m/d;@">
                  <c:v>45295</c:v>
                </c:pt>
                <c:pt idx="51" c:formatCode="yyyy/m/d;@">
                  <c:v>45302</c:v>
                </c:pt>
                <c:pt idx="52" c:formatCode="yyyy/m/d;@">
                  <c:v>45309</c:v>
                </c:pt>
                <c:pt idx="53" c:formatCode="yyyy/m/d;@">
                  <c:v>45316</c:v>
                </c:pt>
                <c:pt idx="54" c:formatCode="yyyy/m/d;@">
                  <c:v>45323</c:v>
                </c:pt>
                <c:pt idx="55" c:formatCode="yyyy/m/d;@">
                  <c:v>45344</c:v>
                </c:pt>
                <c:pt idx="56" c:formatCode="yyyy/m/d;@">
                  <c:v>45351</c:v>
                </c:pt>
                <c:pt idx="57" c:formatCode="yyyy/m/d;@">
                  <c:v>45358</c:v>
                </c:pt>
                <c:pt idx="58" c:formatCode="yyyy/m/d;@">
                  <c:v>45365</c:v>
                </c:pt>
                <c:pt idx="59" c:formatCode="yyyy/m/d;@">
                  <c:v>45372</c:v>
                </c:pt>
                <c:pt idx="60" c:formatCode="yyyy/m/d;@">
                  <c:v>45379</c:v>
                </c:pt>
                <c:pt idx="61" c:formatCode="yyyy/m/d;@">
                  <c:v>45385</c:v>
                </c:pt>
                <c:pt idx="62" c:formatCode="yyyy/m/d;@">
                  <c:v>45393</c:v>
                </c:pt>
                <c:pt idx="63" c:formatCode="yyyy/m/d;@">
                  <c:v>45400</c:v>
                </c:pt>
                <c:pt idx="64" c:formatCode="yyyy/m/d;@">
                  <c:v>45407</c:v>
                </c:pt>
                <c:pt idx="65" c:formatCode="yyyy/m/d;@">
                  <c:v>45414</c:v>
                </c:pt>
                <c:pt idx="66" c:formatCode="yyyy/m/d;@">
                  <c:v>45421</c:v>
                </c:pt>
                <c:pt idx="67" c:formatCode="yyyy/m/d;@">
                  <c:v>45428</c:v>
                </c:pt>
                <c:pt idx="68" c:formatCode="yyyy/m/d;@">
                  <c:v>45435</c:v>
                </c:pt>
                <c:pt idx="69" c:formatCode="yyyy/m/d;@">
                  <c:v>45442</c:v>
                </c:pt>
                <c:pt idx="70" c:formatCode="yyyy/m/d;@">
                  <c:v>45449</c:v>
                </c:pt>
                <c:pt idx="71" c:formatCode="yyyy/m/d;@">
                  <c:v>45456</c:v>
                </c:pt>
                <c:pt idx="72" c:formatCode="yyyy/m/d;@">
                  <c:v>45463</c:v>
                </c:pt>
                <c:pt idx="73" c:formatCode="yyyy/m/d;@">
                  <c:v>45470</c:v>
                </c:pt>
                <c:pt idx="74" c:formatCode="yyyy/m/d;@">
                  <c:v>45477</c:v>
                </c:pt>
                <c:pt idx="75" c:formatCode="yyyy/m/d;@">
                  <c:v>45484</c:v>
                </c:pt>
                <c:pt idx="76" c:formatCode="yyyy/m/d;@">
                  <c:v>45491</c:v>
                </c:pt>
                <c:pt idx="77" c:formatCode="yyyy/m/d;@">
                  <c:v>45498</c:v>
                </c:pt>
                <c:pt idx="78" c:formatCode="yyyy/m/d;@">
                  <c:v>45505</c:v>
                </c:pt>
                <c:pt idx="79" c:formatCode="yyyy/m/d;@">
                  <c:v>45512</c:v>
                </c:pt>
                <c:pt idx="80" c:formatCode="yyyy/m/d;@">
                  <c:v>45519</c:v>
                </c:pt>
                <c:pt idx="81" c:formatCode="yyyy/m/d;@">
                  <c:v>45526</c:v>
                </c:pt>
                <c:pt idx="82" c:formatCode="yyyy/m/d;@">
                  <c:v>45533</c:v>
                </c:pt>
                <c:pt idx="83" c:formatCode="yyyy/m/d;@">
                  <c:v>45540</c:v>
                </c:pt>
                <c:pt idx="84" c:formatCode="yyyy/m/d;@">
                  <c:v>45547</c:v>
                </c:pt>
                <c:pt idx="85" c:formatCode="yyyy/m/d;@">
                  <c:v>45554</c:v>
                </c:pt>
                <c:pt idx="86" c:formatCode="yyyy/m/d;@">
                  <c:v>45561</c:v>
                </c:pt>
                <c:pt idx="87" c:formatCode="yyyy/m/d;@">
                  <c:v>45575</c:v>
                </c:pt>
                <c:pt idx="88" c:formatCode="yyyy/m/d;@">
                  <c:v>45582</c:v>
                </c:pt>
                <c:pt idx="89" c:formatCode="yyyy/m/d;@">
                  <c:v>45589</c:v>
                </c:pt>
                <c:pt idx="90" c:formatCode="yyyy/m/d;@">
                  <c:v>45596</c:v>
                </c:pt>
                <c:pt idx="91" c:formatCode="yyyy/m/d;@">
                  <c:v>45603</c:v>
                </c:pt>
                <c:pt idx="92" c:formatCode="yyyy/m/d;@">
                  <c:v>45610</c:v>
                </c:pt>
                <c:pt idx="93" c:formatCode="yyyy/m/d;@">
                  <c:v>45617</c:v>
                </c:pt>
                <c:pt idx="94" c:formatCode="yyyy/m/d;@">
                  <c:v>45624</c:v>
                </c:pt>
                <c:pt idx="95" c:formatCode="yyyy/m/d;@">
                  <c:v>45631</c:v>
                </c:pt>
                <c:pt idx="96" c:formatCode="yyyy/m/d;@">
                  <c:v>45638</c:v>
                </c:pt>
                <c:pt idx="97" c:formatCode="yyyy/m/d;@">
                  <c:v>45645</c:v>
                </c:pt>
                <c:pt idx="98" c:formatCode="yyyy/m/d;@">
                  <c:v>45652</c:v>
                </c:pt>
                <c:pt idx="99" c:formatCode="yyyy/m/d;@">
                  <c:v>45659</c:v>
                </c:pt>
                <c:pt idx="100" c:formatCode="yyyy/m/d;@">
                  <c:v>45666</c:v>
                </c:pt>
                <c:pt idx="101" c:formatCode="yyyy/m/d;@">
                  <c:v>45673</c:v>
                </c:pt>
                <c:pt idx="102" c:formatCode="yyyy/m/d;@">
                  <c:v>45680</c:v>
                </c:pt>
                <c:pt idx="103" c:formatCode="yyyy/m/d;@">
                  <c:v>45694</c:v>
                </c:pt>
                <c:pt idx="104" c:formatCode="yyyy/m/d;@">
                  <c:v>45701</c:v>
                </c:pt>
                <c:pt idx="105" c:formatCode="yyyy/m/d;@">
                  <c:v>45708</c:v>
                </c:pt>
                <c:pt idx="106" c:formatCode="yyyy/m/d;@">
                  <c:v>45715</c:v>
                </c:pt>
                <c:pt idx="107" c:formatCode="yyyy/m/d;@">
                  <c:v>45722</c:v>
                </c:pt>
                <c:pt idx="108" c:formatCode="yyyy/m/d;@">
                  <c:v>45729</c:v>
                </c:pt>
                <c:pt idx="109" c:formatCode="yyyy/m/d;@">
                  <c:v>45736</c:v>
                </c:pt>
                <c:pt idx="110" c:formatCode="yyyy/m/d;@">
                  <c:v>45743</c:v>
                </c:pt>
                <c:pt idx="111" c:formatCode="yyyy/m/d;@">
                  <c:v>45750</c:v>
                </c:pt>
                <c:pt idx="112" c:formatCode="yyyy/m/d;@">
                  <c:v>45757</c:v>
                </c:pt>
                <c:pt idx="113" c:formatCode="yyyy/m/d;@">
                  <c:v>45764</c:v>
                </c:pt>
                <c:pt idx="114" c:formatCode="yyyy/m/d;@">
                  <c:v>45771</c:v>
                </c:pt>
                <c:pt idx="115" c:formatCode="yyyy/m/d;@">
                  <c:v>45777</c:v>
                </c:pt>
                <c:pt idx="116" c:formatCode="yyyy/m/d;@">
                  <c:v>45785</c:v>
                </c:pt>
                <c:pt idx="117" c:formatCode="yyyy/m/d;@">
                  <c:v>45792</c:v>
                </c:pt>
                <c:pt idx="118" c:formatCode="yyyy/m/d;@">
                  <c:v>45799</c:v>
                </c:pt>
                <c:pt idx="119" c:formatCode="yyyy/m/d;@">
                  <c:v>45806</c:v>
                </c:pt>
                <c:pt idx="120" c:formatCode="yyyy/m/d;@">
                  <c:v>45813</c:v>
                </c:pt>
                <c:pt idx="121" c:formatCode="yyyy/m/d;@">
                  <c:v>45820</c:v>
                </c:pt>
                <c:pt idx="122" c:formatCode="yyyy/m/d;@">
                  <c:v>45827</c:v>
                </c:pt>
                <c:pt idx="123" c:formatCode="yyyy/m/d;@">
                  <c:v>45834</c:v>
                </c:pt>
                <c:pt idx="124" c:formatCode="yyyy/m/d;@">
                  <c:v>45841</c:v>
                </c:pt>
                <c:pt idx="125" c:formatCode="yyyy/m/d;@">
                  <c:v>45848</c:v>
                </c:pt>
                <c:pt idx="126" c:formatCode="yyyy/m/d;@">
                  <c:v>45855</c:v>
                </c:pt>
                <c:pt idx="127" c:formatCode="yyyy/m/d;@">
                  <c:v>45862</c:v>
                </c:pt>
                <c:pt idx="128" c:formatCode="yyyy/m/d;@">
                  <c:v>45869</c:v>
                </c:pt>
                <c:pt idx="129" c:formatCode="yyyy/m/d;@">
                  <c:v>45876</c:v>
                </c:pt>
                <c:pt idx="130" c:formatCode="yyyy/m/d;@">
                  <c:v>45883</c:v>
                </c:pt>
                <c:pt idx="131" c:formatCode="yyyy/m/d;@">
                  <c:v>45890</c:v>
                </c:pt>
                <c:pt idx="132" c:formatCode="yyyy/m/d;@">
                  <c:v>45897</c:v>
                </c:pt>
                <c:pt idx="133" c:formatCode="yyyy/m/d;@">
                  <c:v>45904</c:v>
                </c:pt>
                <c:pt idx="134" c:formatCode="yyyy/m/d;@">
                  <c:v>45911</c:v>
                </c:pt>
                <c:pt idx="135" c:formatCode="yyyy/m/d;@">
                  <c:v>45918</c:v>
                </c:pt>
                <c:pt idx="136" c:formatCode="yyyy/m/d;@">
                  <c:v>45925</c:v>
                </c:pt>
                <c:pt idx="137" c:formatCode="yyyy/m/d;@">
                  <c:v>45939</c:v>
                </c:pt>
                <c:pt idx="138" c:formatCode="yyyy/m/d;@">
                  <c:v>45946</c:v>
                </c:pt>
                <c:pt idx="139" c:formatCode="yyyy/m/d;@">
                  <c:v>45953</c:v>
                </c:pt>
                <c:pt idx="140" c:formatCode="yyyy/m/d;@">
                  <c:v>45960</c:v>
                </c:pt>
                <c:pt idx="141" c:formatCode="yyyy/m/d;@">
                  <c:v>45967</c:v>
                </c:pt>
                <c:pt idx="142" c:formatCode="yyyy/m/d;@">
                  <c:v>45974</c:v>
                </c:pt>
                <c:pt idx="143" c:formatCode="yyyy/m/d;@">
                  <c:v>45981</c:v>
                </c:pt>
                <c:pt idx="144" c:formatCode="yyyy/m/d;@">
                  <c:v>45988</c:v>
                </c:pt>
                <c:pt idx="145" c:formatCode="yyyy/m/d;@">
                  <c:v>45995</c:v>
                </c:pt>
                <c:pt idx="146" c:formatCode="yyyy/m/d;@">
                  <c:v>46002</c:v>
                </c:pt>
                <c:pt idx="147" c:formatCode="yyyy/m/d;@">
                  <c:v>46009</c:v>
                </c:pt>
                <c:pt idx="148" c:formatCode="yyyy/m/d;@">
                  <c:v>46016</c:v>
                </c:pt>
                <c:pt idx="149" c:formatCode="yyyy/m/d;@">
                  <c:v>46023</c:v>
                </c:pt>
                <c:pt idx="150" c:formatCode="yyyy/m/d;@">
                  <c:v>46030</c:v>
                </c:pt>
                <c:pt idx="151" c:formatCode="yyyy/m/d;@">
                  <c:v>46037</c:v>
                </c:pt>
                <c:pt idx="152" c:formatCode="yyyy/m/d;@">
                  <c:v>46044</c:v>
                </c:pt>
                <c:pt idx="153" c:formatCode="yyyy/m/d;@">
                  <c:v>46051</c:v>
                </c:pt>
                <c:pt idx="154" c:formatCode="yyyy/m/d;@">
                  <c:v>46058</c:v>
                </c:pt>
                <c:pt idx="155" c:formatCode="yyyy/m/d;@">
                  <c:v>46065</c:v>
                </c:pt>
                <c:pt idx="156" c:formatCode="yyyy/m/d;@">
                  <c:v>46079</c:v>
                </c:pt>
                <c:pt idx="157" c:formatCode="yyyy/m/d;@">
                  <c:v>46086</c:v>
                </c:pt>
                <c:pt idx="158" c:formatCode="yyyy/m/d;@">
                  <c:v>46093</c:v>
                </c:pt>
                <c:pt idx="159" c:formatCode="yyyy/m/d;@">
                  <c:v>46100</c:v>
                </c:pt>
                <c:pt idx="160" c:formatCode="yyyy/m/d;@">
                  <c:v>46107</c:v>
                </c:pt>
                <c:pt idx="161" c:formatCode="yyyy/m/d;@">
                  <c:v>46114</c:v>
                </c:pt>
                <c:pt idx="162" c:formatCode="yyyy/m/d;@">
                  <c:v>46121</c:v>
                </c:pt>
                <c:pt idx="163" c:formatCode="yyyy/m/d;@">
                  <c:v>46128</c:v>
                </c:pt>
                <c:pt idx="164" c:formatCode="yyyy/m/d;@">
                  <c:v>46135</c:v>
                </c:pt>
                <c:pt idx="165" c:formatCode="yyyy/m/d;@">
                  <c:v>46142</c:v>
                </c:pt>
                <c:pt idx="166" c:formatCode="yyyy/m/d;@">
                  <c:v>46149</c:v>
                </c:pt>
                <c:pt idx="167" c:formatCode="yyyy/m/d;@">
                  <c:v>46156</c:v>
                </c:pt>
                <c:pt idx="168" c:formatCode="yyyy/m/d;@">
                  <c:v>46163</c:v>
                </c:pt>
                <c:pt idx="169" c:formatCode="yyyy/m/d;@">
                  <c:v>46170</c:v>
                </c:pt>
                <c:pt idx="170" c:formatCode="yyyy/m/d;@">
                  <c:v>46177</c:v>
                </c:pt>
                <c:pt idx="171" c:formatCode="yyyy/m/d;@">
                  <c:v>46184</c:v>
                </c:pt>
                <c:pt idx="172" c:formatCode="yyyy/m/d;@">
                  <c:v>46191</c:v>
                </c:pt>
                <c:pt idx="173" c:formatCode="yyyy/m/d;@">
                  <c:v>46198</c:v>
                </c:pt>
                <c:pt idx="174" c:formatCode="yyyy/m/d;@">
                  <c:v>46205</c:v>
                </c:pt>
                <c:pt idx="175" c:formatCode="yyyy/m/d;@">
                  <c:v>46212</c:v>
                </c:pt>
                <c:pt idx="176" c:formatCode="yyyy/m/d;@">
                  <c:v>46219</c:v>
                </c:pt>
                <c:pt idx="177" c:formatCode="yyyy/m/d;@">
                  <c:v>46226</c:v>
                </c:pt>
                <c:pt idx="178" c:formatCode="yyyy/m/d;@">
                  <c:v>46233</c:v>
                </c:pt>
                <c:pt idx="179" c:formatCode="yyyy/m/d;@">
                  <c:v>46240</c:v>
                </c:pt>
                <c:pt idx="180" c:formatCode="yyyy/m/d;@">
                  <c:v>46247</c:v>
                </c:pt>
                <c:pt idx="181" c:formatCode="yyyy/m/d;@">
                  <c:v>46254</c:v>
                </c:pt>
                <c:pt idx="182" c:formatCode="yyyy/m/d;@">
                  <c:v>46261</c:v>
                </c:pt>
                <c:pt idx="183" c:formatCode="yyyy/m/d;@">
                  <c:v>46268</c:v>
                </c:pt>
                <c:pt idx="184" c:formatCode="yyyy/m/d;@">
                  <c:v>46275</c:v>
                </c:pt>
                <c:pt idx="185" c:formatCode="yyyy/m/d;@">
                  <c:v>46282</c:v>
                </c:pt>
                <c:pt idx="186" c:formatCode="yyyy/m/d;@">
                  <c:v>46289</c:v>
                </c:pt>
              </c:numCache>
            </c:numRef>
          </c:cat>
          <c:val>
            <c:numRef>
              <c:f>'15公斤仔猪'!$B$231:$B$2195</c:f>
              <c:numCache>
                <c:formatCode>General</c:formatCode>
                <c:ptCount val="1965"/>
                <c:pt idx="0">
                  <c:v>508</c:v>
                </c:pt>
                <c:pt idx="1">
                  <c:v>461</c:v>
                </c:pt>
                <c:pt idx="2">
                  <c:v>518</c:v>
                </c:pt>
                <c:pt idx="3">
                  <c:v>555</c:v>
                </c:pt>
                <c:pt idx="4">
                  <c:v>596</c:v>
                </c:pt>
                <c:pt idx="5">
                  <c:v>649</c:v>
                </c:pt>
                <c:pt idx="6">
                  <c:v>703</c:v>
                </c:pt>
                <c:pt idx="7">
                  <c:v>704</c:v>
                </c:pt>
                <c:pt idx="8">
                  <c:v>691</c:v>
                </c:pt>
                <c:pt idx="9">
                  <c:v>674</c:v>
                </c:pt>
                <c:pt idx="10">
                  <c:v>655</c:v>
                </c:pt>
                <c:pt idx="11">
                  <c:v>641</c:v>
                </c:pt>
                <c:pt idx="12">
                  <c:v>618</c:v>
                </c:pt>
                <c:pt idx="13">
                  <c:v>618</c:v>
                </c:pt>
                <c:pt idx="14">
                  <c:v>613</c:v>
                </c:pt>
                <c:pt idx="15">
                  <c:v>622</c:v>
                </c:pt>
                <c:pt idx="16">
                  <c:v>638</c:v>
                </c:pt>
                <c:pt idx="17">
                  <c:v>650</c:v>
                </c:pt>
                <c:pt idx="18">
                  <c:v>650</c:v>
                </c:pt>
                <c:pt idx="19">
                  <c:v>621</c:v>
                </c:pt>
                <c:pt idx="20">
                  <c:v>568</c:v>
                </c:pt>
                <c:pt idx="21">
                  <c:v>507</c:v>
                </c:pt>
                <c:pt idx="22">
                  <c:v>502</c:v>
                </c:pt>
                <c:pt idx="23">
                  <c:v>495</c:v>
                </c:pt>
                <c:pt idx="24">
                  <c:v>474</c:v>
                </c:pt>
                <c:pt idx="25">
                  <c:v>469</c:v>
                </c:pt>
                <c:pt idx="26">
                  <c:v>450</c:v>
                </c:pt>
                <c:pt idx="27">
                  <c:v>458</c:v>
                </c:pt>
                <c:pt idx="28">
                  <c:v>466</c:v>
                </c:pt>
                <c:pt idx="29">
                  <c:v>516</c:v>
                </c:pt>
                <c:pt idx="30">
                  <c:v>540</c:v>
                </c:pt>
                <c:pt idx="31">
                  <c:v>511</c:v>
                </c:pt>
                <c:pt idx="32">
                  <c:v>469</c:v>
                </c:pt>
                <c:pt idx="33">
                  <c:v>436</c:v>
                </c:pt>
                <c:pt idx="34">
                  <c:v>416</c:v>
                </c:pt>
                <c:pt idx="35">
                  <c:v>381</c:v>
                </c:pt>
                <c:pt idx="36">
                  <c:v>306</c:v>
                </c:pt>
                <c:pt idx="37">
                  <c:v>296</c:v>
                </c:pt>
                <c:pt idx="38">
                  <c:v>279</c:v>
                </c:pt>
                <c:pt idx="39">
                  <c:v>214</c:v>
                </c:pt>
                <c:pt idx="40">
                  <c:v>206</c:v>
                </c:pt>
                <c:pt idx="41">
                  <c:v>235</c:v>
                </c:pt>
                <c:pt idx="42">
                  <c:v>254</c:v>
                </c:pt>
                <c:pt idx="43">
                  <c:v>292</c:v>
                </c:pt>
                <c:pt idx="44">
                  <c:v>312</c:v>
                </c:pt>
                <c:pt idx="45">
                  <c:v>319</c:v>
                </c:pt>
                <c:pt idx="46">
                  <c:v>318</c:v>
                </c:pt>
                <c:pt idx="47">
                  <c:v>318</c:v>
                </c:pt>
                <c:pt idx="48">
                  <c:v>308</c:v>
                </c:pt>
                <c:pt idx="49">
                  <c:v>303</c:v>
                </c:pt>
                <c:pt idx="50">
                  <c:v>303</c:v>
                </c:pt>
                <c:pt idx="51">
                  <c:v>306</c:v>
                </c:pt>
                <c:pt idx="52">
                  <c:v>332</c:v>
                </c:pt>
                <c:pt idx="53">
                  <c:v>469</c:v>
                </c:pt>
                <c:pt idx="54">
                  <c:v>506</c:v>
                </c:pt>
                <c:pt idx="55">
                  <c:v>603</c:v>
                </c:pt>
                <c:pt idx="56">
                  <c:v>555</c:v>
                </c:pt>
                <c:pt idx="57">
                  <c:v>530</c:v>
                </c:pt>
                <c:pt idx="58">
                  <c:v>561</c:v>
                </c:pt>
                <c:pt idx="59">
                  <c:v>631</c:v>
                </c:pt>
                <c:pt idx="60">
                  <c:v>711</c:v>
                </c:pt>
                <c:pt idx="61">
                  <c:v>722</c:v>
                </c:pt>
                <c:pt idx="62">
                  <c:v>718</c:v>
                </c:pt>
                <c:pt idx="63">
                  <c:v>717</c:v>
                </c:pt>
                <c:pt idx="64">
                  <c:v>713</c:v>
                </c:pt>
                <c:pt idx="65">
                  <c:v>700</c:v>
                </c:pt>
                <c:pt idx="66">
                  <c:v>689</c:v>
                </c:pt>
                <c:pt idx="67">
                  <c:v>689</c:v>
                </c:pt>
                <c:pt idx="68">
                  <c:v>705</c:v>
                </c:pt>
                <c:pt idx="69">
                  <c:v>746</c:v>
                </c:pt>
                <c:pt idx="70">
                  <c:v>801</c:v>
                </c:pt>
                <c:pt idx="71">
                  <c:v>807</c:v>
                </c:pt>
                <c:pt idx="72">
                  <c:v>796</c:v>
                </c:pt>
                <c:pt idx="73">
                  <c:v>759</c:v>
                </c:pt>
                <c:pt idx="74">
                  <c:v>702</c:v>
                </c:pt>
                <c:pt idx="75">
                  <c:v>666</c:v>
                </c:pt>
                <c:pt idx="76">
                  <c:v>645</c:v>
                </c:pt>
                <c:pt idx="77">
                  <c:v>682</c:v>
                </c:pt>
                <c:pt idx="78">
                  <c:v>679</c:v>
                </c:pt>
                <c:pt idx="79">
                  <c:v>681</c:v>
                </c:pt>
                <c:pt idx="80">
                  <c:v>689</c:v>
                </c:pt>
                <c:pt idx="81">
                  <c:v>686</c:v>
                </c:pt>
                <c:pt idx="82">
                  <c:v>686</c:v>
                </c:pt>
                <c:pt idx="83">
                  <c:v>649</c:v>
                </c:pt>
                <c:pt idx="84">
                  <c:v>613</c:v>
                </c:pt>
                <c:pt idx="85">
                  <c:v>557</c:v>
                </c:pt>
                <c:pt idx="86">
                  <c:v>489</c:v>
                </c:pt>
                <c:pt idx="87">
                  <c:v>438</c:v>
                </c:pt>
                <c:pt idx="88">
                  <c:v>458</c:v>
                </c:pt>
                <c:pt idx="89">
                  <c:v>466</c:v>
                </c:pt>
                <c:pt idx="90">
                  <c:v>500</c:v>
                </c:pt>
                <c:pt idx="91">
                  <c:v>530</c:v>
                </c:pt>
                <c:pt idx="92">
                  <c:v>513</c:v>
                </c:pt>
                <c:pt idx="93">
                  <c:v>492</c:v>
                </c:pt>
                <c:pt idx="94">
                  <c:v>487</c:v>
                </c:pt>
                <c:pt idx="95">
                  <c:v>470</c:v>
                </c:pt>
                <c:pt idx="96">
                  <c:v>458</c:v>
                </c:pt>
                <c:pt idx="97">
                  <c:v>448</c:v>
                </c:pt>
                <c:pt idx="98">
                  <c:v>443</c:v>
                </c:pt>
                <c:pt idx="99">
                  <c:v>491</c:v>
                </c:pt>
                <c:pt idx="100">
                  <c:v>538</c:v>
                </c:pt>
                <c:pt idx="101">
                  <c:v>581</c:v>
                </c:pt>
                <c:pt idx="102">
                  <c:v>632</c:v>
                </c:pt>
                <c:pt idx="103">
                  <c:v>654</c:v>
                </c:pt>
                <c:pt idx="104">
                  <c:v>630</c:v>
                </c:pt>
                <c:pt idx="105">
                  <c:v>592</c:v>
                </c:pt>
                <c:pt idx="106">
                  <c:v>559</c:v>
                </c:pt>
                <c:pt idx="107">
                  <c:v>559</c:v>
                </c:pt>
                <c:pt idx="108">
                  <c:v>605</c:v>
                </c:pt>
                <c:pt idx="109">
                  <c:v>630</c:v>
                </c:pt>
                <c:pt idx="110">
                  <c:v>648</c:v>
                </c:pt>
                <c:pt idx="111">
                  <c:v>659</c:v>
                </c:pt>
                <c:pt idx="112">
                  <c:v>659</c:v>
                </c:pt>
                <c:pt idx="113">
                  <c:v>659</c:v>
                </c:pt>
                <c:pt idx="114">
                  <c:v>650</c:v>
                </c:pt>
                <c:pt idx="115">
                  <c:v>650</c:v>
                </c:pt>
                <c:pt idx="116">
                  <c:v>647</c:v>
                </c:pt>
                <c:pt idx="117">
                  <c:v>630</c:v>
                </c:pt>
                <c:pt idx="118">
                  <c:v>626</c:v>
                </c:pt>
                <c:pt idx="119">
                  <c:v>606</c:v>
                </c:pt>
                <c:pt idx="120">
                  <c:v>583</c:v>
                </c:pt>
                <c:pt idx="121">
                  <c:v>566</c:v>
                </c:pt>
                <c:pt idx="122">
                  <c:v>544</c:v>
                </c:pt>
                <c:pt idx="123">
                  <c:v>529</c:v>
                </c:pt>
                <c:pt idx="124">
                  <c:v>529</c:v>
                </c:pt>
                <c:pt idx="125">
                  <c:v>539</c:v>
                </c:pt>
                <c:pt idx="126">
                  <c:v>540</c:v>
                </c:pt>
                <c:pt idx="127">
                  <c:v>540</c:v>
                </c:pt>
                <c:pt idx="128">
                  <c:v>526</c:v>
                </c:pt>
                <c:pt idx="129">
                  <c:v>516</c:v>
                </c:pt>
                <c:pt idx="130">
                  <c:v>482</c:v>
                </c:pt>
                <c:pt idx="131">
                  <c:v>460</c:v>
                </c:pt>
                <c:pt idx="132">
                  <c:v>444</c:v>
                </c:pt>
                <c:pt idx="133">
                  <c:v>425</c:v>
                </c:pt>
                <c:pt idx="134">
                  <c:v>393</c:v>
                </c:pt>
                <c:pt idx="135">
                  <c:v>359</c:v>
                </c:pt>
                <c:pt idx="136">
                  <c:v>334</c:v>
                </c:pt>
                <c:pt idx="137">
                  <c:v>281</c:v>
                </c:pt>
                <c:pt idx="138">
                  <c:v>266</c:v>
                </c:pt>
                <c:pt idx="139">
                  <c:v>255</c:v>
                </c:pt>
                <c:pt idx="140">
                  <c:v>266</c:v>
                </c:pt>
                <c:pt idx="141">
                  <c:v>288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297</c:v>
                </c:pt>
                <c:pt idx="146">
                  <c:v>306</c:v>
                </c:pt>
                <c:pt idx="147">
                  <c:v>307</c:v>
                </c:pt>
                <c:pt idx="148">
                  <c:v>308</c:v>
                </c:pt>
                <c:pt idx="149">
                  <c:v>321</c:v>
                </c:pt>
                <c:pt idx="150">
                  <c:v>366</c:v>
                </c:pt>
                <c:pt idx="151">
                  <c:v>425</c:v>
                </c:pt>
                <c:pt idx="152">
                  <c:v>456</c:v>
                </c:pt>
                <c:pt idx="153">
                  <c:v>471</c:v>
                </c:pt>
                <c:pt idx="154">
                  <c:v>471</c:v>
                </c:pt>
                <c:pt idx="155">
                  <c:v>471</c:v>
                </c:pt>
                <c:pt idx="156">
                  <c:v>464</c:v>
                </c:pt>
                <c:pt idx="157">
                  <c:v>449</c:v>
                </c:pt>
                <c:pt idx="158">
                  <c:v>422</c:v>
                </c:pt>
                <c:pt idx="159">
                  <c:v>379</c:v>
                </c:pt>
                <c:pt idx="160">
                  <c:v>341</c:v>
                </c:pt>
                <c:pt idx="161">
                  <c:v>307</c:v>
                </c:pt>
                <c:pt idx="162">
                  <c:v>307</c:v>
                </c:pt>
                <c:pt idx="163">
                  <c:v>314</c:v>
                </c:pt>
                <c:pt idx="164">
                  <c:v>337</c:v>
                </c:pt>
                <c:pt idx="165">
                  <c:v>347</c:v>
                </c:pt>
                <c:pt idx="166">
                  <c:v>352</c:v>
                </c:pt>
                <c:pt idx="167">
                  <c:v>356</c:v>
                </c:pt>
                <c:pt idx="168">
                  <c:v>362</c:v>
                </c:pt>
                <c:pt idx="169">
                  <c:v>363</c:v>
                </c:pt>
                <c:pt idx="170">
                  <c:v>342</c:v>
                </c:pt>
                <c:pt idx="171">
                  <c:v>295</c:v>
                </c:pt>
                <c:pt idx="172">
                  <c:v>249</c:v>
                </c:pt>
                <c:pt idx="173">
                  <c:v>231</c:v>
                </c:pt>
                <c:pt idx="174">
                  <c:v>292</c:v>
                </c:pt>
                <c:pt idx="175">
                  <c:v>351</c:v>
                </c:pt>
                <c:pt idx="176">
                  <c:v>371</c:v>
                </c:pt>
                <c:pt idx="177">
                  <c:v>380</c:v>
                </c:pt>
                <c:pt idx="178">
                  <c:v>324</c:v>
                </c:pt>
                <c:pt idx="179">
                  <c:v>284</c:v>
                </c:pt>
                <c:pt idx="180">
                  <c:v>269</c:v>
                </c:pt>
                <c:pt idx="181">
                  <c:v>256</c:v>
                </c:pt>
                <c:pt idx="182">
                  <c:v>259</c:v>
                </c:pt>
                <c:pt idx="183">
                  <c:v>258</c:v>
                </c:pt>
                <c:pt idx="184">
                  <c:v>258</c:v>
                </c:pt>
                <c:pt idx="185">
                  <c:v>252</c:v>
                </c:pt>
                <c:pt idx="186">
                  <c:v>234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0"/>
        <c:smooth val="0"/>
        <c:axId val="827782264"/>
        <c:axId val="261971663"/>
      </c:lineChart>
      <c:dateAx>
        <c:axId val="827782264"/>
        <c:scaling>
          <c:orientation val="minMax"/>
          <c:max val="46289"/>
          <c:min val="45924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900" b="1" i="0" u="none" strike="noStrike" kern="1200" cap="all" baseline="0">
                    <a:solidFill>
                      <a:sysClr val="windowText" lastClr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  <a:sym typeface="宋体" panose="02010600030101010101" pitchFamily="7" charset="-122"/>
                  </a:defRPr>
                </a:pPr>
                <a:r>
                  <a:rPr b="1">
                    <a:solidFill>
                      <a:sysClr val="windowText" lastClr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  <a:sym typeface="宋体" panose="02010600030101010101" pitchFamily="7" charset="-122"/>
                  </a:rPr>
                  <a:t>元/头</a:t>
                </a:r>
                <a:endParaRPr b="1">
                  <a:solidFill>
                    <a:sysClr val="windowText" lastClr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321944444444444"/>
              <c:y val="0.094444444444444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0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261971663"/>
        <c:crosses val="autoZero"/>
        <c:auto val="1"/>
        <c:lblOffset val="100"/>
        <c:baseTimeUnit val="days"/>
        <c:majorUnit val="2"/>
        <c:majorTimeUnit val="months"/>
      </c:dateAx>
      <c:valAx>
        <c:axId val="261971663"/>
        <c:scaling>
          <c:orientation val="minMax"/>
          <c:max val="500"/>
          <c:min val="1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827782264"/>
        <c:crosses val="autoZero"/>
        <c:crossBetween val="between"/>
        <c:majorUnit val="100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93882f9-a060-4a02-a244-5161fbecf337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  <a:sym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cap="none" spc="2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r>
              <a:rPr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15kg仔猪价格走势图</a:t>
            </a:r>
            <a:endParaRPr b="1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316395946133555"/>
          <c:y val="0.0708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74080244342635"/>
          <c:y val="0.193981481481481"/>
          <c:w val="0.882049146189088"/>
          <c:h val="0.614212962962963"/>
        </c:manualLayout>
      </c:layout>
      <c:lineChart>
        <c:grouping val="standard"/>
        <c:varyColors val="0"/>
        <c:ser>
          <c:idx val="0"/>
          <c:order val="0"/>
          <c:tx>
            <c:strRef>
              <c:f>'15公斤仔猪'!$B$2</c:f>
              <c:strCache>
                <c:ptCount val="1"/>
                <c:pt idx="0">
                  <c:v>全国1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'15公斤仔猪'!$A$4:$A$4291</c:f>
              <c:numCache>
                <c:formatCode>yyyy/m/d;@</c:formatCode>
                <c:ptCount val="4288"/>
                <c:pt idx="0" c:formatCode="yyyy/m/d;@">
                  <c:v>43314</c:v>
                </c:pt>
                <c:pt idx="1" c:formatCode="yyyy/m/d;@">
                  <c:v>43321</c:v>
                </c:pt>
                <c:pt idx="2" c:formatCode="yyyy/m/d;@">
                  <c:v>43328</c:v>
                </c:pt>
                <c:pt idx="3" c:formatCode="yyyy/m/d;@">
                  <c:v>43335</c:v>
                </c:pt>
                <c:pt idx="4" c:formatCode="yyyy/m/d;@">
                  <c:v>43342</c:v>
                </c:pt>
                <c:pt idx="5" c:formatCode="yyyy/m/d;@">
                  <c:v>43349</c:v>
                </c:pt>
                <c:pt idx="6" c:formatCode="yyyy/m/d;@">
                  <c:v>43356</c:v>
                </c:pt>
                <c:pt idx="7" c:formatCode="yyyy/m/d;@">
                  <c:v>43363</c:v>
                </c:pt>
                <c:pt idx="8" c:formatCode="yyyy/m/d;@">
                  <c:v>43370</c:v>
                </c:pt>
                <c:pt idx="9" c:formatCode="yyyy/m/d;@">
                  <c:v>43377</c:v>
                </c:pt>
                <c:pt idx="10" c:formatCode="yyyy/m/d;@">
                  <c:v>43384</c:v>
                </c:pt>
                <c:pt idx="11" c:formatCode="yyyy/m/d;@">
                  <c:v>43391</c:v>
                </c:pt>
                <c:pt idx="12" c:formatCode="yyyy/m/d;@">
                  <c:v>43398</c:v>
                </c:pt>
                <c:pt idx="13" c:formatCode="yyyy/m/d;@">
                  <c:v>43405</c:v>
                </c:pt>
                <c:pt idx="14" c:formatCode="yyyy/m/d;@">
                  <c:v>43412</c:v>
                </c:pt>
                <c:pt idx="15" c:formatCode="yyyy/m/d;@">
                  <c:v>43419</c:v>
                </c:pt>
                <c:pt idx="16" c:formatCode="yyyy/m/d;@">
                  <c:v>43426</c:v>
                </c:pt>
                <c:pt idx="17" c:formatCode="yyyy/m/d;@">
                  <c:v>43433</c:v>
                </c:pt>
                <c:pt idx="18" c:formatCode="yyyy/m/d;@">
                  <c:v>43440</c:v>
                </c:pt>
                <c:pt idx="19" c:formatCode="yyyy/m/d;@">
                  <c:v>43447</c:v>
                </c:pt>
                <c:pt idx="20" c:formatCode="yyyy/m/d;@">
                  <c:v>43454</c:v>
                </c:pt>
                <c:pt idx="21" c:formatCode="yyyy/m/d;@">
                  <c:v>43461</c:v>
                </c:pt>
                <c:pt idx="22" c:formatCode="yyyy/m/d;@">
                  <c:v>43469</c:v>
                </c:pt>
                <c:pt idx="23" c:formatCode="yyyy/m/d;@">
                  <c:v>43475</c:v>
                </c:pt>
                <c:pt idx="24" c:formatCode="yyyy/m/d;@">
                  <c:v>43482</c:v>
                </c:pt>
                <c:pt idx="25" c:formatCode="yyyy/m/d;@">
                  <c:v>43489</c:v>
                </c:pt>
                <c:pt idx="26" c:formatCode="yyyy/m/d;@">
                  <c:v>43496</c:v>
                </c:pt>
                <c:pt idx="27" c:formatCode="yyyy/m/d;@">
                  <c:v>43503</c:v>
                </c:pt>
                <c:pt idx="28" c:formatCode="yyyy/m/d;@">
                  <c:v>43509</c:v>
                </c:pt>
                <c:pt idx="29" c:formatCode="yyyy/m/d;@">
                  <c:v>43517</c:v>
                </c:pt>
                <c:pt idx="30" c:formatCode="yyyy/m/d;@">
                  <c:v>43524</c:v>
                </c:pt>
                <c:pt idx="31" c:formatCode="yyyy/m/d;@">
                  <c:v>43531</c:v>
                </c:pt>
                <c:pt idx="32" c:formatCode="yyyy/m/d;@">
                  <c:v>43538</c:v>
                </c:pt>
                <c:pt idx="33" c:formatCode="yyyy/m/d;@">
                  <c:v>43545</c:v>
                </c:pt>
                <c:pt idx="34" c:formatCode="yyyy/m/d;@">
                  <c:v>43552</c:v>
                </c:pt>
                <c:pt idx="35" c:formatCode="yyyy/m/d;@">
                  <c:v>43559</c:v>
                </c:pt>
                <c:pt idx="36" c:formatCode="yyyy/m/d;@">
                  <c:v>43566</c:v>
                </c:pt>
                <c:pt idx="37" c:formatCode="yyyy/m/d;@">
                  <c:v>43572</c:v>
                </c:pt>
                <c:pt idx="38" c:formatCode="yyyy/m/d;@">
                  <c:v>43580</c:v>
                </c:pt>
                <c:pt idx="39" c:formatCode="yyyy/m/d;@">
                  <c:v>43587</c:v>
                </c:pt>
                <c:pt idx="40" c:formatCode="yyyy/m/d;@">
                  <c:v>43594</c:v>
                </c:pt>
                <c:pt idx="41" c:formatCode="yyyy/m/d;@">
                  <c:v>43601</c:v>
                </c:pt>
                <c:pt idx="42" c:formatCode="yyyy/m/d;@">
                  <c:v>43608</c:v>
                </c:pt>
                <c:pt idx="43" c:formatCode="yyyy/m/d;@">
                  <c:v>43615</c:v>
                </c:pt>
                <c:pt idx="44" c:formatCode="yyyy/m/d;@">
                  <c:v>43622</c:v>
                </c:pt>
                <c:pt idx="45" c:formatCode="yyyy/m/d;@">
                  <c:v>43629</c:v>
                </c:pt>
                <c:pt idx="46" c:formatCode="yyyy/m/d;@">
                  <c:v>43636</c:v>
                </c:pt>
                <c:pt idx="47" c:formatCode="yyyy/m/d;@">
                  <c:v>43643</c:v>
                </c:pt>
                <c:pt idx="48" c:formatCode="yyyy/m/d;@">
                  <c:v>43650</c:v>
                </c:pt>
                <c:pt idx="49" c:formatCode="yyyy/m/d;@">
                  <c:v>43657</c:v>
                </c:pt>
                <c:pt idx="50" c:formatCode="yyyy/m/d;@">
                  <c:v>43664</c:v>
                </c:pt>
                <c:pt idx="51" c:formatCode="yyyy/m/d;@">
                  <c:v>43671</c:v>
                </c:pt>
                <c:pt idx="52" c:formatCode="yyyy/m/d;@">
                  <c:v>43678</c:v>
                </c:pt>
                <c:pt idx="53" c:formatCode="yyyy/m/d;@">
                  <c:v>43685</c:v>
                </c:pt>
                <c:pt idx="54" c:formatCode="yyyy/m/d;@">
                  <c:v>43692</c:v>
                </c:pt>
                <c:pt idx="55" c:formatCode="yyyy/m/d;@">
                  <c:v>43699</c:v>
                </c:pt>
                <c:pt idx="56" c:formatCode="yyyy/m/d;@">
                  <c:v>43706</c:v>
                </c:pt>
                <c:pt idx="57" c:formatCode="yyyy/m/d;@">
                  <c:v>43713</c:v>
                </c:pt>
                <c:pt idx="58" c:formatCode="yyyy/m/d;@">
                  <c:v>43720</c:v>
                </c:pt>
                <c:pt idx="59" c:formatCode="yyyy/m/d;@">
                  <c:v>43727</c:v>
                </c:pt>
                <c:pt idx="60" c:formatCode="yyyy/m/d;@">
                  <c:v>43734</c:v>
                </c:pt>
                <c:pt idx="61" c:formatCode="yyyy/m/d;@">
                  <c:v>43745</c:v>
                </c:pt>
                <c:pt idx="62" c:formatCode="yyyy/m/d;@">
                  <c:v>43748</c:v>
                </c:pt>
                <c:pt idx="63" c:formatCode="yyyy/m/d;@">
                  <c:v>43755</c:v>
                </c:pt>
                <c:pt idx="64" c:formatCode="yyyy/m/d;@">
                  <c:v>43762</c:v>
                </c:pt>
                <c:pt idx="65" c:formatCode="yyyy/m/d;@">
                  <c:v>43769</c:v>
                </c:pt>
                <c:pt idx="66" c:formatCode="yyyy/m/d;@">
                  <c:v>43776</c:v>
                </c:pt>
                <c:pt idx="67" c:formatCode="yyyy/m/d;@">
                  <c:v>43783</c:v>
                </c:pt>
                <c:pt idx="68" c:formatCode="yyyy/m/d;@">
                  <c:v>43790</c:v>
                </c:pt>
                <c:pt idx="69" c:formatCode="yyyy/m/d;@">
                  <c:v>43797</c:v>
                </c:pt>
                <c:pt idx="70" c:formatCode="yyyy/m/d;@">
                  <c:v>43804</c:v>
                </c:pt>
                <c:pt idx="71" c:formatCode="yyyy/m/d;@">
                  <c:v>43811</c:v>
                </c:pt>
                <c:pt idx="72" c:formatCode="yyyy/m/d;@">
                  <c:v>43818</c:v>
                </c:pt>
                <c:pt idx="73" c:formatCode="yyyy/m/d;@">
                  <c:v>43825</c:v>
                </c:pt>
                <c:pt idx="74" c:formatCode="yyyy/m/d;@">
                  <c:v>43832</c:v>
                </c:pt>
                <c:pt idx="75" c:formatCode="yyyy/m/d;@">
                  <c:v>43839</c:v>
                </c:pt>
                <c:pt idx="76" c:formatCode="yyyy/m/d;@">
                  <c:v>43846</c:v>
                </c:pt>
                <c:pt idx="77" c:formatCode="yyyy/m/d;@">
                  <c:v>43867</c:v>
                </c:pt>
                <c:pt idx="78" c:formatCode="yyyy/m/d;@">
                  <c:v>43874</c:v>
                </c:pt>
                <c:pt idx="79" c:formatCode="yyyy/m/d;@">
                  <c:v>43881</c:v>
                </c:pt>
                <c:pt idx="80" c:formatCode="yyyy/m/d;@">
                  <c:v>43888</c:v>
                </c:pt>
                <c:pt idx="81" c:formatCode="yyyy/m/d;@">
                  <c:v>43895</c:v>
                </c:pt>
                <c:pt idx="82" c:formatCode="yyyy/m/d;@">
                  <c:v>43902</c:v>
                </c:pt>
                <c:pt idx="83" c:formatCode="yyyy/m/d;@">
                  <c:v>43909</c:v>
                </c:pt>
                <c:pt idx="84" c:formatCode="yyyy/m/d;@">
                  <c:v>43916</c:v>
                </c:pt>
                <c:pt idx="85" c:formatCode="yyyy/m/d;@">
                  <c:v>43923</c:v>
                </c:pt>
                <c:pt idx="86" c:formatCode="yyyy/m/d;@">
                  <c:v>43930</c:v>
                </c:pt>
                <c:pt idx="87" c:formatCode="yyyy/m/d;@">
                  <c:v>43937</c:v>
                </c:pt>
                <c:pt idx="88" c:formatCode="yyyy/m/d;@">
                  <c:v>43944</c:v>
                </c:pt>
                <c:pt idx="89" c:formatCode="yyyy/m/d;@">
                  <c:v>43951</c:v>
                </c:pt>
                <c:pt idx="90" c:formatCode="yyyy/m/d;@">
                  <c:v>43958</c:v>
                </c:pt>
                <c:pt idx="91" c:formatCode="yyyy/m/d;@">
                  <c:v>43965</c:v>
                </c:pt>
                <c:pt idx="92" c:formatCode="yyyy/m/d;@">
                  <c:v>43972</c:v>
                </c:pt>
                <c:pt idx="93" c:formatCode="yyyy/m/d;@">
                  <c:v>43979</c:v>
                </c:pt>
                <c:pt idx="94" c:formatCode="yyyy/m/d;@">
                  <c:v>43986</c:v>
                </c:pt>
                <c:pt idx="95" c:formatCode="yyyy/m/d;@">
                  <c:v>43993</c:v>
                </c:pt>
                <c:pt idx="96" c:formatCode="yyyy/m/d;@">
                  <c:v>44000</c:v>
                </c:pt>
                <c:pt idx="97" c:formatCode="yyyy/m/d;@">
                  <c:v>44007</c:v>
                </c:pt>
                <c:pt idx="98" c:formatCode="yyyy/m/d;@">
                  <c:v>44014</c:v>
                </c:pt>
                <c:pt idx="99" c:formatCode="yyyy/m/d;@">
                  <c:v>44021</c:v>
                </c:pt>
                <c:pt idx="100" c:formatCode="yyyy/m/d;@">
                  <c:v>44028</c:v>
                </c:pt>
                <c:pt idx="101" c:formatCode="yyyy/m/d;@">
                  <c:v>44035</c:v>
                </c:pt>
                <c:pt idx="102" c:formatCode="yyyy/m/d;@">
                  <c:v>44042</c:v>
                </c:pt>
                <c:pt idx="103" c:formatCode="yyyy/m/d;@">
                  <c:v>44049</c:v>
                </c:pt>
                <c:pt idx="104" c:formatCode="yyyy/m/d;@">
                  <c:v>44056</c:v>
                </c:pt>
                <c:pt idx="105" c:formatCode="yyyy/m/d;@">
                  <c:v>44063</c:v>
                </c:pt>
                <c:pt idx="106" c:formatCode="yyyy/m/d;@">
                  <c:v>44070</c:v>
                </c:pt>
                <c:pt idx="107" c:formatCode="yyyy/m/d;@">
                  <c:v>44077</c:v>
                </c:pt>
                <c:pt idx="108" c:formatCode="yyyy/m/d;@">
                  <c:v>44084</c:v>
                </c:pt>
                <c:pt idx="109" c:formatCode="yyyy/m/d;@">
                  <c:v>44091</c:v>
                </c:pt>
                <c:pt idx="110" c:formatCode="yyyy/m/d;@">
                  <c:v>44098</c:v>
                </c:pt>
                <c:pt idx="111" c:formatCode="yyyy/m/d;@">
                  <c:v>44104</c:v>
                </c:pt>
                <c:pt idx="112" c:formatCode="yyyy/m/d;@">
                  <c:v>44112</c:v>
                </c:pt>
                <c:pt idx="113" c:formatCode="yyyy/m/d;@">
                  <c:v>44119</c:v>
                </c:pt>
                <c:pt idx="114" c:formatCode="yyyy/m/d;@">
                  <c:v>44126</c:v>
                </c:pt>
                <c:pt idx="115" c:formatCode="yyyy/m/d;@">
                  <c:v>44133</c:v>
                </c:pt>
                <c:pt idx="116" c:formatCode="yyyy/m/d;@">
                  <c:v>44140</c:v>
                </c:pt>
                <c:pt idx="117" c:formatCode="yyyy/m/d;@">
                  <c:v>44147</c:v>
                </c:pt>
                <c:pt idx="118" c:formatCode="yyyy/m/d;@">
                  <c:v>44154</c:v>
                </c:pt>
                <c:pt idx="119" c:formatCode="yyyy/m/d;@">
                  <c:v>44161</c:v>
                </c:pt>
                <c:pt idx="120" c:formatCode="yyyy/m/d;@">
                  <c:v>44168</c:v>
                </c:pt>
                <c:pt idx="121" c:formatCode="yyyy/m/d;@">
                  <c:v>44175</c:v>
                </c:pt>
                <c:pt idx="122" c:formatCode="yyyy/m/d;@">
                  <c:v>44182</c:v>
                </c:pt>
                <c:pt idx="123" c:formatCode="yyyy/m/d;@">
                  <c:v>44189</c:v>
                </c:pt>
                <c:pt idx="124" c:formatCode="yyyy/m/d;@">
                  <c:v>44196</c:v>
                </c:pt>
                <c:pt idx="125" c:formatCode="yyyy/m/d;@">
                  <c:v>44203</c:v>
                </c:pt>
                <c:pt idx="126" c:formatCode="yyyy/m/d;@">
                  <c:v>44210</c:v>
                </c:pt>
                <c:pt idx="127" c:formatCode="yyyy/m/d;@">
                  <c:v>44217</c:v>
                </c:pt>
                <c:pt idx="128" c:formatCode="yyyy/m/d;@">
                  <c:v>44224</c:v>
                </c:pt>
                <c:pt idx="129" c:formatCode="yyyy/m/d;@">
                  <c:v>44231</c:v>
                </c:pt>
                <c:pt idx="130" c:formatCode="yyyy/m/d;@">
                  <c:v>44245</c:v>
                </c:pt>
                <c:pt idx="131" c:formatCode="yyyy/m/d;@">
                  <c:v>44252</c:v>
                </c:pt>
                <c:pt idx="132" c:formatCode="yyyy/m/d;@">
                  <c:v>44259</c:v>
                </c:pt>
                <c:pt idx="133" c:formatCode="yyyy/m/d;@">
                  <c:v>44266</c:v>
                </c:pt>
                <c:pt idx="134" c:formatCode="yyyy/m/d;@">
                  <c:v>44273</c:v>
                </c:pt>
                <c:pt idx="135" c:formatCode="yyyy/m/d;@">
                  <c:v>44280</c:v>
                </c:pt>
                <c:pt idx="136" c:formatCode="yyyy/m/d;@">
                  <c:v>44287</c:v>
                </c:pt>
                <c:pt idx="137" c:formatCode="yyyy/m/d;@">
                  <c:v>44294</c:v>
                </c:pt>
                <c:pt idx="138" c:formatCode="yyyy/m/d;@">
                  <c:v>44301</c:v>
                </c:pt>
                <c:pt idx="139" c:formatCode="yyyy/m/d;@">
                  <c:v>44308</c:v>
                </c:pt>
                <c:pt idx="140" c:formatCode="yyyy/m/d;@">
                  <c:v>44315</c:v>
                </c:pt>
                <c:pt idx="141" c:formatCode="yyyy/m/d;@">
                  <c:v>44322</c:v>
                </c:pt>
                <c:pt idx="142" c:formatCode="yyyy/m/d;@">
                  <c:v>44329</c:v>
                </c:pt>
                <c:pt idx="143" c:formatCode="yyyy/m/d;@">
                  <c:v>44336</c:v>
                </c:pt>
                <c:pt idx="144" c:formatCode="yyyy/m/d;@">
                  <c:v>44343</c:v>
                </c:pt>
                <c:pt idx="145" c:formatCode="yyyy/m/d;@">
                  <c:v>44350</c:v>
                </c:pt>
                <c:pt idx="146" c:formatCode="yyyy/m/d;@">
                  <c:v>44357</c:v>
                </c:pt>
                <c:pt idx="147" c:formatCode="yyyy/m/d;@">
                  <c:v>44364</c:v>
                </c:pt>
                <c:pt idx="148" c:formatCode="yyyy/m/d;@">
                  <c:v>44371</c:v>
                </c:pt>
                <c:pt idx="149" c:formatCode="yyyy/m/d;@">
                  <c:v>44378</c:v>
                </c:pt>
                <c:pt idx="150" c:formatCode="yyyy/m/d;@">
                  <c:v>44385</c:v>
                </c:pt>
                <c:pt idx="151" c:formatCode="yyyy/m/d;@">
                  <c:v>44392</c:v>
                </c:pt>
                <c:pt idx="152" c:formatCode="yyyy/m/d;@">
                  <c:v>44399</c:v>
                </c:pt>
                <c:pt idx="153" c:formatCode="yyyy/m/d;@">
                  <c:v>44406</c:v>
                </c:pt>
                <c:pt idx="154" c:formatCode="yyyy/m/d;@">
                  <c:v>44413</c:v>
                </c:pt>
                <c:pt idx="155" c:formatCode="yyyy/m/d;@">
                  <c:v>44420</c:v>
                </c:pt>
                <c:pt idx="156" c:formatCode="yyyy/m/d;@">
                  <c:v>44427</c:v>
                </c:pt>
                <c:pt idx="157" c:formatCode="yyyy/m/d;@">
                  <c:v>44434</c:v>
                </c:pt>
                <c:pt idx="158" c:formatCode="yyyy/m/d;@">
                  <c:v>44441</c:v>
                </c:pt>
                <c:pt idx="159" c:formatCode="yyyy/m/d;@">
                  <c:v>44448</c:v>
                </c:pt>
                <c:pt idx="160" c:formatCode="yyyy/m/d;@">
                  <c:v>44455</c:v>
                </c:pt>
                <c:pt idx="161" c:formatCode="yyyy/m/d;@">
                  <c:v>44462</c:v>
                </c:pt>
                <c:pt idx="162" c:formatCode="yyyy/m/d;@">
                  <c:v>44469</c:v>
                </c:pt>
                <c:pt idx="163" c:formatCode="yyyy/m/d;@">
                  <c:v>44477</c:v>
                </c:pt>
                <c:pt idx="164" c:formatCode="yyyy/m/d;@">
                  <c:v>44483</c:v>
                </c:pt>
                <c:pt idx="165" c:formatCode="yyyy/m/d;@">
                  <c:v>44490</c:v>
                </c:pt>
                <c:pt idx="166" c:formatCode="yyyy/m/d;@">
                  <c:v>44497</c:v>
                </c:pt>
                <c:pt idx="167" c:formatCode="yyyy/m/d;@">
                  <c:v>44504</c:v>
                </c:pt>
                <c:pt idx="168" c:formatCode="yyyy/m/d;@">
                  <c:v>44511</c:v>
                </c:pt>
                <c:pt idx="169" c:formatCode="yyyy/m/d;@">
                  <c:v>44518</c:v>
                </c:pt>
                <c:pt idx="170" c:formatCode="yyyy/m/d;@">
                  <c:v>44525</c:v>
                </c:pt>
                <c:pt idx="171" c:formatCode="yyyy/m/d;@">
                  <c:v>44532</c:v>
                </c:pt>
                <c:pt idx="172" c:formatCode="yyyy/m/d;@">
                  <c:v>44539</c:v>
                </c:pt>
                <c:pt idx="173" c:formatCode="yyyy/m/d;@">
                  <c:v>44546</c:v>
                </c:pt>
                <c:pt idx="174" c:formatCode="yyyy/m/d;@">
                  <c:v>44553</c:v>
                </c:pt>
                <c:pt idx="175" c:formatCode="yyyy/m/d;@">
                  <c:v>44560</c:v>
                </c:pt>
                <c:pt idx="176" c:formatCode="yyyy/m/d;@">
                  <c:v>44567</c:v>
                </c:pt>
                <c:pt idx="177" c:formatCode="yyyy/m/d;@">
                  <c:v>44574</c:v>
                </c:pt>
                <c:pt idx="178" c:formatCode="yyyy/m/d;@">
                  <c:v>44581</c:v>
                </c:pt>
                <c:pt idx="179" c:formatCode="yyyy/m/d;@">
                  <c:v>44587</c:v>
                </c:pt>
                <c:pt idx="180" c:formatCode="yyyy/m/d;@">
                  <c:v>44602</c:v>
                </c:pt>
                <c:pt idx="181" c:formatCode="yyyy/m/d;@">
                  <c:v>44609</c:v>
                </c:pt>
                <c:pt idx="182" c:formatCode="yyyy/m/d;@">
                  <c:v>44616</c:v>
                </c:pt>
                <c:pt idx="183" c:formatCode="yyyy/m/d;@">
                  <c:v>44623</c:v>
                </c:pt>
                <c:pt idx="184" c:formatCode="yyyy/m/d;@">
                  <c:v>44630</c:v>
                </c:pt>
                <c:pt idx="185" c:formatCode="yyyy/m/d;@">
                  <c:v>44637</c:v>
                </c:pt>
                <c:pt idx="186" c:formatCode="yyyy/m/d;@">
                  <c:v>44644</c:v>
                </c:pt>
                <c:pt idx="187" c:formatCode="yyyy/m/d;@">
                  <c:v>44651</c:v>
                </c:pt>
                <c:pt idx="188" c:formatCode="yyyy/m/d;@">
                  <c:v>44658</c:v>
                </c:pt>
                <c:pt idx="189" c:formatCode="yyyy/m/d;@">
                  <c:v>44665</c:v>
                </c:pt>
                <c:pt idx="190" c:formatCode="yyyy/m/d;@">
                  <c:v>44672</c:v>
                </c:pt>
                <c:pt idx="191" c:formatCode="yyyy/m/d;@">
                  <c:v>44679</c:v>
                </c:pt>
                <c:pt idx="192" c:formatCode="yyyy/m/d;@">
                  <c:v>44686</c:v>
                </c:pt>
                <c:pt idx="193" c:formatCode="yyyy/m/d;@">
                  <c:v>44693</c:v>
                </c:pt>
                <c:pt idx="194" c:formatCode="yyyy/m/d;@">
                  <c:v>44700</c:v>
                </c:pt>
                <c:pt idx="195" c:formatCode="yyyy/m/d;@">
                  <c:v>44707</c:v>
                </c:pt>
                <c:pt idx="196" c:formatCode="yyyy/m/d;@">
                  <c:v>44714</c:v>
                </c:pt>
                <c:pt idx="197" c:formatCode="yyyy/m/d;@">
                  <c:v>44721</c:v>
                </c:pt>
                <c:pt idx="198" c:formatCode="yyyy/m/d;@">
                  <c:v>44728</c:v>
                </c:pt>
                <c:pt idx="199" c:formatCode="yyyy/m/d;@">
                  <c:v>44735</c:v>
                </c:pt>
                <c:pt idx="200" c:formatCode="yyyy/m/d;@">
                  <c:v>44742</c:v>
                </c:pt>
                <c:pt idx="201" c:formatCode="yyyy/m/d;@">
                  <c:v>44749</c:v>
                </c:pt>
                <c:pt idx="202" c:formatCode="yyyy/m/d;@">
                  <c:v>44756</c:v>
                </c:pt>
                <c:pt idx="203" c:formatCode="yyyy/m/d;@">
                  <c:v>44763</c:v>
                </c:pt>
                <c:pt idx="204" c:formatCode="yyyy/m/d;@">
                  <c:v>44770</c:v>
                </c:pt>
                <c:pt idx="205" c:formatCode="yyyy/m/d;@">
                  <c:v>44777</c:v>
                </c:pt>
                <c:pt idx="206" c:formatCode="yyyy/m/d;@">
                  <c:v>44784</c:v>
                </c:pt>
                <c:pt idx="207" c:formatCode="yyyy/m/d;@">
                  <c:v>44791</c:v>
                </c:pt>
                <c:pt idx="208" c:formatCode="yyyy/m/d;@">
                  <c:v>44798</c:v>
                </c:pt>
                <c:pt idx="209" c:formatCode="yyyy/m/d;@">
                  <c:v>44805</c:v>
                </c:pt>
                <c:pt idx="210" c:formatCode="yyyy/m/d;@">
                  <c:v>44812</c:v>
                </c:pt>
                <c:pt idx="211" c:formatCode="yyyy/m/d;@">
                  <c:v>44819</c:v>
                </c:pt>
                <c:pt idx="212" c:formatCode="yyyy/m/d;@">
                  <c:v>44826</c:v>
                </c:pt>
                <c:pt idx="213" c:formatCode="yyyy/m/d;@">
                  <c:v>44833</c:v>
                </c:pt>
                <c:pt idx="214" c:formatCode="yyyy/m/d;@">
                  <c:v>44842</c:v>
                </c:pt>
                <c:pt idx="215" c:formatCode="yyyy/m/d;@">
                  <c:v>44847</c:v>
                </c:pt>
                <c:pt idx="216" c:formatCode="yyyy/m/d;@">
                  <c:v>44854</c:v>
                </c:pt>
                <c:pt idx="217" c:formatCode="yyyy/m/d;@">
                  <c:v>44861</c:v>
                </c:pt>
                <c:pt idx="218" c:formatCode="yyyy/m/d;@">
                  <c:v>44868</c:v>
                </c:pt>
                <c:pt idx="219" c:formatCode="yyyy/m/d;@">
                  <c:v>44875</c:v>
                </c:pt>
                <c:pt idx="220" c:formatCode="yyyy/m/d;@">
                  <c:v>44882</c:v>
                </c:pt>
                <c:pt idx="221" c:formatCode="yyyy/m/d;@">
                  <c:v>44889</c:v>
                </c:pt>
                <c:pt idx="222" c:formatCode="yyyy/m/d;@">
                  <c:v>44896</c:v>
                </c:pt>
                <c:pt idx="223" c:formatCode="yyyy/m/d;@">
                  <c:v>44903</c:v>
                </c:pt>
                <c:pt idx="224" c:formatCode="yyyy/m/d;@">
                  <c:v>44910</c:v>
                </c:pt>
                <c:pt idx="225" c:formatCode="yyyy/m/d;@">
                  <c:v>44917</c:v>
                </c:pt>
                <c:pt idx="226" c:formatCode="yyyy/m/d;@">
                  <c:v>44924</c:v>
                </c:pt>
                <c:pt idx="227" c:formatCode="yyyy/m/d;@">
                  <c:v>44931</c:v>
                </c:pt>
                <c:pt idx="228" c:formatCode="yyyy/m/d;@">
                  <c:v>44938</c:v>
                </c:pt>
                <c:pt idx="229" c:formatCode="yyyy/m/d;@">
                  <c:v>44959</c:v>
                </c:pt>
                <c:pt idx="230" c:formatCode="yyyy/m/d;@">
                  <c:v>44966</c:v>
                </c:pt>
                <c:pt idx="231" c:formatCode="yyyy/m/d;@">
                  <c:v>44973</c:v>
                </c:pt>
                <c:pt idx="232" c:formatCode="yyyy/m/d;@">
                  <c:v>44980</c:v>
                </c:pt>
                <c:pt idx="233" c:formatCode="yyyy/m/d;@">
                  <c:v>44987</c:v>
                </c:pt>
                <c:pt idx="234" c:formatCode="yyyy/m/d;@">
                  <c:v>44994</c:v>
                </c:pt>
                <c:pt idx="235" c:formatCode="yyyy/m/d;@">
                  <c:v>45001</c:v>
                </c:pt>
                <c:pt idx="236" c:formatCode="yyyy/m/d;@">
                  <c:v>45008</c:v>
                </c:pt>
                <c:pt idx="237" c:formatCode="yyyy/m/d;@">
                  <c:v>45015</c:v>
                </c:pt>
                <c:pt idx="238" c:formatCode="yyyy/m/d;@">
                  <c:v>45022</c:v>
                </c:pt>
                <c:pt idx="239" c:formatCode="yyyy/m/d;@">
                  <c:v>45029</c:v>
                </c:pt>
                <c:pt idx="240" c:formatCode="yyyy/m/d;@">
                  <c:v>45036</c:v>
                </c:pt>
                <c:pt idx="241" c:formatCode="yyyy/m/d;@">
                  <c:v>45043</c:v>
                </c:pt>
                <c:pt idx="242" c:formatCode="yyyy/m/d;@">
                  <c:v>45050</c:v>
                </c:pt>
                <c:pt idx="243" c:formatCode="yyyy/m/d;@">
                  <c:v>45057</c:v>
                </c:pt>
                <c:pt idx="244" c:formatCode="yyyy/m/d;@">
                  <c:v>45064</c:v>
                </c:pt>
                <c:pt idx="245" c:formatCode="yyyy/m/d;@">
                  <c:v>45071</c:v>
                </c:pt>
                <c:pt idx="246" c:formatCode="yyyy/m/d;@">
                  <c:v>45078</c:v>
                </c:pt>
                <c:pt idx="247" c:formatCode="yyyy/m/d;@">
                  <c:v>45085</c:v>
                </c:pt>
                <c:pt idx="248" c:formatCode="yyyy/m/d;@">
                  <c:v>45092</c:v>
                </c:pt>
                <c:pt idx="249" c:formatCode="yyyy/m/d;@">
                  <c:v>45098</c:v>
                </c:pt>
                <c:pt idx="250" c:formatCode="yyyy/m/d;@">
                  <c:v>45106</c:v>
                </c:pt>
                <c:pt idx="251" c:formatCode="yyyy/m/d;@">
                  <c:v>45113</c:v>
                </c:pt>
                <c:pt idx="252" c:formatCode="yyyy/m/d;@">
                  <c:v>45120</c:v>
                </c:pt>
                <c:pt idx="253" c:formatCode="yyyy/m/d;@">
                  <c:v>45127</c:v>
                </c:pt>
                <c:pt idx="254" c:formatCode="yyyy/m/d;@">
                  <c:v>45134</c:v>
                </c:pt>
                <c:pt idx="255" c:formatCode="yyyy/m/d;@">
                  <c:v>45141</c:v>
                </c:pt>
                <c:pt idx="256" c:formatCode="yyyy/m/d;@">
                  <c:v>45148</c:v>
                </c:pt>
                <c:pt idx="257" c:formatCode="yyyy/m/d;@">
                  <c:v>45155</c:v>
                </c:pt>
                <c:pt idx="258" c:formatCode="yyyy/m/d;@">
                  <c:v>45162</c:v>
                </c:pt>
                <c:pt idx="259" c:formatCode="yyyy/m/d;@">
                  <c:v>45169</c:v>
                </c:pt>
                <c:pt idx="260" c:formatCode="yyyy/m/d;@">
                  <c:v>45176</c:v>
                </c:pt>
                <c:pt idx="261" c:formatCode="yyyy/m/d;@">
                  <c:v>45183</c:v>
                </c:pt>
                <c:pt idx="262" c:formatCode="yyyy/m/d;@">
                  <c:v>45190</c:v>
                </c:pt>
                <c:pt idx="263" c:formatCode="yyyy/m/d;@">
                  <c:v>45197</c:v>
                </c:pt>
                <c:pt idx="264" c:formatCode="yyyy/m/d;@">
                  <c:v>45205</c:v>
                </c:pt>
                <c:pt idx="265" c:formatCode="yyyy/m/d;@">
                  <c:v>45211</c:v>
                </c:pt>
                <c:pt idx="266" c:formatCode="yyyy/m/d;@">
                  <c:v>45218</c:v>
                </c:pt>
                <c:pt idx="267" c:formatCode="yyyy/m/d;@">
                  <c:v>45225</c:v>
                </c:pt>
                <c:pt idx="268" c:formatCode="yyyy/m/d;@">
                  <c:v>45232</c:v>
                </c:pt>
                <c:pt idx="269" c:formatCode="yyyy/m/d;@">
                  <c:v>45239</c:v>
                </c:pt>
                <c:pt idx="270" c:formatCode="yyyy/m/d;@">
                  <c:v>45246</c:v>
                </c:pt>
                <c:pt idx="271" c:formatCode="yyyy/m/d;@">
                  <c:v>45253</c:v>
                </c:pt>
                <c:pt idx="272" c:formatCode="yyyy/m/d;@">
                  <c:v>45260</c:v>
                </c:pt>
                <c:pt idx="273" c:formatCode="yyyy/m/d;@">
                  <c:v>45267</c:v>
                </c:pt>
                <c:pt idx="274" c:formatCode="yyyy/m/d;@">
                  <c:v>45274</c:v>
                </c:pt>
                <c:pt idx="275" c:formatCode="yyyy/m/d;@">
                  <c:v>45281</c:v>
                </c:pt>
                <c:pt idx="276" c:formatCode="yyyy/m/d;@">
                  <c:v>45288</c:v>
                </c:pt>
                <c:pt idx="277" c:formatCode="yyyy/m/d;@">
                  <c:v>45295</c:v>
                </c:pt>
                <c:pt idx="278" c:formatCode="yyyy/m/d;@">
                  <c:v>45302</c:v>
                </c:pt>
                <c:pt idx="279" c:formatCode="yyyy/m/d;@">
                  <c:v>45309</c:v>
                </c:pt>
                <c:pt idx="280" c:formatCode="yyyy/m/d;@">
                  <c:v>45316</c:v>
                </c:pt>
                <c:pt idx="281" c:formatCode="yyyy/m/d;@">
                  <c:v>45323</c:v>
                </c:pt>
                <c:pt idx="282" c:formatCode="yyyy/m/d;@">
                  <c:v>45344</c:v>
                </c:pt>
                <c:pt idx="283" c:formatCode="yyyy/m/d;@">
                  <c:v>45351</c:v>
                </c:pt>
                <c:pt idx="284" c:formatCode="yyyy/m/d;@">
                  <c:v>45358</c:v>
                </c:pt>
                <c:pt idx="285" c:formatCode="yyyy/m/d;@">
                  <c:v>45365</c:v>
                </c:pt>
                <c:pt idx="286" c:formatCode="yyyy/m/d;@">
                  <c:v>45372</c:v>
                </c:pt>
                <c:pt idx="287" c:formatCode="yyyy/m/d;@">
                  <c:v>45379</c:v>
                </c:pt>
                <c:pt idx="288" c:formatCode="yyyy/m/d;@">
                  <c:v>45385</c:v>
                </c:pt>
                <c:pt idx="289" c:formatCode="yyyy/m/d;@">
                  <c:v>45393</c:v>
                </c:pt>
                <c:pt idx="290" c:formatCode="yyyy/m/d;@">
                  <c:v>45400</c:v>
                </c:pt>
                <c:pt idx="291" c:formatCode="yyyy/m/d;@">
                  <c:v>45407</c:v>
                </c:pt>
                <c:pt idx="292" c:formatCode="yyyy/m/d;@">
                  <c:v>45414</c:v>
                </c:pt>
                <c:pt idx="293" c:formatCode="yyyy/m/d;@">
                  <c:v>45421</c:v>
                </c:pt>
                <c:pt idx="294" c:formatCode="yyyy/m/d;@">
                  <c:v>45428</c:v>
                </c:pt>
                <c:pt idx="295" c:formatCode="yyyy/m/d;@">
                  <c:v>45435</c:v>
                </c:pt>
                <c:pt idx="296" c:formatCode="yyyy/m/d;@">
                  <c:v>45442</c:v>
                </c:pt>
                <c:pt idx="297" c:formatCode="yyyy/m/d;@">
                  <c:v>45449</c:v>
                </c:pt>
                <c:pt idx="298" c:formatCode="yyyy/m/d;@">
                  <c:v>45456</c:v>
                </c:pt>
                <c:pt idx="299" c:formatCode="yyyy/m/d;@">
                  <c:v>45463</c:v>
                </c:pt>
                <c:pt idx="300" c:formatCode="yyyy/m/d;@">
                  <c:v>45470</c:v>
                </c:pt>
                <c:pt idx="301" c:formatCode="yyyy/m/d;@">
                  <c:v>45477</c:v>
                </c:pt>
                <c:pt idx="302" c:formatCode="yyyy/m/d;@">
                  <c:v>45484</c:v>
                </c:pt>
                <c:pt idx="303" c:formatCode="yyyy/m/d;@">
                  <c:v>45491</c:v>
                </c:pt>
                <c:pt idx="304" c:formatCode="yyyy/m/d;@">
                  <c:v>45498</c:v>
                </c:pt>
                <c:pt idx="305" c:formatCode="yyyy/m/d;@">
                  <c:v>45505</c:v>
                </c:pt>
                <c:pt idx="306" c:formatCode="yyyy/m/d;@">
                  <c:v>45512</c:v>
                </c:pt>
                <c:pt idx="307" c:formatCode="yyyy/m/d;@">
                  <c:v>45519</c:v>
                </c:pt>
                <c:pt idx="308" c:formatCode="yyyy/m/d;@">
                  <c:v>45526</c:v>
                </c:pt>
                <c:pt idx="309" c:formatCode="yyyy/m/d;@">
                  <c:v>45533</c:v>
                </c:pt>
                <c:pt idx="310" c:formatCode="yyyy/m/d;@">
                  <c:v>45540</c:v>
                </c:pt>
                <c:pt idx="311" c:formatCode="yyyy/m/d;@">
                  <c:v>45547</c:v>
                </c:pt>
                <c:pt idx="312" c:formatCode="yyyy/m/d;@">
                  <c:v>45554</c:v>
                </c:pt>
                <c:pt idx="313" c:formatCode="yyyy/m/d;@">
                  <c:v>45561</c:v>
                </c:pt>
                <c:pt idx="314" c:formatCode="yyyy/m/d;@">
                  <c:v>45575</c:v>
                </c:pt>
                <c:pt idx="315" c:formatCode="yyyy/m/d;@">
                  <c:v>45582</c:v>
                </c:pt>
                <c:pt idx="316" c:formatCode="yyyy/m/d;@">
                  <c:v>45589</c:v>
                </c:pt>
                <c:pt idx="317" c:formatCode="yyyy/m/d;@">
                  <c:v>45596</c:v>
                </c:pt>
                <c:pt idx="318" c:formatCode="yyyy/m/d;@">
                  <c:v>45603</c:v>
                </c:pt>
                <c:pt idx="319" c:formatCode="yyyy/m/d;@">
                  <c:v>45610</c:v>
                </c:pt>
                <c:pt idx="320" c:formatCode="yyyy/m/d;@">
                  <c:v>45617</c:v>
                </c:pt>
                <c:pt idx="321" c:formatCode="yyyy/m/d;@">
                  <c:v>45624</c:v>
                </c:pt>
                <c:pt idx="322" c:formatCode="yyyy/m/d;@">
                  <c:v>45631</c:v>
                </c:pt>
                <c:pt idx="323" c:formatCode="yyyy/m/d;@">
                  <c:v>45638</c:v>
                </c:pt>
                <c:pt idx="324" c:formatCode="yyyy/m/d;@">
                  <c:v>45645</c:v>
                </c:pt>
                <c:pt idx="325" c:formatCode="yyyy/m/d;@">
                  <c:v>45652</c:v>
                </c:pt>
                <c:pt idx="326" c:formatCode="yyyy/m/d;@">
                  <c:v>45659</c:v>
                </c:pt>
                <c:pt idx="327" c:formatCode="yyyy/m/d;@">
                  <c:v>45666</c:v>
                </c:pt>
                <c:pt idx="328" c:formatCode="yyyy/m/d;@">
                  <c:v>45673</c:v>
                </c:pt>
                <c:pt idx="329" c:formatCode="yyyy/m/d;@">
                  <c:v>45680</c:v>
                </c:pt>
                <c:pt idx="330" c:formatCode="yyyy/m/d;@">
                  <c:v>45694</c:v>
                </c:pt>
                <c:pt idx="331" c:formatCode="yyyy/m/d;@">
                  <c:v>45701</c:v>
                </c:pt>
                <c:pt idx="332" c:formatCode="yyyy/m/d;@">
                  <c:v>45708</c:v>
                </c:pt>
                <c:pt idx="333" c:formatCode="yyyy/m/d;@">
                  <c:v>45715</c:v>
                </c:pt>
                <c:pt idx="334" c:formatCode="yyyy/m/d;@">
                  <c:v>45722</c:v>
                </c:pt>
                <c:pt idx="335" c:formatCode="yyyy/m/d;@">
                  <c:v>45729</c:v>
                </c:pt>
                <c:pt idx="336" c:formatCode="yyyy/m/d;@">
                  <c:v>45736</c:v>
                </c:pt>
                <c:pt idx="337" c:formatCode="yyyy/m/d;@">
                  <c:v>45743</c:v>
                </c:pt>
                <c:pt idx="338" c:formatCode="yyyy/m/d;@">
                  <c:v>45750</c:v>
                </c:pt>
                <c:pt idx="339" c:formatCode="yyyy/m/d;@">
                  <c:v>45757</c:v>
                </c:pt>
                <c:pt idx="340" c:formatCode="yyyy/m/d;@">
                  <c:v>45764</c:v>
                </c:pt>
                <c:pt idx="341" c:formatCode="yyyy/m/d;@">
                  <c:v>45771</c:v>
                </c:pt>
                <c:pt idx="342" c:formatCode="yyyy/m/d;@">
                  <c:v>45777</c:v>
                </c:pt>
                <c:pt idx="343" c:formatCode="yyyy/m/d;@">
                  <c:v>45785</c:v>
                </c:pt>
                <c:pt idx="344" c:formatCode="yyyy/m/d;@">
                  <c:v>45792</c:v>
                </c:pt>
                <c:pt idx="345" c:formatCode="yyyy/m/d;@">
                  <c:v>45799</c:v>
                </c:pt>
                <c:pt idx="346" c:formatCode="yyyy/m/d;@">
                  <c:v>45806</c:v>
                </c:pt>
                <c:pt idx="347" c:formatCode="yyyy/m/d;@">
                  <c:v>45813</c:v>
                </c:pt>
                <c:pt idx="348" c:formatCode="yyyy/m/d;@">
                  <c:v>45820</c:v>
                </c:pt>
                <c:pt idx="349" c:formatCode="yyyy/m/d;@">
                  <c:v>45827</c:v>
                </c:pt>
                <c:pt idx="350" c:formatCode="yyyy/m/d;@">
                  <c:v>45834</c:v>
                </c:pt>
                <c:pt idx="351" c:formatCode="yyyy/m/d;@">
                  <c:v>45841</c:v>
                </c:pt>
                <c:pt idx="352" c:formatCode="yyyy/m/d;@">
                  <c:v>45848</c:v>
                </c:pt>
                <c:pt idx="353" c:formatCode="yyyy/m/d;@">
                  <c:v>45855</c:v>
                </c:pt>
                <c:pt idx="354" c:formatCode="yyyy/m/d;@">
                  <c:v>45862</c:v>
                </c:pt>
                <c:pt idx="355" c:formatCode="yyyy/m/d;@">
                  <c:v>45869</c:v>
                </c:pt>
                <c:pt idx="356" c:formatCode="yyyy/m/d;@">
                  <c:v>45876</c:v>
                </c:pt>
                <c:pt idx="357" c:formatCode="yyyy/m/d;@">
                  <c:v>45883</c:v>
                </c:pt>
                <c:pt idx="358" c:formatCode="yyyy/m/d;@">
                  <c:v>45890</c:v>
                </c:pt>
                <c:pt idx="359" c:formatCode="yyyy/m/d;@">
                  <c:v>45897</c:v>
                </c:pt>
                <c:pt idx="360" c:formatCode="yyyy/m/d;@">
                  <c:v>45904</c:v>
                </c:pt>
                <c:pt idx="361" c:formatCode="yyyy/m/d;@">
                  <c:v>45911</c:v>
                </c:pt>
                <c:pt idx="362" c:formatCode="yyyy/m/d;@">
                  <c:v>45918</c:v>
                </c:pt>
                <c:pt idx="363" c:formatCode="yyyy/m/d;@">
                  <c:v>45925</c:v>
                </c:pt>
                <c:pt idx="364" c:formatCode="yyyy/m/d;@">
                  <c:v>45939</c:v>
                </c:pt>
                <c:pt idx="365" c:formatCode="yyyy/m/d;@">
                  <c:v>45946</c:v>
                </c:pt>
                <c:pt idx="366" c:formatCode="yyyy/m/d;@">
                  <c:v>45953</c:v>
                </c:pt>
                <c:pt idx="367" c:formatCode="yyyy/m/d;@">
                  <c:v>45960</c:v>
                </c:pt>
                <c:pt idx="368" c:formatCode="yyyy/m/d;@">
                  <c:v>45967</c:v>
                </c:pt>
                <c:pt idx="369" c:formatCode="yyyy/m/d;@">
                  <c:v>45974</c:v>
                </c:pt>
                <c:pt idx="370" c:formatCode="yyyy/m/d;@">
                  <c:v>45981</c:v>
                </c:pt>
                <c:pt idx="371" c:formatCode="yyyy/m/d;@">
                  <c:v>45988</c:v>
                </c:pt>
                <c:pt idx="372" c:formatCode="yyyy/m/d;@">
                  <c:v>45995</c:v>
                </c:pt>
                <c:pt idx="373" c:formatCode="yyyy/m/d;@">
                  <c:v>46002</c:v>
                </c:pt>
                <c:pt idx="374" c:formatCode="yyyy/m/d;@">
                  <c:v>46009</c:v>
                </c:pt>
                <c:pt idx="375" c:formatCode="yyyy/m/d;@">
                  <c:v>46016</c:v>
                </c:pt>
                <c:pt idx="376" c:formatCode="yyyy/m/d;@">
                  <c:v>46023</c:v>
                </c:pt>
                <c:pt idx="377" c:formatCode="yyyy/m/d;@">
                  <c:v>46030</c:v>
                </c:pt>
                <c:pt idx="378" c:formatCode="yyyy/m/d;@">
                  <c:v>46037</c:v>
                </c:pt>
                <c:pt idx="379" c:formatCode="yyyy/m/d;@">
                  <c:v>46044</c:v>
                </c:pt>
                <c:pt idx="380" c:formatCode="yyyy/m/d;@">
                  <c:v>46051</c:v>
                </c:pt>
                <c:pt idx="381" c:formatCode="yyyy/m/d;@">
                  <c:v>46058</c:v>
                </c:pt>
                <c:pt idx="382" c:formatCode="yyyy/m/d;@">
                  <c:v>46065</c:v>
                </c:pt>
                <c:pt idx="383" c:formatCode="yyyy/m/d;@">
                  <c:v>46079</c:v>
                </c:pt>
                <c:pt idx="384" c:formatCode="yyyy/m/d;@">
                  <c:v>46086</c:v>
                </c:pt>
                <c:pt idx="385" c:formatCode="yyyy/m/d;@">
                  <c:v>46093</c:v>
                </c:pt>
                <c:pt idx="386" c:formatCode="yyyy/m/d;@">
                  <c:v>46100</c:v>
                </c:pt>
                <c:pt idx="387" c:formatCode="yyyy/m/d;@">
                  <c:v>46107</c:v>
                </c:pt>
                <c:pt idx="388" c:formatCode="yyyy/m/d;@">
                  <c:v>46114</c:v>
                </c:pt>
                <c:pt idx="389" c:formatCode="yyyy/m/d;@">
                  <c:v>46121</c:v>
                </c:pt>
                <c:pt idx="390" c:formatCode="yyyy/m/d;@">
                  <c:v>46128</c:v>
                </c:pt>
                <c:pt idx="391" c:formatCode="yyyy/m/d;@">
                  <c:v>46135</c:v>
                </c:pt>
                <c:pt idx="392" c:formatCode="yyyy/m/d;@">
                  <c:v>46142</c:v>
                </c:pt>
                <c:pt idx="393" c:formatCode="yyyy/m/d;@">
                  <c:v>46149</c:v>
                </c:pt>
                <c:pt idx="394" c:formatCode="yyyy/m/d;@">
                  <c:v>46156</c:v>
                </c:pt>
                <c:pt idx="395" c:formatCode="yyyy/m/d;@">
                  <c:v>46163</c:v>
                </c:pt>
                <c:pt idx="396" c:formatCode="yyyy/m/d;@">
                  <c:v>46170</c:v>
                </c:pt>
                <c:pt idx="397" c:formatCode="yyyy/m/d;@">
                  <c:v>46177</c:v>
                </c:pt>
                <c:pt idx="398" c:formatCode="yyyy/m/d;@">
                  <c:v>46184</c:v>
                </c:pt>
                <c:pt idx="399" c:formatCode="yyyy/m/d;@">
                  <c:v>46191</c:v>
                </c:pt>
                <c:pt idx="400" c:formatCode="yyyy/m/d;@">
                  <c:v>46198</c:v>
                </c:pt>
                <c:pt idx="401" c:formatCode="yyyy/m/d;@">
                  <c:v>46205</c:v>
                </c:pt>
                <c:pt idx="402" c:formatCode="yyyy/m/d;@">
                  <c:v>46212</c:v>
                </c:pt>
                <c:pt idx="403" c:formatCode="yyyy/m/d;@">
                  <c:v>46219</c:v>
                </c:pt>
                <c:pt idx="404" c:formatCode="yyyy/m/d;@">
                  <c:v>46226</c:v>
                </c:pt>
                <c:pt idx="405" c:formatCode="yyyy/m/d;@">
                  <c:v>46233</c:v>
                </c:pt>
                <c:pt idx="406" c:formatCode="yyyy/m/d;@">
                  <c:v>46240</c:v>
                </c:pt>
                <c:pt idx="407" c:formatCode="yyyy/m/d;@">
                  <c:v>46247</c:v>
                </c:pt>
                <c:pt idx="408" c:formatCode="yyyy/m/d;@">
                  <c:v>46254</c:v>
                </c:pt>
                <c:pt idx="409" c:formatCode="yyyy/m/d;@">
                  <c:v>46261</c:v>
                </c:pt>
                <c:pt idx="410" c:formatCode="yyyy/m/d;@">
                  <c:v>46268</c:v>
                </c:pt>
                <c:pt idx="411" c:formatCode="yyyy/m/d;@">
                  <c:v>46275</c:v>
                </c:pt>
                <c:pt idx="412" c:formatCode="yyyy/m/d;@">
                  <c:v>46282</c:v>
                </c:pt>
                <c:pt idx="413" c:formatCode="yyyy/m/d;@">
                  <c:v>46289</c:v>
                </c:pt>
              </c:numCache>
            </c:numRef>
          </c:cat>
          <c:val>
            <c:numRef>
              <c:f>'15公斤仔猪'!$B$4:$B$4291</c:f>
              <c:numCache>
                <c:formatCode>General</c:formatCode>
                <c:ptCount val="4288"/>
                <c:pt idx="0">
                  <c:v>408.33</c:v>
                </c:pt>
                <c:pt idx="1">
                  <c:v>412.72</c:v>
                </c:pt>
                <c:pt idx="2">
                  <c:v>412.72</c:v>
                </c:pt>
                <c:pt idx="3">
                  <c:v>412</c:v>
                </c:pt>
                <c:pt idx="4">
                  <c:v>407.58</c:v>
                </c:pt>
                <c:pt idx="5">
                  <c:v>409.63</c:v>
                </c:pt>
                <c:pt idx="6">
                  <c:v>410</c:v>
                </c:pt>
                <c:pt idx="7">
                  <c:v>410</c:v>
                </c:pt>
                <c:pt idx="8">
                  <c:v>407.13</c:v>
                </c:pt>
                <c:pt idx="9">
                  <c:v>394.17</c:v>
                </c:pt>
                <c:pt idx="10">
                  <c:v>396.21</c:v>
                </c:pt>
                <c:pt idx="11">
                  <c:v>395.79</c:v>
                </c:pt>
                <c:pt idx="12">
                  <c:v>388.45</c:v>
                </c:pt>
                <c:pt idx="13">
                  <c:v>388</c:v>
                </c:pt>
                <c:pt idx="14">
                  <c:v>372.92</c:v>
                </c:pt>
                <c:pt idx="15">
                  <c:v>365.77</c:v>
                </c:pt>
                <c:pt idx="16">
                  <c:v>354.78</c:v>
                </c:pt>
                <c:pt idx="17">
                  <c:v>345.39</c:v>
                </c:pt>
                <c:pt idx="18">
                  <c:v>342.86</c:v>
                </c:pt>
                <c:pt idx="19">
                  <c:v>339.23</c:v>
                </c:pt>
                <c:pt idx="20">
                  <c:v>337.01</c:v>
                </c:pt>
                <c:pt idx="21">
                  <c:v>329.44</c:v>
                </c:pt>
                <c:pt idx="22">
                  <c:v>330.72</c:v>
                </c:pt>
                <c:pt idx="23">
                  <c:v>329.78</c:v>
                </c:pt>
                <c:pt idx="24">
                  <c:v>345.94</c:v>
                </c:pt>
                <c:pt idx="25" c:formatCode="0_ ">
                  <c:v>346.647058823529</c:v>
                </c:pt>
                <c:pt idx="26" c:formatCode="0_ ">
                  <c:v>354.705882352941</c:v>
                </c:pt>
                <c:pt idx="27" c:formatCode="0_ ">
                  <c:v>354.705882352941</c:v>
                </c:pt>
                <c:pt idx="28" c:formatCode="0_ ">
                  <c:v>432.117647058824</c:v>
                </c:pt>
                <c:pt idx="29" c:formatCode="0_ ">
                  <c:v>439.411764705882</c:v>
                </c:pt>
                <c:pt idx="30" c:formatCode="0_ ">
                  <c:v>448.823529411765</c:v>
                </c:pt>
                <c:pt idx="31" c:formatCode="0_ ">
                  <c:v>529.705882352941</c:v>
                </c:pt>
                <c:pt idx="32" c:formatCode="0_ ">
                  <c:v>645.882352941176</c:v>
                </c:pt>
                <c:pt idx="33" c:formatCode="0_ ">
                  <c:v>665.529411764706</c:v>
                </c:pt>
                <c:pt idx="34" c:formatCode="0_ ">
                  <c:v>682.352941176471</c:v>
                </c:pt>
                <c:pt idx="35">
                  <c:v>706</c:v>
                </c:pt>
                <c:pt idx="36">
                  <c:v>753</c:v>
                </c:pt>
                <c:pt idx="37">
                  <c:v>749</c:v>
                </c:pt>
                <c:pt idx="38">
                  <c:v>746</c:v>
                </c:pt>
                <c:pt idx="39">
                  <c:v>759.4</c:v>
                </c:pt>
                <c:pt idx="40">
                  <c:v>759.71</c:v>
                </c:pt>
                <c:pt idx="41">
                  <c:v>762.06</c:v>
                </c:pt>
                <c:pt idx="42">
                  <c:v>745.35</c:v>
                </c:pt>
                <c:pt idx="43">
                  <c:v>746.3</c:v>
                </c:pt>
                <c:pt idx="44">
                  <c:v>772.35</c:v>
                </c:pt>
                <c:pt idx="45">
                  <c:v>793.24</c:v>
                </c:pt>
                <c:pt idx="46">
                  <c:v>830</c:v>
                </c:pt>
                <c:pt idx="47">
                  <c:v>838</c:v>
                </c:pt>
                <c:pt idx="48">
                  <c:v>821</c:v>
                </c:pt>
                <c:pt idx="49">
                  <c:v>845</c:v>
                </c:pt>
                <c:pt idx="50">
                  <c:v>878</c:v>
                </c:pt>
                <c:pt idx="51">
                  <c:v>940</c:v>
                </c:pt>
                <c:pt idx="52">
                  <c:v>952</c:v>
                </c:pt>
                <c:pt idx="53">
                  <c:v>954</c:v>
                </c:pt>
                <c:pt idx="54">
                  <c:v>999</c:v>
                </c:pt>
                <c:pt idx="55">
                  <c:v>1028</c:v>
                </c:pt>
                <c:pt idx="56">
                  <c:v>1101</c:v>
                </c:pt>
                <c:pt idx="57">
                  <c:v>1235</c:v>
                </c:pt>
                <c:pt idx="58">
                  <c:v>1321</c:v>
                </c:pt>
                <c:pt idx="59">
                  <c:v>1415</c:v>
                </c:pt>
                <c:pt idx="60">
                  <c:v>1619</c:v>
                </c:pt>
                <c:pt idx="61">
                  <c:v>1750</c:v>
                </c:pt>
                <c:pt idx="62">
                  <c:v>1752</c:v>
                </c:pt>
                <c:pt idx="63">
                  <c:v>1795</c:v>
                </c:pt>
                <c:pt idx="64">
                  <c:v>1893</c:v>
                </c:pt>
                <c:pt idx="65">
                  <c:v>1977</c:v>
                </c:pt>
                <c:pt idx="66">
                  <c:v>2028</c:v>
                </c:pt>
                <c:pt idx="67">
                  <c:v>1829</c:v>
                </c:pt>
                <c:pt idx="68" c:formatCode="0_ ">
                  <c:v>1745</c:v>
                </c:pt>
                <c:pt idx="69">
                  <c:v>1721</c:v>
                </c:pt>
                <c:pt idx="70">
                  <c:v>1757</c:v>
                </c:pt>
                <c:pt idx="71">
                  <c:v>1737</c:v>
                </c:pt>
                <c:pt idx="72">
                  <c:v>1723</c:v>
                </c:pt>
                <c:pt idx="73">
                  <c:v>1742</c:v>
                </c:pt>
                <c:pt idx="74">
                  <c:v>1754</c:v>
                </c:pt>
                <c:pt idx="75">
                  <c:v>1827</c:v>
                </c:pt>
                <c:pt idx="76">
                  <c:v>1874</c:v>
                </c:pt>
                <c:pt idx="77">
                  <c:v>1925</c:v>
                </c:pt>
                <c:pt idx="78">
                  <c:v>1955</c:v>
                </c:pt>
                <c:pt idx="79">
                  <c:v>1969</c:v>
                </c:pt>
                <c:pt idx="80">
                  <c:v>2161</c:v>
                </c:pt>
                <c:pt idx="81">
                  <c:v>2266</c:v>
                </c:pt>
                <c:pt idx="82">
                  <c:v>2326</c:v>
                </c:pt>
                <c:pt idx="83">
                  <c:v>2356</c:v>
                </c:pt>
                <c:pt idx="84">
                  <c:v>2349</c:v>
                </c:pt>
                <c:pt idx="85">
                  <c:v>2238</c:v>
                </c:pt>
                <c:pt idx="86">
                  <c:v>2200</c:v>
                </c:pt>
                <c:pt idx="87">
                  <c:v>2135</c:v>
                </c:pt>
                <c:pt idx="88">
                  <c:v>2038</c:v>
                </c:pt>
                <c:pt idx="89">
                  <c:v>1979</c:v>
                </c:pt>
                <c:pt idx="90">
                  <c:v>1894</c:v>
                </c:pt>
                <c:pt idx="91">
                  <c:v>1750</c:v>
                </c:pt>
                <c:pt idx="92">
                  <c:v>1612</c:v>
                </c:pt>
                <c:pt idx="93">
                  <c:v>1591</c:v>
                </c:pt>
                <c:pt idx="94">
                  <c:v>1626</c:v>
                </c:pt>
                <c:pt idx="95">
                  <c:v>1715</c:v>
                </c:pt>
                <c:pt idx="96">
                  <c:v>1771</c:v>
                </c:pt>
                <c:pt idx="97">
                  <c:v>1803</c:v>
                </c:pt>
                <c:pt idx="98">
                  <c:v>1856</c:v>
                </c:pt>
                <c:pt idx="99">
                  <c:v>1885</c:v>
                </c:pt>
                <c:pt idx="100">
                  <c:v>1918</c:v>
                </c:pt>
                <c:pt idx="101">
                  <c:v>1936</c:v>
                </c:pt>
                <c:pt idx="102">
                  <c:v>1938</c:v>
                </c:pt>
                <c:pt idx="103">
                  <c:v>1941</c:v>
                </c:pt>
                <c:pt idx="104">
                  <c:v>1929</c:v>
                </c:pt>
                <c:pt idx="105">
                  <c:v>1906</c:v>
                </c:pt>
                <c:pt idx="106">
                  <c:v>1832</c:v>
                </c:pt>
                <c:pt idx="107">
                  <c:v>1799</c:v>
                </c:pt>
                <c:pt idx="108">
                  <c:v>1758</c:v>
                </c:pt>
                <c:pt idx="109">
                  <c:v>1705</c:v>
                </c:pt>
                <c:pt idx="110">
                  <c:v>1626</c:v>
                </c:pt>
                <c:pt idx="111">
                  <c:v>1561</c:v>
                </c:pt>
                <c:pt idx="112">
                  <c:v>1462</c:v>
                </c:pt>
                <c:pt idx="113">
                  <c:v>1366</c:v>
                </c:pt>
                <c:pt idx="114">
                  <c:v>1255</c:v>
                </c:pt>
                <c:pt idx="115">
                  <c:v>1080</c:v>
                </c:pt>
                <c:pt idx="116">
                  <c:v>1021</c:v>
                </c:pt>
                <c:pt idx="117">
                  <c:v>995</c:v>
                </c:pt>
                <c:pt idx="118">
                  <c:v>1003</c:v>
                </c:pt>
                <c:pt idx="119">
                  <c:v>1059</c:v>
                </c:pt>
                <c:pt idx="120">
                  <c:v>1120</c:v>
                </c:pt>
                <c:pt idx="121">
                  <c:v>1166</c:v>
                </c:pt>
                <c:pt idx="122">
                  <c:v>1216</c:v>
                </c:pt>
                <c:pt idx="123">
                  <c:v>1249</c:v>
                </c:pt>
                <c:pt idx="124">
                  <c:v>1346</c:v>
                </c:pt>
                <c:pt idx="125">
                  <c:v>1405</c:v>
                </c:pt>
                <c:pt idx="126">
                  <c:v>1498</c:v>
                </c:pt>
                <c:pt idx="127">
                  <c:v>1615</c:v>
                </c:pt>
                <c:pt idx="128">
                  <c:v>1681</c:v>
                </c:pt>
                <c:pt idx="129">
                  <c:v>1711</c:v>
                </c:pt>
                <c:pt idx="130">
                  <c:v>1829</c:v>
                </c:pt>
                <c:pt idx="131">
                  <c:v>1886</c:v>
                </c:pt>
                <c:pt idx="132">
                  <c:v>1897</c:v>
                </c:pt>
                <c:pt idx="133">
                  <c:v>1864</c:v>
                </c:pt>
                <c:pt idx="134">
                  <c:v>1821</c:v>
                </c:pt>
                <c:pt idx="135">
                  <c:v>1695</c:v>
                </c:pt>
                <c:pt idx="136">
                  <c:v>1597</c:v>
                </c:pt>
                <c:pt idx="137">
                  <c:v>1426</c:v>
                </c:pt>
                <c:pt idx="138">
                  <c:v>1267</c:v>
                </c:pt>
                <c:pt idx="139">
                  <c:v>1235</c:v>
                </c:pt>
                <c:pt idx="140">
                  <c:v>1196</c:v>
                </c:pt>
                <c:pt idx="141">
                  <c:v>1145</c:v>
                </c:pt>
                <c:pt idx="142">
                  <c:v>1062</c:v>
                </c:pt>
                <c:pt idx="143">
                  <c:v>935</c:v>
                </c:pt>
                <c:pt idx="144">
                  <c:v>855</c:v>
                </c:pt>
                <c:pt idx="145">
                  <c:v>739</c:v>
                </c:pt>
                <c:pt idx="146">
                  <c:v>674</c:v>
                </c:pt>
                <c:pt idx="147">
                  <c:v>575</c:v>
                </c:pt>
                <c:pt idx="148">
                  <c:v>475</c:v>
                </c:pt>
                <c:pt idx="149">
                  <c:v>460</c:v>
                </c:pt>
                <c:pt idx="150">
                  <c:v>461</c:v>
                </c:pt>
                <c:pt idx="151">
                  <c:v>461</c:v>
                </c:pt>
                <c:pt idx="152">
                  <c:v>461</c:v>
                </c:pt>
                <c:pt idx="153">
                  <c:v>461</c:v>
                </c:pt>
                <c:pt idx="154">
                  <c:v>462</c:v>
                </c:pt>
                <c:pt idx="155">
                  <c:v>416</c:v>
                </c:pt>
                <c:pt idx="156">
                  <c:v>403</c:v>
                </c:pt>
                <c:pt idx="157">
                  <c:v>394</c:v>
                </c:pt>
                <c:pt idx="158">
                  <c:v>380</c:v>
                </c:pt>
                <c:pt idx="159">
                  <c:v>311</c:v>
                </c:pt>
                <c:pt idx="160">
                  <c:v>264</c:v>
                </c:pt>
                <c:pt idx="161">
                  <c:v>231</c:v>
                </c:pt>
                <c:pt idx="162">
                  <c:v>181</c:v>
                </c:pt>
                <c:pt idx="163">
                  <c:v>155</c:v>
                </c:pt>
                <c:pt idx="164">
                  <c:v>155</c:v>
                </c:pt>
                <c:pt idx="165">
                  <c:v>158</c:v>
                </c:pt>
                <c:pt idx="166">
                  <c:v>310</c:v>
                </c:pt>
                <c:pt idx="167">
                  <c:v>339</c:v>
                </c:pt>
                <c:pt idx="168">
                  <c:v>354</c:v>
                </c:pt>
                <c:pt idx="169">
                  <c:v>373</c:v>
                </c:pt>
                <c:pt idx="170">
                  <c:v>388</c:v>
                </c:pt>
                <c:pt idx="171">
                  <c:v>397</c:v>
                </c:pt>
                <c:pt idx="172">
                  <c:v>404</c:v>
                </c:pt>
                <c:pt idx="173">
                  <c:v>404</c:v>
                </c:pt>
                <c:pt idx="174">
                  <c:v>403</c:v>
                </c:pt>
                <c:pt idx="175">
                  <c:v>403</c:v>
                </c:pt>
                <c:pt idx="176">
                  <c:v>408</c:v>
                </c:pt>
                <c:pt idx="177">
                  <c:v>402</c:v>
                </c:pt>
                <c:pt idx="178">
                  <c:v>399</c:v>
                </c:pt>
                <c:pt idx="179">
                  <c:v>399</c:v>
                </c:pt>
                <c:pt idx="180">
                  <c:v>398</c:v>
                </c:pt>
                <c:pt idx="181">
                  <c:v>398</c:v>
                </c:pt>
                <c:pt idx="182">
                  <c:v>398</c:v>
                </c:pt>
                <c:pt idx="183">
                  <c:v>399</c:v>
                </c:pt>
                <c:pt idx="184">
                  <c:v>399</c:v>
                </c:pt>
                <c:pt idx="185">
                  <c:v>403</c:v>
                </c:pt>
                <c:pt idx="186">
                  <c:v>407</c:v>
                </c:pt>
                <c:pt idx="187">
                  <c:v>407</c:v>
                </c:pt>
                <c:pt idx="188">
                  <c:v>410</c:v>
                </c:pt>
                <c:pt idx="189">
                  <c:v>443</c:v>
                </c:pt>
                <c:pt idx="190">
                  <c:v>506</c:v>
                </c:pt>
                <c:pt idx="191">
                  <c:v>577</c:v>
                </c:pt>
                <c:pt idx="192">
                  <c:v>625</c:v>
                </c:pt>
                <c:pt idx="193">
                  <c:v>663</c:v>
                </c:pt>
                <c:pt idx="194">
                  <c:v>683</c:v>
                </c:pt>
                <c:pt idx="195">
                  <c:v>689</c:v>
                </c:pt>
                <c:pt idx="196">
                  <c:v>686</c:v>
                </c:pt>
                <c:pt idx="197">
                  <c:v>651</c:v>
                </c:pt>
                <c:pt idx="198">
                  <c:v>634</c:v>
                </c:pt>
                <c:pt idx="199">
                  <c:v>627</c:v>
                </c:pt>
                <c:pt idx="200">
                  <c:v>644</c:v>
                </c:pt>
                <c:pt idx="201">
                  <c:v>743</c:v>
                </c:pt>
                <c:pt idx="202">
                  <c:v>776</c:v>
                </c:pt>
                <c:pt idx="203">
                  <c:v>829</c:v>
                </c:pt>
                <c:pt idx="204">
                  <c:v>852</c:v>
                </c:pt>
                <c:pt idx="205">
                  <c:v>803</c:v>
                </c:pt>
                <c:pt idx="206">
                  <c:v>728</c:v>
                </c:pt>
                <c:pt idx="207">
                  <c:v>681</c:v>
                </c:pt>
                <c:pt idx="208">
                  <c:v>644</c:v>
                </c:pt>
                <c:pt idx="209">
                  <c:v>639</c:v>
                </c:pt>
                <c:pt idx="210">
                  <c:v>629</c:v>
                </c:pt>
                <c:pt idx="211">
                  <c:v>626</c:v>
                </c:pt>
                <c:pt idx="212">
                  <c:v>626</c:v>
                </c:pt>
                <c:pt idx="213">
                  <c:v>637</c:v>
                </c:pt>
                <c:pt idx="214">
                  <c:v>662</c:v>
                </c:pt>
                <c:pt idx="215">
                  <c:v>728</c:v>
                </c:pt>
                <c:pt idx="216">
                  <c:v>801</c:v>
                </c:pt>
                <c:pt idx="217">
                  <c:v>832</c:v>
                </c:pt>
                <c:pt idx="218">
                  <c:v>834</c:v>
                </c:pt>
                <c:pt idx="219">
                  <c:v>804</c:v>
                </c:pt>
                <c:pt idx="220">
                  <c:v>764</c:v>
                </c:pt>
                <c:pt idx="221">
                  <c:v>726</c:v>
                </c:pt>
                <c:pt idx="222">
                  <c:v>690</c:v>
                </c:pt>
                <c:pt idx="223">
                  <c:v>652</c:v>
                </c:pt>
                <c:pt idx="224">
                  <c:v>602</c:v>
                </c:pt>
                <c:pt idx="225">
                  <c:v>569</c:v>
                </c:pt>
                <c:pt idx="226">
                  <c:v>534</c:v>
                </c:pt>
                <c:pt idx="227">
                  <c:v>508</c:v>
                </c:pt>
                <c:pt idx="228">
                  <c:v>461</c:v>
                </c:pt>
                <c:pt idx="229">
                  <c:v>518</c:v>
                </c:pt>
                <c:pt idx="230">
                  <c:v>555</c:v>
                </c:pt>
                <c:pt idx="231">
                  <c:v>596</c:v>
                </c:pt>
                <c:pt idx="232">
                  <c:v>649</c:v>
                </c:pt>
                <c:pt idx="233">
                  <c:v>703</c:v>
                </c:pt>
                <c:pt idx="234">
                  <c:v>704</c:v>
                </c:pt>
                <c:pt idx="235">
                  <c:v>691</c:v>
                </c:pt>
                <c:pt idx="236">
                  <c:v>674</c:v>
                </c:pt>
                <c:pt idx="237">
                  <c:v>655</c:v>
                </c:pt>
                <c:pt idx="238">
                  <c:v>641</c:v>
                </c:pt>
                <c:pt idx="239">
                  <c:v>618</c:v>
                </c:pt>
                <c:pt idx="240">
                  <c:v>618</c:v>
                </c:pt>
                <c:pt idx="241">
                  <c:v>613</c:v>
                </c:pt>
                <c:pt idx="242">
                  <c:v>622</c:v>
                </c:pt>
                <c:pt idx="243">
                  <c:v>638</c:v>
                </c:pt>
                <c:pt idx="244">
                  <c:v>650</c:v>
                </c:pt>
                <c:pt idx="245">
                  <c:v>650</c:v>
                </c:pt>
                <c:pt idx="246">
                  <c:v>621</c:v>
                </c:pt>
                <c:pt idx="247">
                  <c:v>568</c:v>
                </c:pt>
                <c:pt idx="248">
                  <c:v>507</c:v>
                </c:pt>
                <c:pt idx="249">
                  <c:v>502</c:v>
                </c:pt>
                <c:pt idx="250">
                  <c:v>495</c:v>
                </c:pt>
                <c:pt idx="251">
                  <c:v>474</c:v>
                </c:pt>
                <c:pt idx="252">
                  <c:v>469</c:v>
                </c:pt>
                <c:pt idx="253">
                  <c:v>450</c:v>
                </c:pt>
                <c:pt idx="254">
                  <c:v>458</c:v>
                </c:pt>
                <c:pt idx="255">
                  <c:v>466</c:v>
                </c:pt>
                <c:pt idx="256">
                  <c:v>516</c:v>
                </c:pt>
                <c:pt idx="257">
                  <c:v>540</c:v>
                </c:pt>
                <c:pt idx="258">
                  <c:v>511</c:v>
                </c:pt>
                <c:pt idx="259">
                  <c:v>469</c:v>
                </c:pt>
                <c:pt idx="260">
                  <c:v>436</c:v>
                </c:pt>
                <c:pt idx="261">
                  <c:v>416</c:v>
                </c:pt>
                <c:pt idx="262">
                  <c:v>381</c:v>
                </c:pt>
                <c:pt idx="263">
                  <c:v>306</c:v>
                </c:pt>
                <c:pt idx="264">
                  <c:v>296</c:v>
                </c:pt>
                <c:pt idx="265">
                  <c:v>279</c:v>
                </c:pt>
                <c:pt idx="266">
                  <c:v>214</c:v>
                </c:pt>
                <c:pt idx="267">
                  <c:v>206</c:v>
                </c:pt>
                <c:pt idx="268">
                  <c:v>235</c:v>
                </c:pt>
                <c:pt idx="269">
                  <c:v>254</c:v>
                </c:pt>
                <c:pt idx="270">
                  <c:v>292</c:v>
                </c:pt>
                <c:pt idx="271">
                  <c:v>312</c:v>
                </c:pt>
                <c:pt idx="272">
                  <c:v>319</c:v>
                </c:pt>
                <c:pt idx="273">
                  <c:v>318</c:v>
                </c:pt>
                <c:pt idx="274">
                  <c:v>318</c:v>
                </c:pt>
                <c:pt idx="275">
                  <c:v>308</c:v>
                </c:pt>
                <c:pt idx="276">
                  <c:v>303</c:v>
                </c:pt>
                <c:pt idx="277">
                  <c:v>303</c:v>
                </c:pt>
                <c:pt idx="278">
                  <c:v>306</c:v>
                </c:pt>
                <c:pt idx="279">
                  <c:v>332</c:v>
                </c:pt>
                <c:pt idx="280">
                  <c:v>469</c:v>
                </c:pt>
                <c:pt idx="281">
                  <c:v>506</c:v>
                </c:pt>
                <c:pt idx="282">
                  <c:v>603</c:v>
                </c:pt>
                <c:pt idx="283">
                  <c:v>555</c:v>
                </c:pt>
                <c:pt idx="284">
                  <c:v>530</c:v>
                </c:pt>
                <c:pt idx="285">
                  <c:v>561</c:v>
                </c:pt>
                <c:pt idx="286">
                  <c:v>631</c:v>
                </c:pt>
                <c:pt idx="287">
                  <c:v>711</c:v>
                </c:pt>
                <c:pt idx="288">
                  <c:v>722</c:v>
                </c:pt>
                <c:pt idx="289">
                  <c:v>718</c:v>
                </c:pt>
                <c:pt idx="290">
                  <c:v>717</c:v>
                </c:pt>
                <c:pt idx="291">
                  <c:v>713</c:v>
                </c:pt>
                <c:pt idx="292">
                  <c:v>700</c:v>
                </c:pt>
                <c:pt idx="293">
                  <c:v>689</c:v>
                </c:pt>
                <c:pt idx="294">
                  <c:v>689</c:v>
                </c:pt>
                <c:pt idx="295">
                  <c:v>705</c:v>
                </c:pt>
                <c:pt idx="296">
                  <c:v>746</c:v>
                </c:pt>
                <c:pt idx="297">
                  <c:v>801</c:v>
                </c:pt>
                <c:pt idx="298">
                  <c:v>807</c:v>
                </c:pt>
                <c:pt idx="299">
                  <c:v>796</c:v>
                </c:pt>
                <c:pt idx="300">
                  <c:v>759</c:v>
                </c:pt>
                <c:pt idx="301">
                  <c:v>702</c:v>
                </c:pt>
                <c:pt idx="302">
                  <c:v>666</c:v>
                </c:pt>
                <c:pt idx="303">
                  <c:v>645</c:v>
                </c:pt>
                <c:pt idx="304">
                  <c:v>682</c:v>
                </c:pt>
                <c:pt idx="305">
                  <c:v>679</c:v>
                </c:pt>
                <c:pt idx="306">
                  <c:v>681</c:v>
                </c:pt>
                <c:pt idx="307">
                  <c:v>689</c:v>
                </c:pt>
                <c:pt idx="308">
                  <c:v>686</c:v>
                </c:pt>
                <c:pt idx="309">
                  <c:v>686</c:v>
                </c:pt>
                <c:pt idx="310">
                  <c:v>649</c:v>
                </c:pt>
                <c:pt idx="311">
                  <c:v>613</c:v>
                </c:pt>
                <c:pt idx="312">
                  <c:v>557</c:v>
                </c:pt>
                <c:pt idx="313">
                  <c:v>489</c:v>
                </c:pt>
                <c:pt idx="314">
                  <c:v>438</c:v>
                </c:pt>
                <c:pt idx="315">
                  <c:v>458</c:v>
                </c:pt>
                <c:pt idx="316">
                  <c:v>466</c:v>
                </c:pt>
                <c:pt idx="317">
                  <c:v>500</c:v>
                </c:pt>
                <c:pt idx="318">
                  <c:v>530</c:v>
                </c:pt>
                <c:pt idx="319">
                  <c:v>513</c:v>
                </c:pt>
                <c:pt idx="320">
                  <c:v>492</c:v>
                </c:pt>
                <c:pt idx="321">
                  <c:v>487</c:v>
                </c:pt>
                <c:pt idx="322">
                  <c:v>470</c:v>
                </c:pt>
                <c:pt idx="323">
                  <c:v>458</c:v>
                </c:pt>
                <c:pt idx="324">
                  <c:v>448</c:v>
                </c:pt>
                <c:pt idx="325">
                  <c:v>443</c:v>
                </c:pt>
                <c:pt idx="326">
                  <c:v>491</c:v>
                </c:pt>
                <c:pt idx="327">
                  <c:v>538</c:v>
                </c:pt>
                <c:pt idx="328">
                  <c:v>581</c:v>
                </c:pt>
                <c:pt idx="329">
                  <c:v>632</c:v>
                </c:pt>
                <c:pt idx="330">
                  <c:v>654</c:v>
                </c:pt>
                <c:pt idx="331">
                  <c:v>630</c:v>
                </c:pt>
                <c:pt idx="332">
                  <c:v>592</c:v>
                </c:pt>
                <c:pt idx="333">
                  <c:v>559</c:v>
                </c:pt>
                <c:pt idx="334">
                  <c:v>559</c:v>
                </c:pt>
                <c:pt idx="335">
                  <c:v>605</c:v>
                </c:pt>
                <c:pt idx="336">
                  <c:v>630</c:v>
                </c:pt>
                <c:pt idx="337">
                  <c:v>648</c:v>
                </c:pt>
                <c:pt idx="338">
                  <c:v>659</c:v>
                </c:pt>
                <c:pt idx="339">
                  <c:v>659</c:v>
                </c:pt>
                <c:pt idx="340">
                  <c:v>659</c:v>
                </c:pt>
                <c:pt idx="341">
                  <c:v>650</c:v>
                </c:pt>
                <c:pt idx="342">
                  <c:v>650</c:v>
                </c:pt>
                <c:pt idx="343">
                  <c:v>647</c:v>
                </c:pt>
                <c:pt idx="344">
                  <c:v>630</c:v>
                </c:pt>
                <c:pt idx="345">
                  <c:v>626</c:v>
                </c:pt>
                <c:pt idx="346">
                  <c:v>606</c:v>
                </c:pt>
                <c:pt idx="347">
                  <c:v>583</c:v>
                </c:pt>
                <c:pt idx="348">
                  <c:v>566</c:v>
                </c:pt>
                <c:pt idx="349">
                  <c:v>544</c:v>
                </c:pt>
                <c:pt idx="350">
                  <c:v>529</c:v>
                </c:pt>
                <c:pt idx="351">
                  <c:v>529</c:v>
                </c:pt>
                <c:pt idx="352">
                  <c:v>539</c:v>
                </c:pt>
                <c:pt idx="353">
                  <c:v>540</c:v>
                </c:pt>
                <c:pt idx="354">
                  <c:v>540</c:v>
                </c:pt>
                <c:pt idx="355">
                  <c:v>526</c:v>
                </c:pt>
                <c:pt idx="356">
                  <c:v>516</c:v>
                </c:pt>
                <c:pt idx="357">
                  <c:v>482</c:v>
                </c:pt>
                <c:pt idx="358">
                  <c:v>460</c:v>
                </c:pt>
                <c:pt idx="359">
                  <c:v>444</c:v>
                </c:pt>
                <c:pt idx="360">
                  <c:v>425</c:v>
                </c:pt>
                <c:pt idx="361">
                  <c:v>393</c:v>
                </c:pt>
                <c:pt idx="362">
                  <c:v>359</c:v>
                </c:pt>
                <c:pt idx="363">
                  <c:v>334</c:v>
                </c:pt>
                <c:pt idx="364">
                  <c:v>281</c:v>
                </c:pt>
                <c:pt idx="365">
                  <c:v>266</c:v>
                </c:pt>
                <c:pt idx="366">
                  <c:v>255</c:v>
                </c:pt>
                <c:pt idx="367">
                  <c:v>266</c:v>
                </c:pt>
                <c:pt idx="368">
                  <c:v>288</c:v>
                </c:pt>
                <c:pt idx="369">
                  <c:v>300</c:v>
                </c:pt>
                <c:pt idx="370">
                  <c:v>300</c:v>
                </c:pt>
                <c:pt idx="371">
                  <c:v>300</c:v>
                </c:pt>
                <c:pt idx="372">
                  <c:v>297</c:v>
                </c:pt>
                <c:pt idx="373">
                  <c:v>306</c:v>
                </c:pt>
                <c:pt idx="374">
                  <c:v>307</c:v>
                </c:pt>
                <c:pt idx="375">
                  <c:v>308</c:v>
                </c:pt>
                <c:pt idx="376">
                  <c:v>321</c:v>
                </c:pt>
                <c:pt idx="377">
                  <c:v>366</c:v>
                </c:pt>
                <c:pt idx="378">
                  <c:v>425</c:v>
                </c:pt>
                <c:pt idx="379">
                  <c:v>456</c:v>
                </c:pt>
                <c:pt idx="380">
                  <c:v>471</c:v>
                </c:pt>
                <c:pt idx="381">
                  <c:v>471</c:v>
                </c:pt>
                <c:pt idx="382">
                  <c:v>471</c:v>
                </c:pt>
                <c:pt idx="383">
                  <c:v>464</c:v>
                </c:pt>
                <c:pt idx="384">
                  <c:v>449</c:v>
                </c:pt>
                <c:pt idx="385">
                  <c:v>422</c:v>
                </c:pt>
                <c:pt idx="386">
                  <c:v>379</c:v>
                </c:pt>
                <c:pt idx="387">
                  <c:v>341</c:v>
                </c:pt>
                <c:pt idx="388">
                  <c:v>307</c:v>
                </c:pt>
                <c:pt idx="389">
                  <c:v>307</c:v>
                </c:pt>
                <c:pt idx="390">
                  <c:v>314</c:v>
                </c:pt>
                <c:pt idx="391">
                  <c:v>337</c:v>
                </c:pt>
                <c:pt idx="392">
                  <c:v>347</c:v>
                </c:pt>
                <c:pt idx="393">
                  <c:v>352</c:v>
                </c:pt>
                <c:pt idx="394">
                  <c:v>356</c:v>
                </c:pt>
                <c:pt idx="395">
                  <c:v>362</c:v>
                </c:pt>
                <c:pt idx="396">
                  <c:v>363</c:v>
                </c:pt>
                <c:pt idx="397">
                  <c:v>342</c:v>
                </c:pt>
                <c:pt idx="398">
                  <c:v>295</c:v>
                </c:pt>
                <c:pt idx="399">
                  <c:v>249</c:v>
                </c:pt>
                <c:pt idx="400">
                  <c:v>231</c:v>
                </c:pt>
                <c:pt idx="401">
                  <c:v>292</c:v>
                </c:pt>
                <c:pt idx="402">
                  <c:v>351</c:v>
                </c:pt>
                <c:pt idx="403">
                  <c:v>371</c:v>
                </c:pt>
                <c:pt idx="404">
                  <c:v>380</c:v>
                </c:pt>
                <c:pt idx="405">
                  <c:v>324</c:v>
                </c:pt>
                <c:pt idx="406">
                  <c:v>284</c:v>
                </c:pt>
                <c:pt idx="407">
                  <c:v>269</c:v>
                </c:pt>
                <c:pt idx="408">
                  <c:v>256</c:v>
                </c:pt>
                <c:pt idx="409">
                  <c:v>259</c:v>
                </c:pt>
                <c:pt idx="410">
                  <c:v>258</c:v>
                </c:pt>
                <c:pt idx="411">
                  <c:v>258</c:v>
                </c:pt>
                <c:pt idx="412">
                  <c:v>252</c:v>
                </c:pt>
                <c:pt idx="413">
                  <c:v>234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0"/>
        <c:smooth val="0"/>
        <c:axId val="126494456"/>
        <c:axId val="869025203"/>
      </c:lineChart>
      <c:dateAx>
        <c:axId val="126494456"/>
        <c:scaling>
          <c:orientation val="minMax"/>
          <c:max val="46289"/>
          <c:min val="45559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900" b="1" i="0" u="none" strike="noStrike" kern="1200" cap="all" baseline="0">
                    <a:solidFill>
                      <a:sysClr val="windowText" lastClr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  <a:sym typeface="宋体" panose="02010600030101010101" pitchFamily="7" charset="-122"/>
                  </a:defRPr>
                </a:pPr>
                <a:r>
                  <a:rPr b="1">
                    <a:solidFill>
                      <a:sysClr val="windowText" lastClr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  <a:sym typeface="宋体" panose="02010600030101010101" pitchFamily="7" charset="-122"/>
                  </a:rPr>
                  <a:t>元/头</a:t>
                </a:r>
                <a:endParaRPr b="1">
                  <a:solidFill>
                    <a:sysClr val="windowText" lastClr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322224515628781"/>
              <c:y val="0.064361199085070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0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869025203"/>
        <c:crosses val="autoZero"/>
        <c:auto val="1"/>
        <c:lblOffset val="100"/>
        <c:baseTimeUnit val="days"/>
        <c:majorUnit val="4"/>
        <c:majorTimeUnit val="months"/>
      </c:dateAx>
      <c:valAx>
        <c:axId val="869025203"/>
        <c:scaling>
          <c:orientation val="minMax"/>
          <c:max val="750"/>
          <c:min val="15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126494456"/>
        <c:crosses val="autoZero"/>
        <c:crossBetween val="between"/>
        <c:majorUnit val="150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a7b04b0-c9c0-4818-8b40-5786debece6b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 b="0">
          <a:solidFill>
            <a:sysClr val="windowText" lastClr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  <a:sym typeface="宋体" panose="02010600030101010101" pitchFamily="7" charset="-122"/>
        </a:defRPr>
      </a:pPr>
    </a:p>
  </c:txPr>
  <c:externalData r:id="rId1">
    <c:autoUpdate val="0"/>
  </c:externalData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r>
              <a:rPr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全国断奶仔猪销售价格走势图</a:t>
            </a:r>
            <a:endParaRPr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断奶仔猪!$B$2</c:f>
              <c:strCache>
                <c:ptCount val="1"/>
                <c:pt idx="0">
                  <c:v>全国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断奶仔猪!$A$3:$A$1301</c:f>
              <c:numCache>
                <c:formatCode>yyyy/m/d;@</c:formatCode>
                <c:ptCount val="1299"/>
                <c:pt idx="0" c:formatCode="yyyy/m/d;@">
                  <c:v>44844</c:v>
                </c:pt>
                <c:pt idx="1" c:formatCode="yyyy/m/d;@">
                  <c:v>44848</c:v>
                </c:pt>
                <c:pt idx="2" c:formatCode="yyyy/m/d;@">
                  <c:v>44853</c:v>
                </c:pt>
                <c:pt idx="3" c:formatCode="yyyy/m/d;@">
                  <c:v>44855</c:v>
                </c:pt>
                <c:pt idx="4" c:formatCode="yyyy/m/d;@">
                  <c:v>44861</c:v>
                </c:pt>
                <c:pt idx="5" c:formatCode="yyyy/m/d;@">
                  <c:v>44862</c:v>
                </c:pt>
                <c:pt idx="6" c:formatCode="yyyy/m/d;@">
                  <c:v>44867</c:v>
                </c:pt>
                <c:pt idx="7" c:formatCode="yyyy/m/d;@">
                  <c:v>44869</c:v>
                </c:pt>
                <c:pt idx="8" c:formatCode="yyyy/m/d;@">
                  <c:v>44874</c:v>
                </c:pt>
                <c:pt idx="9" c:formatCode="yyyy/m/d;@">
                  <c:v>44876</c:v>
                </c:pt>
                <c:pt idx="10" c:formatCode="yyyy/m/d;@">
                  <c:v>44881</c:v>
                </c:pt>
                <c:pt idx="11" c:formatCode="yyyy/m/d;@">
                  <c:v>44883</c:v>
                </c:pt>
                <c:pt idx="12" c:formatCode="yyyy/m/d;@">
                  <c:v>44888</c:v>
                </c:pt>
                <c:pt idx="13" c:formatCode="yyyy/m/d;@">
                  <c:v>44891</c:v>
                </c:pt>
                <c:pt idx="14" c:formatCode="yyyy/m/d;@">
                  <c:v>44895</c:v>
                </c:pt>
                <c:pt idx="15" c:formatCode="yyyy/m/d;@">
                  <c:v>44897</c:v>
                </c:pt>
                <c:pt idx="16" c:formatCode="yyyy/m/d;@">
                  <c:v>44902</c:v>
                </c:pt>
                <c:pt idx="17" c:formatCode="yyyy/m/d;@">
                  <c:v>44904</c:v>
                </c:pt>
                <c:pt idx="18" c:formatCode="yyyy/m/d;@">
                  <c:v>44909</c:v>
                </c:pt>
                <c:pt idx="19" c:formatCode="yyyy/m/d;@">
                  <c:v>44911</c:v>
                </c:pt>
                <c:pt idx="20" c:formatCode="yyyy/m/d;@">
                  <c:v>44916</c:v>
                </c:pt>
                <c:pt idx="21" c:formatCode="yyyy/m/d;@">
                  <c:v>44918</c:v>
                </c:pt>
                <c:pt idx="22" c:formatCode="yyyy/m/d;@">
                  <c:v>44923</c:v>
                </c:pt>
                <c:pt idx="23" c:formatCode="yyyy/m/d;@">
                  <c:v>44925</c:v>
                </c:pt>
                <c:pt idx="24" c:formatCode="yyyy/m/d;@">
                  <c:v>44930</c:v>
                </c:pt>
                <c:pt idx="25" c:formatCode="yyyy/m/d;@">
                  <c:v>44932</c:v>
                </c:pt>
                <c:pt idx="26" c:formatCode="yyyy/m/d;@">
                  <c:v>44937</c:v>
                </c:pt>
                <c:pt idx="27" c:formatCode="yyyy/m/d;@">
                  <c:v>44939</c:v>
                </c:pt>
                <c:pt idx="28" c:formatCode="yyyy/m/d;@">
                  <c:v>44957</c:v>
                </c:pt>
                <c:pt idx="29" c:formatCode="yyyy/m/d;@">
                  <c:v>44960</c:v>
                </c:pt>
                <c:pt idx="30" c:formatCode="yyyy/m/d;@">
                  <c:v>44965</c:v>
                </c:pt>
                <c:pt idx="31" c:formatCode="yyyy/m/d;@">
                  <c:v>44967</c:v>
                </c:pt>
                <c:pt idx="32" c:formatCode="yyyy/m/d;@">
                  <c:v>44972</c:v>
                </c:pt>
                <c:pt idx="33" c:formatCode="yyyy/m/d;@">
                  <c:v>44974</c:v>
                </c:pt>
                <c:pt idx="34" c:formatCode="yyyy/m/d;@">
                  <c:v>44979</c:v>
                </c:pt>
                <c:pt idx="35" c:formatCode="yyyy/m/d;@">
                  <c:v>44981</c:v>
                </c:pt>
                <c:pt idx="36" c:formatCode="yyyy/m/d;@">
                  <c:v>44986</c:v>
                </c:pt>
                <c:pt idx="37" c:formatCode="yyyy/m/d;@">
                  <c:v>44988</c:v>
                </c:pt>
                <c:pt idx="38" c:formatCode="yyyy/m/d;@">
                  <c:v>44993</c:v>
                </c:pt>
                <c:pt idx="39" c:formatCode="yyyy/m/d;@">
                  <c:v>44995</c:v>
                </c:pt>
                <c:pt idx="40" c:formatCode="yyyy/m/d;@">
                  <c:v>45000</c:v>
                </c:pt>
                <c:pt idx="41" c:formatCode="yyyy/m/d;@">
                  <c:v>45002</c:v>
                </c:pt>
                <c:pt idx="42" c:formatCode="yyyy/m/d;@">
                  <c:v>45007</c:v>
                </c:pt>
                <c:pt idx="43" c:formatCode="yyyy/m/d;@">
                  <c:v>45009</c:v>
                </c:pt>
                <c:pt idx="44" c:formatCode="yyyy/m/d;@">
                  <c:v>45014</c:v>
                </c:pt>
                <c:pt idx="45" c:formatCode="yyyy/m/d;@">
                  <c:v>45016</c:v>
                </c:pt>
                <c:pt idx="46" c:formatCode="yyyy/m/d;@">
                  <c:v>45020</c:v>
                </c:pt>
                <c:pt idx="47" c:formatCode="yyyy/m/d;@">
                  <c:v>45023</c:v>
                </c:pt>
                <c:pt idx="48" c:formatCode="yyyy/m/d;@">
                  <c:v>45028</c:v>
                </c:pt>
                <c:pt idx="49" c:formatCode="yyyy/m/d;@">
                  <c:v>45030</c:v>
                </c:pt>
                <c:pt idx="50" c:formatCode="yyyy/m/d;@">
                  <c:v>45035</c:v>
                </c:pt>
                <c:pt idx="51" c:formatCode="yyyy/m/d;@">
                  <c:v>45044</c:v>
                </c:pt>
                <c:pt idx="52" c:formatCode="yyyy/m/d;@">
                  <c:v>45052</c:v>
                </c:pt>
                <c:pt idx="53" c:formatCode="yyyy/m/d;@">
                  <c:v>45056</c:v>
                </c:pt>
                <c:pt idx="54" c:formatCode="yyyy/m/d;@">
                  <c:v>45058</c:v>
                </c:pt>
                <c:pt idx="55" c:formatCode="yyyy/m/d;@">
                  <c:v>45063</c:v>
                </c:pt>
                <c:pt idx="56" c:formatCode="yyyy/m/d;@">
                  <c:v>45065</c:v>
                </c:pt>
                <c:pt idx="57" c:formatCode="yyyy/m/d;@">
                  <c:v>45071</c:v>
                </c:pt>
                <c:pt idx="58" c:formatCode="yyyy/m/d;@">
                  <c:v>45072</c:v>
                </c:pt>
                <c:pt idx="59" c:formatCode="yyyy/m/d;@">
                  <c:v>45077</c:v>
                </c:pt>
                <c:pt idx="60" c:formatCode="yyyy/m/d;@">
                  <c:v>45079</c:v>
                </c:pt>
                <c:pt idx="61" c:formatCode="yyyy/m/d;@">
                  <c:v>45084</c:v>
                </c:pt>
                <c:pt idx="62" c:formatCode="yyyy/m/d;@">
                  <c:v>45086</c:v>
                </c:pt>
                <c:pt idx="63" c:formatCode="yyyy/m/d;@">
                  <c:v>45091</c:v>
                </c:pt>
                <c:pt idx="64" c:formatCode="yyyy/m/d;@">
                  <c:v>45093</c:v>
                </c:pt>
                <c:pt idx="65" c:formatCode="yyyy/m/d;@">
                  <c:v>45098</c:v>
                </c:pt>
                <c:pt idx="66" c:formatCode="yyyy/m/d;@">
                  <c:v>45105</c:v>
                </c:pt>
                <c:pt idx="67" c:formatCode="yyyy/m/d;@">
                  <c:v>45107</c:v>
                </c:pt>
                <c:pt idx="68" c:formatCode="yyyy/m/d;@">
                  <c:v>45112</c:v>
                </c:pt>
                <c:pt idx="69" c:formatCode="yyyy/m/d;@">
                  <c:v>45114</c:v>
                </c:pt>
                <c:pt idx="70" c:formatCode="yyyy/m/d;@">
                  <c:v>45119</c:v>
                </c:pt>
                <c:pt idx="71" c:formatCode="yyyy/m/d;@">
                  <c:v>45121</c:v>
                </c:pt>
                <c:pt idx="72" c:formatCode="yyyy/m/d;@">
                  <c:v>45126</c:v>
                </c:pt>
                <c:pt idx="73" c:formatCode="yyyy/m/d;@">
                  <c:v>45128</c:v>
                </c:pt>
                <c:pt idx="74" c:formatCode="yyyy/m/d;@">
                  <c:v>45133</c:v>
                </c:pt>
                <c:pt idx="75" c:formatCode="yyyy/m/d;@">
                  <c:v>45135</c:v>
                </c:pt>
                <c:pt idx="76" c:formatCode="yyyy/m/d;@">
                  <c:v>45140</c:v>
                </c:pt>
                <c:pt idx="77" c:formatCode="yyyy/m/d;@">
                  <c:v>45142</c:v>
                </c:pt>
                <c:pt idx="78" c:formatCode="yyyy/m/d;@">
                  <c:v>45146</c:v>
                </c:pt>
                <c:pt idx="79" c:formatCode="yyyy/m/d;@">
                  <c:v>45149</c:v>
                </c:pt>
                <c:pt idx="80" c:formatCode="yyyy/m/d;@">
                  <c:v>45153</c:v>
                </c:pt>
                <c:pt idx="81" c:formatCode="yyyy/m/d;@">
                  <c:v>45156</c:v>
                </c:pt>
                <c:pt idx="82" c:formatCode="yyyy/m/d;@">
                  <c:v>45160</c:v>
                </c:pt>
                <c:pt idx="83" c:formatCode="yyyy/m/d;@">
                  <c:v>45163</c:v>
                </c:pt>
                <c:pt idx="84" c:formatCode="yyyy/m/d;@">
                  <c:v>45167</c:v>
                </c:pt>
                <c:pt idx="85" c:formatCode="yyyy/m/d;@">
                  <c:v>45170</c:v>
                </c:pt>
                <c:pt idx="86" c:formatCode="yyyy/m/d;@">
                  <c:v>45174</c:v>
                </c:pt>
                <c:pt idx="87" c:formatCode="yyyy/m/d;@">
                  <c:v>45177</c:v>
                </c:pt>
                <c:pt idx="88" c:formatCode="yyyy/m/d;@">
                  <c:v>45181</c:v>
                </c:pt>
                <c:pt idx="89" c:formatCode="yyyy/m/d;@">
                  <c:v>45183</c:v>
                </c:pt>
                <c:pt idx="90" c:formatCode="yyyy/m/d;@">
                  <c:v>45188</c:v>
                </c:pt>
                <c:pt idx="91" c:formatCode="yyyy/m/d;@">
                  <c:v>45191</c:v>
                </c:pt>
                <c:pt idx="92" c:formatCode="yyyy/m/d;@">
                  <c:v>45195</c:v>
                </c:pt>
                <c:pt idx="93" c:formatCode="yyyy/m/d;@">
                  <c:v>45209</c:v>
                </c:pt>
                <c:pt idx="94" c:formatCode="yyyy/m/d;@">
                  <c:v>45216</c:v>
                </c:pt>
                <c:pt idx="95" c:formatCode="yyyy/m/d;@">
                  <c:v>45219</c:v>
                </c:pt>
                <c:pt idx="96" c:formatCode="yyyy/m/d;@">
                  <c:v>45223</c:v>
                </c:pt>
                <c:pt idx="97" c:formatCode="yyyy/m/d;@">
                  <c:v>45226</c:v>
                </c:pt>
                <c:pt idx="98" c:formatCode="yyyy/m/d;@">
                  <c:v>45230</c:v>
                </c:pt>
                <c:pt idx="99" c:formatCode="yyyy/m/d;@">
                  <c:v>45233</c:v>
                </c:pt>
                <c:pt idx="100" c:formatCode="yyyy/m/d;@">
                  <c:v>45237</c:v>
                </c:pt>
                <c:pt idx="101" c:formatCode="yyyy/m/d;@">
                  <c:v>45240</c:v>
                </c:pt>
                <c:pt idx="102" c:formatCode="yyyy/m/d;@">
                  <c:v>45244</c:v>
                </c:pt>
                <c:pt idx="103" c:formatCode="yyyy/m/d;@">
                  <c:v>45247</c:v>
                </c:pt>
                <c:pt idx="104" c:formatCode="yyyy/m/d;@">
                  <c:v>45251</c:v>
                </c:pt>
                <c:pt idx="105" c:formatCode="yyyy/m/d;@">
                  <c:v>45254</c:v>
                </c:pt>
                <c:pt idx="106" c:formatCode="yyyy/m/d;@">
                  <c:v>45258</c:v>
                </c:pt>
                <c:pt idx="107" c:formatCode="yyyy/m/d;@">
                  <c:v>45261</c:v>
                </c:pt>
                <c:pt idx="108" c:formatCode="yyyy/m/d;@">
                  <c:v>45265</c:v>
                </c:pt>
                <c:pt idx="109" c:formatCode="yyyy/m/d;@">
                  <c:v>45268</c:v>
                </c:pt>
                <c:pt idx="110" c:formatCode="yyyy/m/d;@">
                  <c:v>45272</c:v>
                </c:pt>
                <c:pt idx="111" c:formatCode="yyyy/m/d;@">
                  <c:v>45275</c:v>
                </c:pt>
                <c:pt idx="112" c:formatCode="yyyy/m/d;@">
                  <c:v>45279</c:v>
                </c:pt>
                <c:pt idx="113" c:formatCode="yyyy/m/d;@">
                  <c:v>45282</c:v>
                </c:pt>
                <c:pt idx="114" c:formatCode="yyyy/m/d;@">
                  <c:v>45286</c:v>
                </c:pt>
                <c:pt idx="115" c:formatCode="yyyy/m/d;@">
                  <c:v>45289</c:v>
                </c:pt>
                <c:pt idx="116" c:formatCode="yyyy/m/d;@">
                  <c:v>45293</c:v>
                </c:pt>
                <c:pt idx="117" c:formatCode="yyyy/m/d;@">
                  <c:v>45296</c:v>
                </c:pt>
                <c:pt idx="118" c:formatCode="yyyy/m/d;@">
                  <c:v>45300</c:v>
                </c:pt>
                <c:pt idx="119" c:formatCode="yyyy/m/d;@">
                  <c:v>45303</c:v>
                </c:pt>
                <c:pt idx="120" c:formatCode="yyyy/m/d;@">
                  <c:v>45307</c:v>
                </c:pt>
                <c:pt idx="121" c:formatCode="yyyy/m/d;@">
                  <c:v>45310</c:v>
                </c:pt>
                <c:pt idx="122" c:formatCode="yyyy/m/d;@">
                  <c:v>45314</c:v>
                </c:pt>
                <c:pt idx="123" c:formatCode="yyyy/m/d;@">
                  <c:v>45317</c:v>
                </c:pt>
                <c:pt idx="124" c:formatCode="yyyy/m/d;@">
                  <c:v>45321</c:v>
                </c:pt>
                <c:pt idx="125" c:formatCode="yyyy/m/d;@">
                  <c:v>45324</c:v>
                </c:pt>
                <c:pt idx="126" c:formatCode="yyyy/m/d;@">
                  <c:v>45340</c:v>
                </c:pt>
                <c:pt idx="127" c:formatCode="yyyy/m/d;@">
                  <c:v>45342</c:v>
                </c:pt>
                <c:pt idx="128" c:formatCode="yyyy/m/d;@">
                  <c:v>45345</c:v>
                </c:pt>
                <c:pt idx="129" c:formatCode="yyyy/m/d;@">
                  <c:v>45349</c:v>
                </c:pt>
                <c:pt idx="130" c:formatCode="yyyy/m/d;@">
                  <c:v>45352</c:v>
                </c:pt>
                <c:pt idx="131" c:formatCode="yyyy/m/d;@">
                  <c:v>45356</c:v>
                </c:pt>
                <c:pt idx="132" c:formatCode="yyyy/m/d;@">
                  <c:v>45359</c:v>
                </c:pt>
                <c:pt idx="133" c:formatCode="yyyy/m/d;@">
                  <c:v>45363</c:v>
                </c:pt>
                <c:pt idx="134" c:formatCode="yyyy/m/d;@">
                  <c:v>45366</c:v>
                </c:pt>
                <c:pt idx="135" c:formatCode="yyyy/m/d;@">
                  <c:v>45370</c:v>
                </c:pt>
                <c:pt idx="136" c:formatCode="yyyy/m/d;@">
                  <c:v>45373</c:v>
                </c:pt>
                <c:pt idx="137" c:formatCode="yyyy/m/d;@">
                  <c:v>45377</c:v>
                </c:pt>
                <c:pt idx="138" c:formatCode="yyyy/m/d;@">
                  <c:v>45380</c:v>
                </c:pt>
                <c:pt idx="139" c:formatCode="yyyy/m/d;@">
                  <c:v>45384</c:v>
                </c:pt>
                <c:pt idx="140" c:formatCode="yyyy/m/d;@">
                  <c:v>45389</c:v>
                </c:pt>
                <c:pt idx="141" c:formatCode="yyyy/m/d;@">
                  <c:v>45391</c:v>
                </c:pt>
                <c:pt idx="142" c:formatCode="yyyy/m/d;@">
                  <c:v>45394</c:v>
                </c:pt>
                <c:pt idx="143" c:formatCode="yyyy/m/d;@">
                  <c:v>45398</c:v>
                </c:pt>
                <c:pt idx="144" c:formatCode="yyyy/m/d;@">
                  <c:v>45400</c:v>
                </c:pt>
                <c:pt idx="145" c:formatCode="yyyy/m/d;@">
                  <c:v>45405</c:v>
                </c:pt>
                <c:pt idx="146" c:formatCode="yyyy/m/d;@">
                  <c:v>45408</c:v>
                </c:pt>
                <c:pt idx="147" c:formatCode="yyyy/m/d;@">
                  <c:v>45412</c:v>
                </c:pt>
                <c:pt idx="148" c:formatCode="yyyy/m/d;@">
                  <c:v>45419</c:v>
                </c:pt>
                <c:pt idx="149" c:formatCode="yyyy/m/d;@">
                  <c:v>45422</c:v>
                </c:pt>
                <c:pt idx="150" c:formatCode="yyyy/m/d;@">
                  <c:v>45426</c:v>
                </c:pt>
                <c:pt idx="151" c:formatCode="yyyy/m/d;@">
                  <c:v>45429</c:v>
                </c:pt>
                <c:pt idx="152" c:formatCode="yyyy/m/d;@">
                  <c:v>45433</c:v>
                </c:pt>
                <c:pt idx="153" c:formatCode="yyyy/m/d;@">
                  <c:v>45436</c:v>
                </c:pt>
                <c:pt idx="154" c:formatCode="yyyy/m/d;@">
                  <c:v>45440</c:v>
                </c:pt>
                <c:pt idx="155" c:formatCode="yyyy/m/d;@">
                  <c:v>45443</c:v>
                </c:pt>
                <c:pt idx="156" c:formatCode="yyyy/m/d;@">
                  <c:v>45447</c:v>
                </c:pt>
                <c:pt idx="157" c:formatCode="yyyy/m/d;@">
                  <c:v>45450</c:v>
                </c:pt>
                <c:pt idx="158" c:formatCode="yyyy/m/d;@">
                  <c:v>45454</c:v>
                </c:pt>
                <c:pt idx="159" c:formatCode="yyyy/m/d;@">
                  <c:v>45457</c:v>
                </c:pt>
                <c:pt idx="160" c:formatCode="yyyy/m/d;@">
                  <c:v>45461</c:v>
                </c:pt>
                <c:pt idx="161" c:formatCode="yyyy/m/d;@">
                  <c:v>45464</c:v>
                </c:pt>
                <c:pt idx="162" c:formatCode="yyyy/m/d;@">
                  <c:v>45468</c:v>
                </c:pt>
                <c:pt idx="163" c:formatCode="yyyy/m/d;@">
                  <c:v>45471</c:v>
                </c:pt>
                <c:pt idx="164" c:formatCode="yyyy/m/d;@">
                  <c:v>45475</c:v>
                </c:pt>
                <c:pt idx="165" c:formatCode="yyyy/m/d;@">
                  <c:v>45478</c:v>
                </c:pt>
                <c:pt idx="166" c:formatCode="yyyy/m/d;@">
                  <c:v>45482</c:v>
                </c:pt>
                <c:pt idx="167" c:formatCode="yyyy/m/d;@">
                  <c:v>45485</c:v>
                </c:pt>
                <c:pt idx="168" c:formatCode="yyyy/m/d;@">
                  <c:v>45489</c:v>
                </c:pt>
                <c:pt idx="169" c:formatCode="yyyy/m/d;@">
                  <c:v>45492</c:v>
                </c:pt>
                <c:pt idx="170" c:formatCode="yyyy/m/d;@">
                  <c:v>45496</c:v>
                </c:pt>
                <c:pt idx="171" c:formatCode="yyyy/m/d;@">
                  <c:v>45499</c:v>
                </c:pt>
                <c:pt idx="172" c:formatCode="yyyy/m/d;@">
                  <c:v>45503</c:v>
                </c:pt>
                <c:pt idx="173" c:formatCode="yyyy/m/d;@">
                  <c:v>45506</c:v>
                </c:pt>
                <c:pt idx="174" c:formatCode="yyyy/m/d;@">
                  <c:v>45510</c:v>
                </c:pt>
                <c:pt idx="175" c:formatCode="yyyy/m/d;@">
                  <c:v>45513</c:v>
                </c:pt>
                <c:pt idx="176" c:formatCode="yyyy/m/d;@">
                  <c:v>45517</c:v>
                </c:pt>
                <c:pt idx="177" c:formatCode="yyyy/m/d;@">
                  <c:v>45520</c:v>
                </c:pt>
                <c:pt idx="178" c:formatCode="yyyy/m/d;@">
                  <c:v>45524</c:v>
                </c:pt>
                <c:pt idx="179" c:formatCode="yyyy/m/d;@">
                  <c:v>45527</c:v>
                </c:pt>
                <c:pt idx="180" c:formatCode="yyyy/m/d;@">
                  <c:v>45531</c:v>
                </c:pt>
                <c:pt idx="181" c:formatCode="yyyy/m/d;@">
                  <c:v>45534</c:v>
                </c:pt>
                <c:pt idx="182" c:formatCode="yyyy/m/d;@">
                  <c:v>45538</c:v>
                </c:pt>
                <c:pt idx="183" c:formatCode="yyyy/m/d;@">
                  <c:v>45541</c:v>
                </c:pt>
                <c:pt idx="184" c:formatCode="yyyy/m/d;@">
                  <c:v>45545</c:v>
                </c:pt>
                <c:pt idx="185" c:formatCode="yyyy/m/d;@">
                  <c:v>45548</c:v>
                </c:pt>
                <c:pt idx="186" c:formatCode="yyyy/m/d;@">
                  <c:v>45555</c:v>
                </c:pt>
                <c:pt idx="187" c:formatCode="yyyy/m/d;@">
                  <c:v>45559</c:v>
                </c:pt>
                <c:pt idx="188" c:formatCode="yyyy/m/d;@">
                  <c:v>45562</c:v>
                </c:pt>
                <c:pt idx="189" c:formatCode="yyyy/m/d;@">
                  <c:v>45573</c:v>
                </c:pt>
                <c:pt idx="190" c:formatCode="yyyy/m/d;@">
                  <c:v>45576</c:v>
                </c:pt>
                <c:pt idx="191" c:formatCode="yyyy/m/d;@">
                  <c:v>45580</c:v>
                </c:pt>
                <c:pt idx="192" c:formatCode="yyyy/m/d;@">
                  <c:v>45583</c:v>
                </c:pt>
                <c:pt idx="193" c:formatCode="yyyy/m/d;@">
                  <c:v>45587</c:v>
                </c:pt>
                <c:pt idx="194" c:formatCode="yyyy/m/d;@">
                  <c:v>45590</c:v>
                </c:pt>
                <c:pt idx="195" c:formatCode="yyyy/m/d;@">
                  <c:v>45594</c:v>
                </c:pt>
                <c:pt idx="196" c:formatCode="yyyy/m/d;@">
                  <c:v>45597</c:v>
                </c:pt>
                <c:pt idx="197" c:formatCode="yyyy/m/d;@">
                  <c:v>45601</c:v>
                </c:pt>
                <c:pt idx="198" c:formatCode="yyyy/m/d;@">
                  <c:v>45604</c:v>
                </c:pt>
                <c:pt idx="199" c:formatCode="yyyy/m/d;@">
                  <c:v>45608</c:v>
                </c:pt>
                <c:pt idx="200" c:formatCode="yyyy/m/d;@">
                  <c:v>45611</c:v>
                </c:pt>
                <c:pt idx="201" c:formatCode="yyyy/m/d;@">
                  <c:v>45615</c:v>
                </c:pt>
                <c:pt idx="202" c:formatCode="yyyy/m/d;@">
                  <c:v>45618</c:v>
                </c:pt>
                <c:pt idx="203" c:formatCode="yyyy/m/d;@">
                  <c:v>45622</c:v>
                </c:pt>
                <c:pt idx="204" c:formatCode="yyyy/m/d;@">
                  <c:v>45625</c:v>
                </c:pt>
                <c:pt idx="205" c:formatCode="yyyy/m/d;@">
                  <c:v>45629</c:v>
                </c:pt>
                <c:pt idx="206" c:formatCode="yyyy/m/d;@">
                  <c:v>45632</c:v>
                </c:pt>
                <c:pt idx="207" c:formatCode="yyyy/m/d;@">
                  <c:v>45636</c:v>
                </c:pt>
                <c:pt idx="208" c:formatCode="yyyy/m/d;@">
                  <c:v>45639</c:v>
                </c:pt>
                <c:pt idx="209" c:formatCode="yyyy/m/d;@">
                  <c:v>45643</c:v>
                </c:pt>
                <c:pt idx="210" c:formatCode="yyyy/m/d;@">
                  <c:v>45646</c:v>
                </c:pt>
                <c:pt idx="211" c:formatCode="yyyy/m/d;@">
                  <c:v>45650</c:v>
                </c:pt>
                <c:pt idx="212" c:formatCode="yyyy/m/d;@">
                  <c:v>45653</c:v>
                </c:pt>
                <c:pt idx="213" c:formatCode="yyyy/m/d;@">
                  <c:v>45657</c:v>
                </c:pt>
                <c:pt idx="214" c:formatCode="yyyy/m/d;@">
                  <c:v>45660</c:v>
                </c:pt>
                <c:pt idx="215" c:formatCode="yyyy/m/d;@">
                  <c:v>45664</c:v>
                </c:pt>
                <c:pt idx="216" c:formatCode="yyyy/m/d;@">
                  <c:v>45667</c:v>
                </c:pt>
                <c:pt idx="217" c:formatCode="yyyy/m/d;@">
                  <c:v>45671</c:v>
                </c:pt>
                <c:pt idx="218" c:formatCode="yyyy/m/d;@">
                  <c:v>45674</c:v>
                </c:pt>
                <c:pt idx="219" c:formatCode="yyyy/m/d;@">
                  <c:v>45678</c:v>
                </c:pt>
                <c:pt idx="220" c:formatCode="yyyy/m/d;@">
                  <c:v>45681</c:v>
                </c:pt>
                <c:pt idx="221" c:formatCode="yyyy/m/d;@">
                  <c:v>45692</c:v>
                </c:pt>
                <c:pt idx="222" c:formatCode="yyyy/m/d;@">
                  <c:v>45695</c:v>
                </c:pt>
                <c:pt idx="223" c:formatCode="yyyy/m/d;@">
                  <c:v>45699</c:v>
                </c:pt>
                <c:pt idx="224" c:formatCode="yyyy/m/d;@">
                  <c:v>45702</c:v>
                </c:pt>
                <c:pt idx="225" c:formatCode="yyyy/m/d;@">
                  <c:v>45706</c:v>
                </c:pt>
                <c:pt idx="226" c:formatCode="yyyy/m/d;@">
                  <c:v>45709</c:v>
                </c:pt>
                <c:pt idx="227" c:formatCode="yyyy/m/d;@">
                  <c:v>45713</c:v>
                </c:pt>
                <c:pt idx="228" c:formatCode="yyyy/m/d;@">
                  <c:v>45716</c:v>
                </c:pt>
                <c:pt idx="229" c:formatCode="yyyy/m/d;@">
                  <c:v>45720</c:v>
                </c:pt>
                <c:pt idx="230" c:formatCode="yyyy/m/d;@">
                  <c:v>45723</c:v>
                </c:pt>
                <c:pt idx="231" c:formatCode="yyyy/m/d;@">
                  <c:v>45727</c:v>
                </c:pt>
                <c:pt idx="232" c:formatCode="yyyy/m/d;@">
                  <c:v>45730</c:v>
                </c:pt>
                <c:pt idx="233" c:formatCode="yyyy/m/d;@">
                  <c:v>45734</c:v>
                </c:pt>
                <c:pt idx="234" c:formatCode="yyyy/m/d;@">
                  <c:v>45737</c:v>
                </c:pt>
                <c:pt idx="235" c:formatCode="yyyy/m/d;@">
                  <c:v>45740</c:v>
                </c:pt>
                <c:pt idx="236" c:formatCode="yyyy/m/d">
                  <c:v>45744</c:v>
                </c:pt>
                <c:pt idx="237" c:formatCode="yyyy/m/d">
                  <c:v>45748</c:v>
                </c:pt>
                <c:pt idx="238" c:formatCode="yyyy/m/d">
                  <c:v>45755</c:v>
                </c:pt>
                <c:pt idx="239" c:formatCode="yyyy/m/d">
                  <c:v>45758</c:v>
                </c:pt>
                <c:pt idx="240" c:formatCode="yyyy/m/d">
                  <c:v>45762</c:v>
                </c:pt>
                <c:pt idx="241" c:formatCode="yyyy/m/d">
                  <c:v>45765</c:v>
                </c:pt>
                <c:pt idx="242" c:formatCode="yyyy/m/d">
                  <c:v>45769</c:v>
                </c:pt>
                <c:pt idx="243" c:formatCode="yyyy/m/d">
                  <c:v>45772</c:v>
                </c:pt>
                <c:pt idx="244" c:formatCode="yyyy/m/d">
                  <c:v>45776</c:v>
                </c:pt>
                <c:pt idx="245" c:formatCode="yyyy/m/d">
                  <c:v>45783</c:v>
                </c:pt>
                <c:pt idx="246" c:formatCode="yyyy/m/d">
                  <c:v>45786</c:v>
                </c:pt>
                <c:pt idx="247" c:formatCode="yyyy/m/d">
                  <c:v>45790</c:v>
                </c:pt>
                <c:pt idx="248" c:formatCode="yyyy/m/d">
                  <c:v>45793</c:v>
                </c:pt>
                <c:pt idx="249" c:formatCode="yyyy/m/d">
                  <c:v>45797</c:v>
                </c:pt>
                <c:pt idx="250" c:formatCode="yyyy/m/d;@">
                  <c:v>45800</c:v>
                </c:pt>
                <c:pt idx="251" c:formatCode="yyyy/m/d;@">
                  <c:v>45804</c:v>
                </c:pt>
                <c:pt idx="252" c:formatCode="yyyy/m/d;@">
                  <c:v>45807</c:v>
                </c:pt>
                <c:pt idx="253" c:formatCode="yyyy/m/d;@">
                  <c:v>45811</c:v>
                </c:pt>
                <c:pt idx="254" c:formatCode="yyyy/m/d;@">
                  <c:v>45814</c:v>
                </c:pt>
                <c:pt idx="255" c:formatCode="yyyy/m/d;@">
                  <c:v>45818</c:v>
                </c:pt>
                <c:pt idx="256" c:formatCode="yyyy/m/d;@">
                  <c:v>45821</c:v>
                </c:pt>
                <c:pt idx="257" c:formatCode="yyyy/m/d;@">
                  <c:v>45825</c:v>
                </c:pt>
                <c:pt idx="258" c:formatCode="yyyy/m/d;@">
                  <c:v>45828</c:v>
                </c:pt>
                <c:pt idx="259" c:formatCode="yyyy/m/d;@">
                  <c:v>45832</c:v>
                </c:pt>
                <c:pt idx="260" c:formatCode="yyyy/m/d;@">
                  <c:v>45835</c:v>
                </c:pt>
                <c:pt idx="261" c:formatCode="yyyy/m/d;@">
                  <c:v>45839</c:v>
                </c:pt>
                <c:pt idx="262" c:formatCode="yyyy/m/d;@">
                  <c:v>45842</c:v>
                </c:pt>
                <c:pt idx="263" c:formatCode="yyyy/m/d;@">
                  <c:v>45846</c:v>
                </c:pt>
                <c:pt idx="264" c:formatCode="yyyy/m/d;@">
                  <c:v>45849</c:v>
                </c:pt>
                <c:pt idx="265" c:formatCode="yyyy/m/d;@">
                  <c:v>45853</c:v>
                </c:pt>
                <c:pt idx="266" c:formatCode="yyyy/m/d;@">
                  <c:v>45856</c:v>
                </c:pt>
                <c:pt idx="267" c:formatCode="yyyy/m/d;@">
                  <c:v>45860</c:v>
                </c:pt>
                <c:pt idx="268" c:formatCode="yyyy/m/d;@">
                  <c:v>45863</c:v>
                </c:pt>
                <c:pt idx="269" c:formatCode="yyyy/m/d;@">
                  <c:v>45867</c:v>
                </c:pt>
                <c:pt idx="270" c:formatCode="yyyy/m/d;@">
                  <c:v>45870</c:v>
                </c:pt>
                <c:pt idx="271" c:formatCode="yyyy/m/d;@">
                  <c:v>45874</c:v>
                </c:pt>
                <c:pt idx="272" c:formatCode="yyyy/m/d;@">
                  <c:v>45877</c:v>
                </c:pt>
                <c:pt idx="273" c:formatCode="yyyy/m/d;@">
                  <c:v>45881</c:v>
                </c:pt>
                <c:pt idx="274" c:formatCode="yyyy/m/d;@">
                  <c:v>45884</c:v>
                </c:pt>
                <c:pt idx="275" c:formatCode="yyyy/m/d;@">
                  <c:v>45888</c:v>
                </c:pt>
                <c:pt idx="276" c:formatCode="yyyy/m/d;@">
                  <c:v>45891</c:v>
                </c:pt>
                <c:pt idx="277" c:formatCode="yyyy/m/d;@">
                  <c:v>45895</c:v>
                </c:pt>
                <c:pt idx="278" c:formatCode="yyyy/m/d;@">
                  <c:v>45898</c:v>
                </c:pt>
                <c:pt idx="279" c:formatCode="yyyy/m/d;@">
                  <c:v>45902</c:v>
                </c:pt>
                <c:pt idx="280" c:formatCode="yyyy/m/d;@">
                  <c:v>45905</c:v>
                </c:pt>
                <c:pt idx="281" c:formatCode="yyyy/m/d;@">
                  <c:v>45909</c:v>
                </c:pt>
                <c:pt idx="282" c:formatCode="yyyy/m/d;@">
                  <c:v>45912</c:v>
                </c:pt>
                <c:pt idx="283" c:formatCode="yyyy/m/d;@">
                  <c:v>45916</c:v>
                </c:pt>
                <c:pt idx="284" c:formatCode="yyyy/m/d;@">
                  <c:v>45919</c:v>
                </c:pt>
                <c:pt idx="285" c:formatCode="yyyy/m/d;@">
                  <c:v>45923</c:v>
                </c:pt>
                <c:pt idx="286" c:formatCode="yyyy/m/d;@">
                  <c:v>45926</c:v>
                </c:pt>
                <c:pt idx="287" c:formatCode="yyyy/m/d;@">
                  <c:v>45930</c:v>
                </c:pt>
                <c:pt idx="288" c:formatCode="yyyy/m/d;@">
                  <c:v>45940</c:v>
                </c:pt>
                <c:pt idx="289" c:formatCode="yyyy/m/d;@">
                  <c:v>45944</c:v>
                </c:pt>
                <c:pt idx="290" c:formatCode="yyyy/m/d;@">
                  <c:v>45947</c:v>
                </c:pt>
                <c:pt idx="291" c:formatCode="yyyy/m/d;@">
                  <c:v>45951</c:v>
                </c:pt>
                <c:pt idx="292" c:formatCode="yyyy/m/d;@">
                  <c:v>45954</c:v>
                </c:pt>
                <c:pt idx="293" c:formatCode="yyyy/m/d;@">
                  <c:v>45958</c:v>
                </c:pt>
                <c:pt idx="294" c:formatCode="yyyy/m/d;@">
                  <c:v>45961</c:v>
                </c:pt>
                <c:pt idx="295" c:formatCode="yyyy/m/d;@">
                  <c:v>45965</c:v>
                </c:pt>
                <c:pt idx="296" c:formatCode="yyyy/m/d;@">
                  <c:v>45968</c:v>
                </c:pt>
                <c:pt idx="297" c:formatCode="yyyy/m/d;@">
                  <c:v>45972</c:v>
                </c:pt>
                <c:pt idx="298" c:formatCode="yyyy/m/d;@">
                  <c:v>45975</c:v>
                </c:pt>
                <c:pt idx="299" c:formatCode="yyyy/m/d;@">
                  <c:v>45979</c:v>
                </c:pt>
                <c:pt idx="300" c:formatCode="yyyy/m/d;@">
                  <c:v>45982</c:v>
                </c:pt>
                <c:pt idx="301" c:formatCode="yyyy/m/d;@">
                  <c:v>45986</c:v>
                </c:pt>
                <c:pt idx="302" c:formatCode="yyyy/m/d;@">
                  <c:v>45989</c:v>
                </c:pt>
                <c:pt idx="303" c:formatCode="yyyy/m/d;@">
                  <c:v>45993</c:v>
                </c:pt>
                <c:pt idx="304" c:formatCode="yyyy/m/d;@">
                  <c:v>45996</c:v>
                </c:pt>
                <c:pt idx="305" c:formatCode="yyyy/m/d;@">
                  <c:v>46000</c:v>
                </c:pt>
                <c:pt idx="306" c:formatCode="yyyy/m/d;@">
                  <c:v>46003</c:v>
                </c:pt>
                <c:pt idx="307" c:formatCode="yyyy/m/d;@">
                  <c:v>46007</c:v>
                </c:pt>
                <c:pt idx="308" c:formatCode="yyyy/m/d;@">
                  <c:v>46010</c:v>
                </c:pt>
                <c:pt idx="309" c:formatCode="yyyy/m/d;@">
                  <c:v>46014</c:v>
                </c:pt>
                <c:pt idx="310" c:formatCode="yyyy/m/d;@">
                  <c:v>46017</c:v>
                </c:pt>
                <c:pt idx="311" c:formatCode="yyyy/m/d;@">
                  <c:v>46021</c:v>
                </c:pt>
                <c:pt idx="312" c:formatCode="yyyy/m/d;@">
                  <c:v>46028</c:v>
                </c:pt>
                <c:pt idx="313" c:formatCode="yyyy/m/d;@">
                  <c:v>46031</c:v>
                </c:pt>
                <c:pt idx="314" c:formatCode="yyyy/m/d;@">
                  <c:v>46035</c:v>
                </c:pt>
                <c:pt idx="315" c:formatCode="yyyy/m/d;@">
                  <c:v>46038</c:v>
                </c:pt>
                <c:pt idx="316" c:formatCode="yyyy/m/d;@">
                  <c:v>46042</c:v>
                </c:pt>
                <c:pt idx="317" c:formatCode="yyyy/m/d;@">
                  <c:v>46045</c:v>
                </c:pt>
                <c:pt idx="318" c:formatCode="yyyy/m/d;@">
                  <c:v>46049</c:v>
                </c:pt>
                <c:pt idx="319" c:formatCode="yyyy/m/d;@">
                  <c:v>46052</c:v>
                </c:pt>
                <c:pt idx="320" c:formatCode="yyyy/m/d;@">
                  <c:v>46056</c:v>
                </c:pt>
                <c:pt idx="321" c:formatCode="yyyy/m/d;@">
                  <c:v>46059</c:v>
                </c:pt>
                <c:pt idx="322" c:formatCode="yyyy/m/d;@">
                  <c:v>46063</c:v>
                </c:pt>
                <c:pt idx="323" c:formatCode="yyyy/m/d;@">
                  <c:v>46066</c:v>
                </c:pt>
                <c:pt idx="324" c:formatCode="yyyy/m/d;@">
                  <c:v>46077</c:v>
                </c:pt>
                <c:pt idx="325" c:formatCode="yyyy/m/d;@">
                  <c:v>46080</c:v>
                </c:pt>
                <c:pt idx="326" c:formatCode="yyyy/m/d;@">
                  <c:v>46084</c:v>
                </c:pt>
                <c:pt idx="327" c:formatCode="yyyy/m/d;@">
                  <c:v>46088</c:v>
                </c:pt>
                <c:pt idx="328" c:formatCode="yyyy/m/d;@">
                  <c:v>46091</c:v>
                </c:pt>
                <c:pt idx="329" c:formatCode="yyyy/m/d;@">
                  <c:v>46094</c:v>
                </c:pt>
                <c:pt idx="330" c:formatCode="yyyy/m/d;@">
                  <c:v>46098</c:v>
                </c:pt>
                <c:pt idx="331" c:formatCode="yyyy/m/d;@">
                  <c:v>46102</c:v>
                </c:pt>
                <c:pt idx="332" c:formatCode="yyyy/m/d;@">
                  <c:v>46105</c:v>
                </c:pt>
                <c:pt idx="333" c:formatCode="yyyy/m/d;@">
                  <c:v>46108</c:v>
                </c:pt>
                <c:pt idx="334" c:formatCode="yyyy/m/d;@">
                  <c:v>46112</c:v>
                </c:pt>
                <c:pt idx="335" c:formatCode="yyyy/m/d;@">
                  <c:v>46115</c:v>
                </c:pt>
                <c:pt idx="336" c:formatCode="yyyy/m/d;@">
                  <c:v>46119</c:v>
                </c:pt>
                <c:pt idx="337" c:formatCode="yyyy/m/d;@">
                  <c:v>46122</c:v>
                </c:pt>
                <c:pt idx="338" c:formatCode="yyyy/m/d;@">
                  <c:v>46126</c:v>
                </c:pt>
                <c:pt idx="339" c:formatCode="yyyy/m/d;@">
                  <c:v>46129</c:v>
                </c:pt>
                <c:pt idx="340" c:formatCode="yyyy/m/d;@">
                  <c:v>46133</c:v>
                </c:pt>
                <c:pt idx="341" c:formatCode="yyyy/m/d;@">
                  <c:v>46136</c:v>
                </c:pt>
                <c:pt idx="342" c:formatCode="yyyy/m/d;@">
                  <c:v>46140</c:v>
                </c:pt>
                <c:pt idx="343" c:formatCode="yyyy/m/d;@">
                  <c:v>46147</c:v>
                </c:pt>
                <c:pt idx="344" c:formatCode="yyyy/m/d;@">
                  <c:v>46150</c:v>
                </c:pt>
                <c:pt idx="345" c:formatCode="yyyy/m/d;@">
                  <c:v>46154</c:v>
                </c:pt>
                <c:pt idx="346" c:formatCode="yyyy/m/d;@">
                  <c:v>46157</c:v>
                </c:pt>
                <c:pt idx="347" c:formatCode="yyyy/m/d;@">
                  <c:v>46161</c:v>
                </c:pt>
                <c:pt idx="348" c:formatCode="yyyy/m/d;@">
                  <c:v>46164</c:v>
                </c:pt>
                <c:pt idx="349" c:formatCode="yyyy/m/d;@">
                  <c:v>46168</c:v>
                </c:pt>
                <c:pt idx="350" c:formatCode="yyyy/m/d;@">
                  <c:v>46171</c:v>
                </c:pt>
                <c:pt idx="351" c:formatCode="yyyy/m/d;@">
                  <c:v>46175</c:v>
                </c:pt>
                <c:pt idx="352" c:formatCode="yyyy/m/d;@">
                  <c:v>46178</c:v>
                </c:pt>
                <c:pt idx="353" c:formatCode="yyyy/m/d;@">
                  <c:v>46182</c:v>
                </c:pt>
                <c:pt idx="354" c:formatCode="yyyy/m/d;@">
                  <c:v>46185</c:v>
                </c:pt>
                <c:pt idx="355" c:formatCode="yyyy/m/d;@">
                  <c:v>46189</c:v>
                </c:pt>
                <c:pt idx="356" c:formatCode="yyyy/m/d;@">
                  <c:v>46196</c:v>
                </c:pt>
                <c:pt idx="357" c:formatCode="yyyy/m/d;@">
                  <c:v>46199</c:v>
                </c:pt>
                <c:pt idx="358" c:formatCode="yyyy/m/d;@">
                  <c:v>46203</c:v>
                </c:pt>
                <c:pt idx="359" c:formatCode="yyyy/m/d;@">
                  <c:v>46206</c:v>
                </c:pt>
                <c:pt idx="360" c:formatCode="yyyy/m/d;@">
                  <c:v>46210</c:v>
                </c:pt>
                <c:pt idx="361" c:formatCode="yyyy/m/d;@">
                  <c:v>46213</c:v>
                </c:pt>
                <c:pt idx="362" c:formatCode="yyyy/m/d;@">
                  <c:v>46217</c:v>
                </c:pt>
                <c:pt idx="363" c:formatCode="yyyy/m/d;@">
                  <c:v>46220</c:v>
                </c:pt>
                <c:pt idx="364" c:formatCode="yyyy/m/d;@">
                  <c:v>46224</c:v>
                </c:pt>
                <c:pt idx="365" c:formatCode="yyyy/m/d;@">
                  <c:v>46227</c:v>
                </c:pt>
                <c:pt idx="366" c:formatCode="yyyy/m/d;@">
                  <c:v>46231</c:v>
                </c:pt>
                <c:pt idx="367" c:formatCode="yyyy/m/d;@">
                  <c:v>46234</c:v>
                </c:pt>
                <c:pt idx="368" c:formatCode="yyyy/m/d;@">
                  <c:v>46238</c:v>
                </c:pt>
                <c:pt idx="369" c:formatCode="yyyy/m/d;@">
                  <c:v>46241</c:v>
                </c:pt>
                <c:pt idx="370" c:formatCode="yyyy/m/d;@">
                  <c:v>46245</c:v>
                </c:pt>
                <c:pt idx="371" c:formatCode="yyyy/m/d;@">
                  <c:v>46248</c:v>
                </c:pt>
                <c:pt idx="372" c:formatCode="yyyy/m/d;@">
                  <c:v>46252</c:v>
                </c:pt>
                <c:pt idx="373" c:formatCode="yyyy/m/d;@">
                  <c:v>46255</c:v>
                </c:pt>
                <c:pt idx="374" c:formatCode="yyyy/m/d;@">
                  <c:v>46259</c:v>
                </c:pt>
                <c:pt idx="375" c:formatCode="yyyy/m/d;@">
                  <c:v>46262</c:v>
                </c:pt>
                <c:pt idx="376" c:formatCode="yyyy/m/d;@">
                  <c:v>46266</c:v>
                </c:pt>
                <c:pt idx="377" c:formatCode="yyyy/m/d;@">
                  <c:v>46269</c:v>
                </c:pt>
                <c:pt idx="378" c:formatCode="yyyy/m/d;@">
                  <c:v>46273</c:v>
                </c:pt>
                <c:pt idx="379" c:formatCode="yyyy/m/d;@">
                  <c:v>46276</c:v>
                </c:pt>
                <c:pt idx="380" c:formatCode="yyyy/m/d;@">
                  <c:v>46280</c:v>
                </c:pt>
                <c:pt idx="381" c:formatCode="yyyy/m/d;@">
                  <c:v>46283</c:v>
                </c:pt>
                <c:pt idx="382" c:formatCode="yyyy/m/d;@">
                  <c:v>46287</c:v>
                </c:pt>
              </c:numCache>
            </c:numRef>
          </c:cat>
          <c:val>
            <c:numRef>
              <c:f>断奶仔猪!$B$3:$B$3699</c:f>
              <c:numCache>
                <c:formatCode>General</c:formatCode>
                <c:ptCount val="3697"/>
                <c:pt idx="0">
                  <c:v>508</c:v>
                </c:pt>
                <c:pt idx="1">
                  <c:v>522</c:v>
                </c:pt>
                <c:pt idx="2">
                  <c:v>589</c:v>
                </c:pt>
                <c:pt idx="3">
                  <c:v>596</c:v>
                </c:pt>
                <c:pt idx="4">
                  <c:v>624</c:v>
                </c:pt>
                <c:pt idx="5">
                  <c:v>627</c:v>
                </c:pt>
                <c:pt idx="6">
                  <c:v>631</c:v>
                </c:pt>
                <c:pt idx="7">
                  <c:v>631</c:v>
                </c:pt>
                <c:pt idx="8">
                  <c:v>615</c:v>
                </c:pt>
                <c:pt idx="9">
                  <c:v>609</c:v>
                </c:pt>
                <c:pt idx="10">
                  <c:v>580</c:v>
                </c:pt>
                <c:pt idx="11">
                  <c:v>573</c:v>
                </c:pt>
                <c:pt idx="12">
                  <c:v>551</c:v>
                </c:pt>
                <c:pt idx="13">
                  <c:v>545</c:v>
                </c:pt>
                <c:pt idx="14">
                  <c:v>521</c:v>
                </c:pt>
                <c:pt idx="15">
                  <c:v>515</c:v>
                </c:pt>
                <c:pt idx="16">
                  <c:v>474</c:v>
                </c:pt>
                <c:pt idx="17">
                  <c:v>471</c:v>
                </c:pt>
                <c:pt idx="18">
                  <c:v>437</c:v>
                </c:pt>
                <c:pt idx="19">
                  <c:v>437</c:v>
                </c:pt>
                <c:pt idx="20">
                  <c:v>423</c:v>
                </c:pt>
                <c:pt idx="21">
                  <c:v>411</c:v>
                </c:pt>
                <c:pt idx="22">
                  <c:v>408</c:v>
                </c:pt>
                <c:pt idx="23">
                  <c:v>409</c:v>
                </c:pt>
                <c:pt idx="24">
                  <c:v>406</c:v>
                </c:pt>
                <c:pt idx="25">
                  <c:v>394</c:v>
                </c:pt>
                <c:pt idx="26">
                  <c:v>366</c:v>
                </c:pt>
                <c:pt idx="27">
                  <c:v>366</c:v>
                </c:pt>
                <c:pt idx="28">
                  <c:v>386</c:v>
                </c:pt>
                <c:pt idx="29">
                  <c:v>394</c:v>
                </c:pt>
                <c:pt idx="30">
                  <c:v>425</c:v>
                </c:pt>
                <c:pt idx="31">
                  <c:v>431</c:v>
                </c:pt>
                <c:pt idx="32">
                  <c:v>476</c:v>
                </c:pt>
                <c:pt idx="33">
                  <c:v>490</c:v>
                </c:pt>
                <c:pt idx="34">
                  <c:v>515</c:v>
                </c:pt>
                <c:pt idx="35">
                  <c:v>524</c:v>
                </c:pt>
                <c:pt idx="36">
                  <c:v>566</c:v>
                </c:pt>
                <c:pt idx="37">
                  <c:v>575</c:v>
                </c:pt>
                <c:pt idx="38">
                  <c:v>579</c:v>
                </c:pt>
                <c:pt idx="39">
                  <c:v>579</c:v>
                </c:pt>
                <c:pt idx="40">
                  <c:v>577</c:v>
                </c:pt>
                <c:pt idx="41">
                  <c:v>577</c:v>
                </c:pt>
                <c:pt idx="42">
                  <c:v>565</c:v>
                </c:pt>
                <c:pt idx="43">
                  <c:v>565</c:v>
                </c:pt>
                <c:pt idx="44">
                  <c:v>559</c:v>
                </c:pt>
                <c:pt idx="45">
                  <c:v>559</c:v>
                </c:pt>
                <c:pt idx="46">
                  <c:v>554</c:v>
                </c:pt>
                <c:pt idx="47">
                  <c:v>553</c:v>
                </c:pt>
                <c:pt idx="48">
                  <c:v>539</c:v>
                </c:pt>
                <c:pt idx="49">
                  <c:v>536</c:v>
                </c:pt>
                <c:pt idx="50">
                  <c:v>536</c:v>
                </c:pt>
                <c:pt idx="51">
                  <c:v>532</c:v>
                </c:pt>
                <c:pt idx="52">
                  <c:v>541</c:v>
                </c:pt>
                <c:pt idx="53">
                  <c:v>547</c:v>
                </c:pt>
                <c:pt idx="54">
                  <c:v>547</c:v>
                </c:pt>
                <c:pt idx="55">
                  <c:v>551</c:v>
                </c:pt>
                <c:pt idx="56">
                  <c:v>552</c:v>
                </c:pt>
                <c:pt idx="57">
                  <c:v>552</c:v>
                </c:pt>
                <c:pt idx="58">
                  <c:v>552</c:v>
                </c:pt>
                <c:pt idx="59">
                  <c:v>535</c:v>
                </c:pt>
                <c:pt idx="60">
                  <c:v>529</c:v>
                </c:pt>
                <c:pt idx="61">
                  <c:v>474</c:v>
                </c:pt>
                <c:pt idx="62">
                  <c:v>461</c:v>
                </c:pt>
                <c:pt idx="63">
                  <c:v>423</c:v>
                </c:pt>
                <c:pt idx="64">
                  <c:v>419</c:v>
                </c:pt>
                <c:pt idx="65">
                  <c:v>405</c:v>
                </c:pt>
                <c:pt idx="66">
                  <c:v>402</c:v>
                </c:pt>
                <c:pt idx="67">
                  <c:v>402</c:v>
                </c:pt>
                <c:pt idx="68">
                  <c:v>386</c:v>
                </c:pt>
                <c:pt idx="69">
                  <c:v>385</c:v>
                </c:pt>
                <c:pt idx="70">
                  <c:v>371</c:v>
                </c:pt>
                <c:pt idx="71">
                  <c:v>371</c:v>
                </c:pt>
                <c:pt idx="72">
                  <c:v>356</c:v>
                </c:pt>
                <c:pt idx="73">
                  <c:v>353</c:v>
                </c:pt>
                <c:pt idx="74">
                  <c:v>345</c:v>
                </c:pt>
                <c:pt idx="75">
                  <c:v>346</c:v>
                </c:pt>
                <c:pt idx="76">
                  <c:v>349</c:v>
                </c:pt>
                <c:pt idx="77">
                  <c:v>353</c:v>
                </c:pt>
                <c:pt idx="78">
                  <c:v>371</c:v>
                </c:pt>
                <c:pt idx="79">
                  <c:v>372</c:v>
                </c:pt>
                <c:pt idx="80">
                  <c:v>374</c:v>
                </c:pt>
                <c:pt idx="81">
                  <c:v>374</c:v>
                </c:pt>
                <c:pt idx="82">
                  <c:v>352</c:v>
                </c:pt>
                <c:pt idx="83">
                  <c:v>350</c:v>
                </c:pt>
                <c:pt idx="84">
                  <c:v>336</c:v>
                </c:pt>
                <c:pt idx="85">
                  <c:v>331</c:v>
                </c:pt>
                <c:pt idx="86">
                  <c:v>287</c:v>
                </c:pt>
                <c:pt idx="87">
                  <c:v>285</c:v>
                </c:pt>
                <c:pt idx="88">
                  <c:v>271</c:v>
                </c:pt>
                <c:pt idx="89">
                  <c:v>270</c:v>
                </c:pt>
                <c:pt idx="90">
                  <c:v>232</c:v>
                </c:pt>
                <c:pt idx="91">
                  <c:v>231</c:v>
                </c:pt>
                <c:pt idx="92">
                  <c:v>184</c:v>
                </c:pt>
                <c:pt idx="93">
                  <c:v>161</c:v>
                </c:pt>
                <c:pt idx="94">
                  <c:v>133</c:v>
                </c:pt>
                <c:pt idx="95">
                  <c:v>130</c:v>
                </c:pt>
                <c:pt idx="96">
                  <c:v>131</c:v>
                </c:pt>
                <c:pt idx="97">
                  <c:v>131</c:v>
                </c:pt>
                <c:pt idx="98">
                  <c:v>147</c:v>
                </c:pt>
                <c:pt idx="99">
                  <c:v>151</c:v>
                </c:pt>
                <c:pt idx="100">
                  <c:v>172</c:v>
                </c:pt>
                <c:pt idx="101">
                  <c:v>174</c:v>
                </c:pt>
                <c:pt idx="102">
                  <c:v>195</c:v>
                </c:pt>
                <c:pt idx="103">
                  <c:v>203</c:v>
                </c:pt>
                <c:pt idx="104">
                  <c:v>216</c:v>
                </c:pt>
                <c:pt idx="105">
                  <c:v>216</c:v>
                </c:pt>
                <c:pt idx="106">
                  <c:v>218</c:v>
                </c:pt>
                <c:pt idx="107">
                  <c:v>221</c:v>
                </c:pt>
                <c:pt idx="108">
                  <c:v>223</c:v>
                </c:pt>
                <c:pt idx="109">
                  <c:v>223</c:v>
                </c:pt>
                <c:pt idx="110">
                  <c:v>223</c:v>
                </c:pt>
                <c:pt idx="111">
                  <c:v>223</c:v>
                </c:pt>
                <c:pt idx="112">
                  <c:v>210</c:v>
                </c:pt>
                <c:pt idx="113">
                  <c:v>206</c:v>
                </c:pt>
                <c:pt idx="114">
                  <c:v>199</c:v>
                </c:pt>
                <c:pt idx="115">
                  <c:v>199</c:v>
                </c:pt>
                <c:pt idx="116">
                  <c:v>199</c:v>
                </c:pt>
                <c:pt idx="117">
                  <c:v>196</c:v>
                </c:pt>
                <c:pt idx="118">
                  <c:v>195</c:v>
                </c:pt>
                <c:pt idx="119">
                  <c:v>200</c:v>
                </c:pt>
                <c:pt idx="120">
                  <c:v>223</c:v>
                </c:pt>
                <c:pt idx="121">
                  <c:v>237</c:v>
                </c:pt>
                <c:pt idx="122">
                  <c:v>333</c:v>
                </c:pt>
                <c:pt idx="123">
                  <c:v>356</c:v>
                </c:pt>
                <c:pt idx="124">
                  <c:v>380</c:v>
                </c:pt>
                <c:pt idx="125">
                  <c:v>380</c:v>
                </c:pt>
                <c:pt idx="126">
                  <c:v>468</c:v>
                </c:pt>
                <c:pt idx="127">
                  <c:v>478</c:v>
                </c:pt>
                <c:pt idx="128">
                  <c:v>457</c:v>
                </c:pt>
                <c:pt idx="129">
                  <c:v>439</c:v>
                </c:pt>
                <c:pt idx="130">
                  <c:v>434</c:v>
                </c:pt>
                <c:pt idx="131">
                  <c:v>427</c:v>
                </c:pt>
                <c:pt idx="132">
                  <c:v>424</c:v>
                </c:pt>
                <c:pt idx="133">
                  <c:v>445</c:v>
                </c:pt>
                <c:pt idx="134">
                  <c:v>450</c:v>
                </c:pt>
                <c:pt idx="135">
                  <c:v>506</c:v>
                </c:pt>
                <c:pt idx="136">
                  <c:v>516</c:v>
                </c:pt>
                <c:pt idx="137">
                  <c:v>565</c:v>
                </c:pt>
                <c:pt idx="138">
                  <c:v>589</c:v>
                </c:pt>
                <c:pt idx="139">
                  <c:v>598</c:v>
                </c:pt>
                <c:pt idx="140">
                  <c:v>606</c:v>
                </c:pt>
                <c:pt idx="141">
                  <c:v>597</c:v>
                </c:pt>
                <c:pt idx="142">
                  <c:v>596</c:v>
                </c:pt>
                <c:pt idx="143">
                  <c:v>596</c:v>
                </c:pt>
                <c:pt idx="144">
                  <c:v>589</c:v>
                </c:pt>
                <c:pt idx="145">
                  <c:v>583</c:v>
                </c:pt>
                <c:pt idx="146">
                  <c:v>583</c:v>
                </c:pt>
                <c:pt idx="147">
                  <c:v>571</c:v>
                </c:pt>
                <c:pt idx="148">
                  <c:v>565</c:v>
                </c:pt>
                <c:pt idx="149">
                  <c:v>563</c:v>
                </c:pt>
                <c:pt idx="150">
                  <c:v>568</c:v>
                </c:pt>
                <c:pt idx="151">
                  <c:v>568</c:v>
                </c:pt>
                <c:pt idx="152">
                  <c:v>565</c:v>
                </c:pt>
                <c:pt idx="153">
                  <c:v>585</c:v>
                </c:pt>
                <c:pt idx="154">
                  <c:v>615</c:v>
                </c:pt>
                <c:pt idx="155">
                  <c:v>633</c:v>
                </c:pt>
                <c:pt idx="156">
                  <c:v>659</c:v>
                </c:pt>
                <c:pt idx="157">
                  <c:v>696</c:v>
                </c:pt>
                <c:pt idx="158">
                  <c:v>700</c:v>
                </c:pt>
                <c:pt idx="159">
                  <c:v>701</c:v>
                </c:pt>
                <c:pt idx="160">
                  <c:v>687</c:v>
                </c:pt>
                <c:pt idx="161">
                  <c:v>678</c:v>
                </c:pt>
                <c:pt idx="162">
                  <c:v>645</c:v>
                </c:pt>
                <c:pt idx="163">
                  <c:v>639</c:v>
                </c:pt>
                <c:pt idx="164">
                  <c:v>594</c:v>
                </c:pt>
                <c:pt idx="165">
                  <c:v>578</c:v>
                </c:pt>
                <c:pt idx="166">
                  <c:v>546</c:v>
                </c:pt>
                <c:pt idx="167">
                  <c:v>545</c:v>
                </c:pt>
                <c:pt idx="168">
                  <c:v>513</c:v>
                </c:pt>
                <c:pt idx="169">
                  <c:v>509</c:v>
                </c:pt>
                <c:pt idx="170">
                  <c:v>510</c:v>
                </c:pt>
                <c:pt idx="171">
                  <c:v>529</c:v>
                </c:pt>
                <c:pt idx="172">
                  <c:v>524</c:v>
                </c:pt>
                <c:pt idx="173">
                  <c:v>524</c:v>
                </c:pt>
                <c:pt idx="174">
                  <c:v>511</c:v>
                </c:pt>
                <c:pt idx="175">
                  <c:v>509</c:v>
                </c:pt>
                <c:pt idx="176">
                  <c:v>505</c:v>
                </c:pt>
                <c:pt idx="177">
                  <c:v>501</c:v>
                </c:pt>
                <c:pt idx="178">
                  <c:v>501</c:v>
                </c:pt>
                <c:pt idx="179">
                  <c:v>500</c:v>
                </c:pt>
                <c:pt idx="180">
                  <c:v>494</c:v>
                </c:pt>
                <c:pt idx="181">
                  <c:v>490</c:v>
                </c:pt>
                <c:pt idx="182">
                  <c:v>458</c:v>
                </c:pt>
                <c:pt idx="183">
                  <c:v>451</c:v>
                </c:pt>
                <c:pt idx="184">
                  <c:v>401</c:v>
                </c:pt>
                <c:pt idx="185">
                  <c:v>398</c:v>
                </c:pt>
                <c:pt idx="186">
                  <c:v>336</c:v>
                </c:pt>
                <c:pt idx="187">
                  <c:v>306</c:v>
                </c:pt>
                <c:pt idx="188">
                  <c:v>296</c:v>
                </c:pt>
                <c:pt idx="189">
                  <c:v>282</c:v>
                </c:pt>
                <c:pt idx="190">
                  <c:v>293</c:v>
                </c:pt>
                <c:pt idx="191">
                  <c:v>326</c:v>
                </c:pt>
                <c:pt idx="192">
                  <c:v>327</c:v>
                </c:pt>
                <c:pt idx="193">
                  <c:v>356</c:v>
                </c:pt>
                <c:pt idx="194">
                  <c:v>361</c:v>
                </c:pt>
                <c:pt idx="195">
                  <c:v>394</c:v>
                </c:pt>
                <c:pt idx="196">
                  <c:v>399</c:v>
                </c:pt>
                <c:pt idx="197">
                  <c:v>413</c:v>
                </c:pt>
                <c:pt idx="198">
                  <c:v>423</c:v>
                </c:pt>
                <c:pt idx="199">
                  <c:v>423</c:v>
                </c:pt>
                <c:pt idx="200">
                  <c:v>421</c:v>
                </c:pt>
                <c:pt idx="201">
                  <c:v>412</c:v>
                </c:pt>
                <c:pt idx="202">
                  <c:v>412</c:v>
                </c:pt>
                <c:pt idx="203">
                  <c:v>410</c:v>
                </c:pt>
                <c:pt idx="204">
                  <c:v>410</c:v>
                </c:pt>
                <c:pt idx="205">
                  <c:v>398</c:v>
                </c:pt>
                <c:pt idx="206">
                  <c:v>396</c:v>
                </c:pt>
                <c:pt idx="207">
                  <c:v>384</c:v>
                </c:pt>
                <c:pt idx="208">
                  <c:v>384</c:v>
                </c:pt>
                <c:pt idx="209">
                  <c:v>376</c:v>
                </c:pt>
                <c:pt idx="210">
                  <c:v>374</c:v>
                </c:pt>
                <c:pt idx="211">
                  <c:v>366</c:v>
                </c:pt>
                <c:pt idx="212">
                  <c:v>361</c:v>
                </c:pt>
                <c:pt idx="213">
                  <c:v>397</c:v>
                </c:pt>
                <c:pt idx="214">
                  <c:v>402</c:v>
                </c:pt>
                <c:pt idx="215">
                  <c:v>425</c:v>
                </c:pt>
                <c:pt idx="216">
                  <c:v>436</c:v>
                </c:pt>
                <c:pt idx="217">
                  <c:v>453</c:v>
                </c:pt>
                <c:pt idx="218">
                  <c:v>482</c:v>
                </c:pt>
                <c:pt idx="219">
                  <c:v>506</c:v>
                </c:pt>
                <c:pt idx="220">
                  <c:v>506</c:v>
                </c:pt>
                <c:pt idx="221">
                  <c:v>529</c:v>
                </c:pt>
                <c:pt idx="222">
                  <c:v>536</c:v>
                </c:pt>
                <c:pt idx="223">
                  <c:v>523</c:v>
                </c:pt>
                <c:pt idx="224">
                  <c:v>518</c:v>
                </c:pt>
                <c:pt idx="225">
                  <c:v>495</c:v>
                </c:pt>
                <c:pt idx="226">
                  <c:v>484</c:v>
                </c:pt>
                <c:pt idx="227">
                  <c:v>467</c:v>
                </c:pt>
                <c:pt idx="228">
                  <c:v>457</c:v>
                </c:pt>
                <c:pt idx="229">
                  <c:v>453</c:v>
                </c:pt>
                <c:pt idx="230">
                  <c:v>453</c:v>
                </c:pt>
                <c:pt idx="231">
                  <c:v>478</c:v>
                </c:pt>
                <c:pt idx="232">
                  <c:v>487</c:v>
                </c:pt>
                <c:pt idx="233">
                  <c:v>517</c:v>
                </c:pt>
                <c:pt idx="234">
                  <c:v>517</c:v>
                </c:pt>
                <c:pt idx="235">
                  <c:v>534</c:v>
                </c:pt>
                <c:pt idx="236">
                  <c:v>536</c:v>
                </c:pt>
                <c:pt idx="237">
                  <c:v>546</c:v>
                </c:pt>
                <c:pt idx="238">
                  <c:v>546</c:v>
                </c:pt>
                <c:pt idx="239">
                  <c:v>546</c:v>
                </c:pt>
                <c:pt idx="240">
                  <c:v>546</c:v>
                </c:pt>
                <c:pt idx="241">
                  <c:v>546</c:v>
                </c:pt>
                <c:pt idx="242">
                  <c:v>542</c:v>
                </c:pt>
                <c:pt idx="243">
                  <c:v>537</c:v>
                </c:pt>
                <c:pt idx="244">
                  <c:v>537</c:v>
                </c:pt>
                <c:pt idx="245">
                  <c:v>534</c:v>
                </c:pt>
                <c:pt idx="246">
                  <c:v>529</c:v>
                </c:pt>
                <c:pt idx="247">
                  <c:v>517</c:v>
                </c:pt>
                <c:pt idx="248">
                  <c:v>517</c:v>
                </c:pt>
                <c:pt idx="249">
                  <c:v>515</c:v>
                </c:pt>
                <c:pt idx="250">
                  <c:v>513</c:v>
                </c:pt>
                <c:pt idx="251">
                  <c:v>501</c:v>
                </c:pt>
                <c:pt idx="252">
                  <c:v>501</c:v>
                </c:pt>
                <c:pt idx="253">
                  <c:v>485</c:v>
                </c:pt>
                <c:pt idx="254">
                  <c:v>481</c:v>
                </c:pt>
                <c:pt idx="255">
                  <c:v>465</c:v>
                </c:pt>
                <c:pt idx="256">
                  <c:v>465</c:v>
                </c:pt>
                <c:pt idx="257">
                  <c:v>443</c:v>
                </c:pt>
                <c:pt idx="258">
                  <c:v>443</c:v>
                </c:pt>
                <c:pt idx="259">
                  <c:v>431</c:v>
                </c:pt>
                <c:pt idx="260">
                  <c:v>431</c:v>
                </c:pt>
                <c:pt idx="261">
                  <c:v>431</c:v>
                </c:pt>
                <c:pt idx="262">
                  <c:v>431</c:v>
                </c:pt>
                <c:pt idx="263">
                  <c:v>439</c:v>
                </c:pt>
                <c:pt idx="264">
                  <c:v>439</c:v>
                </c:pt>
                <c:pt idx="265">
                  <c:v>440</c:v>
                </c:pt>
                <c:pt idx="266">
                  <c:v>440</c:v>
                </c:pt>
                <c:pt idx="267">
                  <c:v>440</c:v>
                </c:pt>
                <c:pt idx="268">
                  <c:v>440</c:v>
                </c:pt>
                <c:pt idx="269">
                  <c:v>429</c:v>
                </c:pt>
                <c:pt idx="270">
                  <c:v>428</c:v>
                </c:pt>
                <c:pt idx="271">
                  <c:v>418</c:v>
                </c:pt>
                <c:pt idx="272">
                  <c:v>415</c:v>
                </c:pt>
                <c:pt idx="273">
                  <c:v>389</c:v>
                </c:pt>
                <c:pt idx="274">
                  <c:v>386</c:v>
                </c:pt>
                <c:pt idx="275">
                  <c:v>363</c:v>
                </c:pt>
                <c:pt idx="276">
                  <c:v>363</c:v>
                </c:pt>
                <c:pt idx="277">
                  <c:v>347</c:v>
                </c:pt>
                <c:pt idx="278">
                  <c:v>347</c:v>
                </c:pt>
                <c:pt idx="279">
                  <c:v>324</c:v>
                </c:pt>
                <c:pt idx="280">
                  <c:v>323</c:v>
                </c:pt>
                <c:pt idx="281">
                  <c:v>294</c:v>
                </c:pt>
                <c:pt idx="282">
                  <c:v>291</c:v>
                </c:pt>
                <c:pt idx="283">
                  <c:v>259</c:v>
                </c:pt>
                <c:pt idx="284">
                  <c:v>258</c:v>
                </c:pt>
                <c:pt idx="285">
                  <c:v>236</c:v>
                </c:pt>
                <c:pt idx="286">
                  <c:v>236</c:v>
                </c:pt>
                <c:pt idx="287">
                  <c:v>212</c:v>
                </c:pt>
                <c:pt idx="288">
                  <c:v>183</c:v>
                </c:pt>
                <c:pt idx="289">
                  <c:v>173</c:v>
                </c:pt>
                <c:pt idx="290">
                  <c:v>165</c:v>
                </c:pt>
                <c:pt idx="291">
                  <c:v>165</c:v>
                </c:pt>
                <c:pt idx="292">
                  <c:v>165</c:v>
                </c:pt>
                <c:pt idx="293">
                  <c:v>174</c:v>
                </c:pt>
                <c:pt idx="294">
                  <c:v>175</c:v>
                </c:pt>
                <c:pt idx="295">
                  <c:v>198</c:v>
                </c:pt>
                <c:pt idx="296">
                  <c:v>198</c:v>
                </c:pt>
                <c:pt idx="297">
                  <c:v>209</c:v>
                </c:pt>
                <c:pt idx="298">
                  <c:v>209</c:v>
                </c:pt>
                <c:pt idx="299">
                  <c:v>209</c:v>
                </c:pt>
                <c:pt idx="300">
                  <c:v>209</c:v>
                </c:pt>
                <c:pt idx="301">
                  <c:v>209</c:v>
                </c:pt>
                <c:pt idx="302">
                  <c:v>209</c:v>
                </c:pt>
                <c:pt idx="303">
                  <c:v>209</c:v>
                </c:pt>
                <c:pt idx="304">
                  <c:v>209</c:v>
                </c:pt>
                <c:pt idx="305">
                  <c:v>215</c:v>
                </c:pt>
                <c:pt idx="306">
                  <c:v>215</c:v>
                </c:pt>
                <c:pt idx="307">
                  <c:v>216</c:v>
                </c:pt>
                <c:pt idx="308">
                  <c:v>216</c:v>
                </c:pt>
                <c:pt idx="309">
                  <c:v>216</c:v>
                </c:pt>
                <c:pt idx="310">
                  <c:v>217</c:v>
                </c:pt>
                <c:pt idx="311">
                  <c:v>227</c:v>
                </c:pt>
                <c:pt idx="312">
                  <c:v>251</c:v>
                </c:pt>
                <c:pt idx="313">
                  <c:v>262</c:v>
                </c:pt>
                <c:pt idx="314">
                  <c:v>307</c:v>
                </c:pt>
                <c:pt idx="315">
                  <c:v>330</c:v>
                </c:pt>
                <c:pt idx="316">
                  <c:v>352</c:v>
                </c:pt>
                <c:pt idx="317">
                  <c:v>353</c:v>
                </c:pt>
                <c:pt idx="318">
                  <c:v>367</c:v>
                </c:pt>
                <c:pt idx="319">
                  <c:v>357</c:v>
                </c:pt>
                <c:pt idx="320">
                  <c:v>366</c:v>
                </c:pt>
                <c:pt idx="321">
                  <c:v>366</c:v>
                </c:pt>
                <c:pt idx="322">
                  <c:v>365</c:v>
                </c:pt>
                <c:pt idx="323">
                  <c:v>365</c:v>
                </c:pt>
                <c:pt idx="324">
                  <c:v>359</c:v>
                </c:pt>
                <c:pt idx="325">
                  <c:v>357</c:v>
                </c:pt>
                <c:pt idx="326">
                  <c:v>348</c:v>
                </c:pt>
                <c:pt idx="327">
                  <c:v>347</c:v>
                </c:pt>
                <c:pt idx="328">
                  <c:v>326</c:v>
                </c:pt>
                <c:pt idx="329">
                  <c:v>316</c:v>
                </c:pt>
                <c:pt idx="330">
                  <c:v>294</c:v>
                </c:pt>
                <c:pt idx="331">
                  <c:v>283</c:v>
                </c:pt>
                <c:pt idx="332">
                  <c:v>251</c:v>
                </c:pt>
                <c:pt idx="333">
                  <c:v>237</c:v>
                </c:pt>
                <c:pt idx="334">
                  <c:v>202</c:v>
                </c:pt>
                <c:pt idx="335">
                  <c:v>202</c:v>
                </c:pt>
                <c:pt idx="336">
                  <c:v>202</c:v>
                </c:pt>
                <c:pt idx="337">
                  <c:v>202</c:v>
                </c:pt>
                <c:pt idx="338">
                  <c:v>206</c:v>
                </c:pt>
                <c:pt idx="339">
                  <c:v>212</c:v>
                </c:pt>
                <c:pt idx="340">
                  <c:v>224</c:v>
                </c:pt>
                <c:pt idx="341">
                  <c:v>229</c:v>
                </c:pt>
                <c:pt idx="342">
                  <c:v>237</c:v>
                </c:pt>
                <c:pt idx="343">
                  <c:v>246</c:v>
                </c:pt>
                <c:pt idx="344">
                  <c:v>246</c:v>
                </c:pt>
                <c:pt idx="345">
                  <c:v>257</c:v>
                </c:pt>
                <c:pt idx="346">
                  <c:v>257</c:v>
                </c:pt>
                <c:pt idx="347">
                  <c:v>267</c:v>
                </c:pt>
                <c:pt idx="348">
                  <c:v>267</c:v>
                </c:pt>
                <c:pt idx="349">
                  <c:v>267</c:v>
                </c:pt>
                <c:pt idx="350">
                  <c:v>267</c:v>
                </c:pt>
                <c:pt idx="351">
                  <c:v>253</c:v>
                </c:pt>
                <c:pt idx="352">
                  <c:v>250</c:v>
                </c:pt>
                <c:pt idx="353">
                  <c:v>221</c:v>
                </c:pt>
                <c:pt idx="354">
                  <c:v>220</c:v>
                </c:pt>
                <c:pt idx="355">
                  <c:v>181</c:v>
                </c:pt>
                <c:pt idx="356">
                  <c:v>157</c:v>
                </c:pt>
                <c:pt idx="357">
                  <c:v>157</c:v>
                </c:pt>
                <c:pt idx="358">
                  <c:v>177</c:v>
                </c:pt>
                <c:pt idx="359">
                  <c:v>183</c:v>
                </c:pt>
                <c:pt idx="360">
                  <c:v>224</c:v>
                </c:pt>
                <c:pt idx="361">
                  <c:v>235</c:v>
                </c:pt>
                <c:pt idx="362">
                  <c:v>260</c:v>
                </c:pt>
                <c:pt idx="363">
                  <c:v>260</c:v>
                </c:pt>
                <c:pt idx="364">
                  <c:v>271</c:v>
                </c:pt>
                <c:pt idx="365">
                  <c:v>271</c:v>
                </c:pt>
                <c:pt idx="366">
                  <c:v>238</c:v>
                </c:pt>
                <c:pt idx="367">
                  <c:v>228</c:v>
                </c:pt>
                <c:pt idx="368">
                  <c:v>188</c:v>
                </c:pt>
                <c:pt idx="369">
                  <c:v>187</c:v>
                </c:pt>
                <c:pt idx="370">
                  <c:v>164</c:v>
                </c:pt>
                <c:pt idx="371">
                  <c:v>164</c:v>
                </c:pt>
                <c:pt idx="372">
                  <c:v>155</c:v>
                </c:pt>
                <c:pt idx="373">
                  <c:v>151</c:v>
                </c:pt>
                <c:pt idx="374">
                  <c:v>149</c:v>
                </c:pt>
                <c:pt idx="375">
                  <c:v>149</c:v>
                </c:pt>
                <c:pt idx="376">
                  <c:v>149</c:v>
                </c:pt>
                <c:pt idx="377">
                  <c:v>149</c:v>
                </c:pt>
                <c:pt idx="378">
                  <c:v>149</c:v>
                </c:pt>
                <c:pt idx="379">
                  <c:v>149</c:v>
                </c:pt>
                <c:pt idx="380">
                  <c:v>144</c:v>
                </c:pt>
                <c:pt idx="381">
                  <c:v>144</c:v>
                </c:pt>
                <c:pt idx="382">
                  <c:v>130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81427624"/>
        <c:axId val="762428724"/>
      </c:lineChart>
      <c:dateAx>
        <c:axId val="381427624"/>
        <c:scaling>
          <c:orientation val="minMax"/>
          <c:max val="46287"/>
          <c:min val="45557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762428724"/>
        <c:crosses val="autoZero"/>
        <c:auto val="1"/>
        <c:lblOffset val="100"/>
        <c:baseTimeUnit val="days"/>
        <c:majorUnit val="2"/>
        <c:majorTimeUnit val="months"/>
      </c:dateAx>
      <c:valAx>
        <c:axId val="762428724"/>
        <c:scaling>
          <c:orientation val="minMax"/>
          <c:max val="6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38142762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91be0bd-116b-491e-8177-5c8123b05b0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  <a:sym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r>
              <a:rPr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白条及生猪价对比趋势</a:t>
            </a:r>
            <a:endParaRPr b="1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300027716186253"/>
          <c:y val="0.02737850787132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毛白价差!$B$2</c:f>
              <c:strCache>
                <c:ptCount val="1"/>
                <c:pt idx="0">
                  <c:v>前三级别白条价</c:v>
                </c:pt>
              </c:strCache>
            </c:strRef>
          </c:tx>
          <c:spPr>
            <a:gradFill>
              <a:gsLst>
                <a:gs pos="0">
                  <a:srgbClr val="FE4444"/>
                </a:gs>
                <a:gs pos="100000">
                  <a:srgbClr val="832B2B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毛白价差!$A$3:$A$395</c:f>
              <c:numCache>
                <c:formatCode>yyyy/m/d;@</c:formatCode>
                <c:ptCount val="393"/>
                <c:pt idx="0" c:formatCode="yyyy/m/d;@">
                  <c:v>43951</c:v>
                </c:pt>
                <c:pt idx="1" c:formatCode="yyyy/m/d;@">
                  <c:v>43958</c:v>
                </c:pt>
                <c:pt idx="2" c:formatCode="yyyy/m/d;@">
                  <c:v>43965</c:v>
                </c:pt>
                <c:pt idx="3" c:formatCode="yyyy/m/d;@">
                  <c:v>43972</c:v>
                </c:pt>
                <c:pt idx="4" c:formatCode="yyyy/m/d;@">
                  <c:v>43979</c:v>
                </c:pt>
                <c:pt idx="5" c:formatCode="yyyy/m/d;@">
                  <c:v>43986</c:v>
                </c:pt>
                <c:pt idx="6" c:formatCode="yyyy/m/d;@">
                  <c:v>43993</c:v>
                </c:pt>
                <c:pt idx="7" c:formatCode="yyyy/m/d;@">
                  <c:v>44000</c:v>
                </c:pt>
                <c:pt idx="8" c:formatCode="yyyy/m/d;@">
                  <c:v>44007</c:v>
                </c:pt>
                <c:pt idx="9" c:formatCode="yyyy/m/d;@">
                  <c:v>44014</c:v>
                </c:pt>
                <c:pt idx="10" c:formatCode="yyyy/m/d;@">
                  <c:v>44021</c:v>
                </c:pt>
                <c:pt idx="11" c:formatCode="yyyy/m/d;@">
                  <c:v>44028</c:v>
                </c:pt>
                <c:pt idx="12" c:formatCode="yyyy/m/d;@">
                  <c:v>44035</c:v>
                </c:pt>
                <c:pt idx="13" c:formatCode="yyyy/m/d;@">
                  <c:v>44042</c:v>
                </c:pt>
                <c:pt idx="14" c:formatCode="yyyy/m/d;@">
                  <c:v>44049</c:v>
                </c:pt>
                <c:pt idx="15" c:formatCode="yyyy/m/d;@">
                  <c:v>44056</c:v>
                </c:pt>
                <c:pt idx="16" c:formatCode="yyyy/m/d;@">
                  <c:v>44063</c:v>
                </c:pt>
                <c:pt idx="17" c:formatCode="yyyy/m/d;@">
                  <c:v>44070</c:v>
                </c:pt>
                <c:pt idx="18" c:formatCode="yyyy/m/d;@">
                  <c:v>44077</c:v>
                </c:pt>
                <c:pt idx="19" c:formatCode="yyyy/m/d;@">
                  <c:v>44084</c:v>
                </c:pt>
                <c:pt idx="20" c:formatCode="yyyy/m/d;@">
                  <c:v>44091</c:v>
                </c:pt>
                <c:pt idx="21" c:formatCode="yyyy/m/d;@">
                  <c:v>44098</c:v>
                </c:pt>
                <c:pt idx="22" c:formatCode="yyyy/m/d;@">
                  <c:v>44104</c:v>
                </c:pt>
                <c:pt idx="23" c:formatCode="yyyy/m/d;@">
                  <c:v>44112</c:v>
                </c:pt>
                <c:pt idx="24" c:formatCode="yyyy/m/d;@">
                  <c:v>44119</c:v>
                </c:pt>
                <c:pt idx="25" c:formatCode="yyyy/m/d;@">
                  <c:v>44126</c:v>
                </c:pt>
                <c:pt idx="26" c:formatCode="yyyy/m/d;@">
                  <c:v>44133</c:v>
                </c:pt>
                <c:pt idx="27" c:formatCode="yyyy/m/d;@">
                  <c:v>44140</c:v>
                </c:pt>
                <c:pt idx="28" c:formatCode="yyyy/m/d;@">
                  <c:v>44147</c:v>
                </c:pt>
                <c:pt idx="29" c:formatCode="yyyy/m/d;@">
                  <c:v>44154</c:v>
                </c:pt>
                <c:pt idx="30" c:formatCode="yyyy/m/d;@">
                  <c:v>44161</c:v>
                </c:pt>
                <c:pt idx="31" c:formatCode="yyyy/m/d;@">
                  <c:v>44168</c:v>
                </c:pt>
                <c:pt idx="32" c:formatCode="yyyy/m/d;@">
                  <c:v>44175</c:v>
                </c:pt>
                <c:pt idx="33" c:formatCode="yyyy/m/d;@">
                  <c:v>44182</c:v>
                </c:pt>
                <c:pt idx="34" c:formatCode="yyyy/m/d;@">
                  <c:v>44189</c:v>
                </c:pt>
                <c:pt idx="35" c:formatCode="yyyy/m/d;@">
                  <c:v>44196</c:v>
                </c:pt>
                <c:pt idx="36" c:formatCode="yyyy/m/d;@">
                  <c:v>44203</c:v>
                </c:pt>
                <c:pt idx="37" c:formatCode="yyyy/m/d;@">
                  <c:v>44210</c:v>
                </c:pt>
                <c:pt idx="38" c:formatCode="yyyy/m/d;@">
                  <c:v>44217</c:v>
                </c:pt>
                <c:pt idx="39" c:formatCode="yyyy/m/d;@">
                  <c:v>44224</c:v>
                </c:pt>
                <c:pt idx="40" c:formatCode="yyyy/m/d;@">
                  <c:v>44231</c:v>
                </c:pt>
                <c:pt idx="41" c:formatCode="yyyy/m/d;@">
                  <c:v>44245</c:v>
                </c:pt>
                <c:pt idx="42" c:formatCode="yyyy/m/d;@">
                  <c:v>44252</c:v>
                </c:pt>
                <c:pt idx="43" c:formatCode="yyyy/m/d;@">
                  <c:v>44259</c:v>
                </c:pt>
                <c:pt idx="44" c:formatCode="yyyy/m/d;@">
                  <c:v>44266</c:v>
                </c:pt>
                <c:pt idx="45" c:formatCode="yyyy/m/d;@">
                  <c:v>44273</c:v>
                </c:pt>
                <c:pt idx="46" c:formatCode="yyyy/m/d;@">
                  <c:v>44280</c:v>
                </c:pt>
                <c:pt idx="47" c:formatCode="yyyy/m/d;@">
                  <c:v>44287</c:v>
                </c:pt>
                <c:pt idx="48" c:formatCode="yyyy/m/d;@">
                  <c:v>44294</c:v>
                </c:pt>
                <c:pt idx="49" c:formatCode="yyyy/m/d;@">
                  <c:v>44301</c:v>
                </c:pt>
                <c:pt idx="50" c:formatCode="yyyy/m/d;@">
                  <c:v>44308</c:v>
                </c:pt>
                <c:pt idx="51" c:formatCode="yyyy/m/d;@">
                  <c:v>44315</c:v>
                </c:pt>
                <c:pt idx="52" c:formatCode="yyyy/m/d;@">
                  <c:v>44322</c:v>
                </c:pt>
                <c:pt idx="53" c:formatCode="yyyy/m/d;@">
                  <c:v>44329</c:v>
                </c:pt>
                <c:pt idx="54" c:formatCode="yyyy/m/d;@">
                  <c:v>44336</c:v>
                </c:pt>
                <c:pt idx="55" c:formatCode="yyyy/m/d;@">
                  <c:v>44343</c:v>
                </c:pt>
                <c:pt idx="56" c:formatCode="yyyy/m/d;@">
                  <c:v>44350</c:v>
                </c:pt>
                <c:pt idx="57" c:formatCode="yyyy/m/d;@">
                  <c:v>44357</c:v>
                </c:pt>
                <c:pt idx="58" c:formatCode="yyyy/m/d;@">
                  <c:v>44364</c:v>
                </c:pt>
                <c:pt idx="59" c:formatCode="yyyy/m/d;@">
                  <c:v>44371</c:v>
                </c:pt>
                <c:pt idx="60" c:formatCode="yyyy/m/d;@">
                  <c:v>44378</c:v>
                </c:pt>
                <c:pt idx="61" c:formatCode="yyyy/m/d;@">
                  <c:v>44385</c:v>
                </c:pt>
                <c:pt idx="62" c:formatCode="yyyy/m/d;@">
                  <c:v>44392</c:v>
                </c:pt>
                <c:pt idx="63" c:formatCode="yyyy/m/d;@">
                  <c:v>44399</c:v>
                </c:pt>
                <c:pt idx="64" c:formatCode="yyyy/m/d;@">
                  <c:v>44406</c:v>
                </c:pt>
                <c:pt idx="65" c:formatCode="yyyy/m/d;@">
                  <c:v>44413</c:v>
                </c:pt>
                <c:pt idx="66" c:formatCode="yyyy/m/d;@">
                  <c:v>44420</c:v>
                </c:pt>
                <c:pt idx="67" c:formatCode="yyyy/m/d;@">
                  <c:v>44427</c:v>
                </c:pt>
                <c:pt idx="68" c:formatCode="yyyy/m/d;@">
                  <c:v>44434</c:v>
                </c:pt>
                <c:pt idx="69" c:formatCode="yyyy/m/d;@">
                  <c:v>44441</c:v>
                </c:pt>
                <c:pt idx="70" c:formatCode="yyyy/m/d;@">
                  <c:v>44448</c:v>
                </c:pt>
                <c:pt idx="71" c:formatCode="yyyy/m/d;@">
                  <c:v>44455</c:v>
                </c:pt>
                <c:pt idx="72" c:formatCode="yyyy/m/d;@">
                  <c:v>44462</c:v>
                </c:pt>
                <c:pt idx="73" c:formatCode="yyyy/m/d;@">
                  <c:v>44469</c:v>
                </c:pt>
                <c:pt idx="74" c:formatCode="yyyy/m/d;@">
                  <c:v>44477</c:v>
                </c:pt>
                <c:pt idx="75" c:formatCode="yyyy/m/d;@">
                  <c:v>44483</c:v>
                </c:pt>
                <c:pt idx="76" c:formatCode="yyyy/m/d;@">
                  <c:v>44490</c:v>
                </c:pt>
                <c:pt idx="77" c:formatCode="yyyy/m/d;@">
                  <c:v>44497</c:v>
                </c:pt>
                <c:pt idx="78" c:formatCode="yyyy/m/d;@">
                  <c:v>44504</c:v>
                </c:pt>
                <c:pt idx="79" c:formatCode="yyyy/m/d;@">
                  <c:v>44511</c:v>
                </c:pt>
                <c:pt idx="80" c:formatCode="yyyy/m/d;@">
                  <c:v>44518</c:v>
                </c:pt>
                <c:pt idx="81" c:formatCode="yyyy/m/d;@">
                  <c:v>44525</c:v>
                </c:pt>
                <c:pt idx="82" c:formatCode="yyyy/m/d;@">
                  <c:v>44532</c:v>
                </c:pt>
                <c:pt idx="83" c:formatCode="yyyy/m/d;@">
                  <c:v>44539</c:v>
                </c:pt>
                <c:pt idx="84" c:formatCode="yyyy/m/d;@">
                  <c:v>44546</c:v>
                </c:pt>
                <c:pt idx="85" c:formatCode="yyyy/m/d;@">
                  <c:v>44553</c:v>
                </c:pt>
                <c:pt idx="86" c:formatCode="yyyy/m/d;@">
                  <c:v>44560</c:v>
                </c:pt>
                <c:pt idx="87" c:formatCode="yyyy/m/d;@">
                  <c:v>44567</c:v>
                </c:pt>
                <c:pt idx="88" c:formatCode="yyyy/m/d;@">
                  <c:v>44574</c:v>
                </c:pt>
                <c:pt idx="89" c:formatCode="yyyy/m/d;@">
                  <c:v>44581</c:v>
                </c:pt>
                <c:pt idx="90" c:formatCode="yyyy/m/d;@">
                  <c:v>44587</c:v>
                </c:pt>
                <c:pt idx="91" c:formatCode="yyyy/m/d;@">
                  <c:v>44602</c:v>
                </c:pt>
                <c:pt idx="92" c:formatCode="yyyy/m/d;@">
                  <c:v>44609</c:v>
                </c:pt>
                <c:pt idx="93" c:formatCode="yyyy/m/d;@">
                  <c:v>44616</c:v>
                </c:pt>
                <c:pt idx="94" c:formatCode="yyyy/m/d;@">
                  <c:v>44623</c:v>
                </c:pt>
                <c:pt idx="95" c:formatCode="yyyy/m/d;@">
                  <c:v>44630</c:v>
                </c:pt>
                <c:pt idx="96" c:formatCode="yyyy/m/d;@">
                  <c:v>44637</c:v>
                </c:pt>
                <c:pt idx="97" c:formatCode="yyyy/m/d;@">
                  <c:v>44644</c:v>
                </c:pt>
                <c:pt idx="98" c:formatCode="yyyy/m/d;@">
                  <c:v>44651</c:v>
                </c:pt>
                <c:pt idx="99" c:formatCode="yyyy/m/d;@">
                  <c:v>44658</c:v>
                </c:pt>
                <c:pt idx="100" c:formatCode="yyyy/m/d;@">
                  <c:v>44665</c:v>
                </c:pt>
                <c:pt idx="101" c:formatCode="yyyy/m/d;@">
                  <c:v>44672</c:v>
                </c:pt>
                <c:pt idx="102" c:formatCode="yyyy/m/d;@">
                  <c:v>44679</c:v>
                </c:pt>
                <c:pt idx="103" c:formatCode="yyyy/m/d;@">
                  <c:v>44686</c:v>
                </c:pt>
                <c:pt idx="104" c:formatCode="yyyy/m/d;@">
                  <c:v>44693</c:v>
                </c:pt>
                <c:pt idx="105" c:formatCode="yyyy/m/d;@">
                  <c:v>44700</c:v>
                </c:pt>
                <c:pt idx="106" c:formatCode="yyyy/m/d;@">
                  <c:v>44707</c:v>
                </c:pt>
                <c:pt idx="107" c:formatCode="yyyy/m/d;@">
                  <c:v>44714</c:v>
                </c:pt>
                <c:pt idx="108" c:formatCode="yyyy/m/d;@">
                  <c:v>44721</c:v>
                </c:pt>
                <c:pt idx="109" c:formatCode="yyyy/m/d;@">
                  <c:v>44728</c:v>
                </c:pt>
                <c:pt idx="110" c:formatCode="yyyy/m/d;@">
                  <c:v>44735</c:v>
                </c:pt>
                <c:pt idx="111" c:formatCode="yyyy/m/d;@">
                  <c:v>44742</c:v>
                </c:pt>
                <c:pt idx="112" c:formatCode="yyyy/m/d;@">
                  <c:v>44749</c:v>
                </c:pt>
                <c:pt idx="113" c:formatCode="yyyy/m/d;@">
                  <c:v>44756</c:v>
                </c:pt>
                <c:pt idx="114" c:formatCode="yyyy/m/d;@">
                  <c:v>44763</c:v>
                </c:pt>
                <c:pt idx="115" c:formatCode="yyyy/m/d;@">
                  <c:v>44770</c:v>
                </c:pt>
                <c:pt idx="116" c:formatCode="yyyy/m/d;@">
                  <c:v>44777</c:v>
                </c:pt>
                <c:pt idx="117" c:formatCode="yyyy/m/d;@">
                  <c:v>44784</c:v>
                </c:pt>
                <c:pt idx="118" c:formatCode="yyyy/m/d;@">
                  <c:v>44791</c:v>
                </c:pt>
                <c:pt idx="119" c:formatCode="yyyy/m/d;@">
                  <c:v>44798</c:v>
                </c:pt>
                <c:pt idx="120" c:formatCode="yyyy/m/d;@">
                  <c:v>44805</c:v>
                </c:pt>
                <c:pt idx="121" c:formatCode="yyyy/m/d;@">
                  <c:v>44812</c:v>
                </c:pt>
                <c:pt idx="122" c:formatCode="yyyy/m/d;@">
                  <c:v>44819</c:v>
                </c:pt>
                <c:pt idx="123" c:formatCode="yyyy/m/d;@">
                  <c:v>44826</c:v>
                </c:pt>
                <c:pt idx="124" c:formatCode="yyyy/m/d;@">
                  <c:v>44833</c:v>
                </c:pt>
                <c:pt idx="125" c:formatCode="yyyy/m/d;@">
                  <c:v>44842</c:v>
                </c:pt>
                <c:pt idx="126" c:formatCode="yyyy/m/d;@">
                  <c:v>44847</c:v>
                </c:pt>
                <c:pt idx="127" c:formatCode="yyyy/m/d;@">
                  <c:v>44854</c:v>
                </c:pt>
                <c:pt idx="128" c:formatCode="yyyy/m/d;@">
                  <c:v>44861</c:v>
                </c:pt>
                <c:pt idx="129" c:formatCode="yyyy/m/d;@">
                  <c:v>44868</c:v>
                </c:pt>
                <c:pt idx="130" c:formatCode="yyyy/m/d;@">
                  <c:v>44875</c:v>
                </c:pt>
                <c:pt idx="131" c:formatCode="yyyy/m/d;@">
                  <c:v>44882</c:v>
                </c:pt>
                <c:pt idx="132" c:formatCode="yyyy/m/d;@">
                  <c:v>44889</c:v>
                </c:pt>
                <c:pt idx="133" c:formatCode="yyyy/m/d;@">
                  <c:v>44896</c:v>
                </c:pt>
                <c:pt idx="134" c:formatCode="yyyy/m/d;@">
                  <c:v>44903</c:v>
                </c:pt>
                <c:pt idx="135" c:formatCode="yyyy/m/d;@">
                  <c:v>44910</c:v>
                </c:pt>
                <c:pt idx="136" c:formatCode="yyyy/m/d;@">
                  <c:v>44917</c:v>
                </c:pt>
                <c:pt idx="137" c:formatCode="yyyy/m/d;@">
                  <c:v>44924</c:v>
                </c:pt>
                <c:pt idx="138" c:formatCode="yyyy/m/d;@">
                  <c:v>44931</c:v>
                </c:pt>
                <c:pt idx="139" c:formatCode="yyyy/m/d;@">
                  <c:v>44938</c:v>
                </c:pt>
                <c:pt idx="140" c:formatCode="yyyy/m/d;@">
                  <c:v>44959</c:v>
                </c:pt>
                <c:pt idx="141" c:formatCode="yyyy/m/d;@">
                  <c:v>44966</c:v>
                </c:pt>
                <c:pt idx="142" c:formatCode="yyyy/m/d;@">
                  <c:v>44973</c:v>
                </c:pt>
                <c:pt idx="143" c:formatCode="yyyy/m/d;@">
                  <c:v>44980</c:v>
                </c:pt>
                <c:pt idx="144" c:formatCode="yyyy/m/d;@">
                  <c:v>44987</c:v>
                </c:pt>
                <c:pt idx="145" c:formatCode="yyyy/m/d;@">
                  <c:v>44994</c:v>
                </c:pt>
                <c:pt idx="146" c:formatCode="yyyy/m/d;@">
                  <c:v>45001</c:v>
                </c:pt>
                <c:pt idx="147" c:formatCode="yyyy/m/d;@">
                  <c:v>45008</c:v>
                </c:pt>
                <c:pt idx="148" c:formatCode="yyyy/m/d;@">
                  <c:v>45015</c:v>
                </c:pt>
                <c:pt idx="149" c:formatCode="yyyy/m/d;@">
                  <c:v>45022</c:v>
                </c:pt>
                <c:pt idx="150" c:formatCode="yyyy/m/d;@">
                  <c:v>45029</c:v>
                </c:pt>
                <c:pt idx="151" c:formatCode="yyyy/m/d;@">
                  <c:v>45036</c:v>
                </c:pt>
                <c:pt idx="152" c:formatCode="yyyy/m/d;@">
                  <c:v>45043</c:v>
                </c:pt>
                <c:pt idx="153" c:formatCode="yyyy/m/d;@">
                  <c:v>45050</c:v>
                </c:pt>
                <c:pt idx="154" c:formatCode="yyyy/m/d;@">
                  <c:v>45057</c:v>
                </c:pt>
                <c:pt idx="155" c:formatCode="yyyy/m/d;@">
                  <c:v>45064</c:v>
                </c:pt>
                <c:pt idx="156" c:formatCode="yyyy/m/d;@">
                  <c:v>45071</c:v>
                </c:pt>
                <c:pt idx="157" c:formatCode="yyyy/m/d;@">
                  <c:v>45078</c:v>
                </c:pt>
                <c:pt idx="158" c:formatCode="yyyy/m/d;@">
                  <c:v>45085</c:v>
                </c:pt>
                <c:pt idx="159" c:formatCode="yyyy/m/d;@">
                  <c:v>45092</c:v>
                </c:pt>
                <c:pt idx="160" c:formatCode="yyyy/m/d;@">
                  <c:v>45098</c:v>
                </c:pt>
                <c:pt idx="161" c:formatCode="yyyy/m/d;@">
                  <c:v>45106</c:v>
                </c:pt>
                <c:pt idx="162" c:formatCode="yyyy/m/d;@">
                  <c:v>45113</c:v>
                </c:pt>
                <c:pt idx="163" c:formatCode="yyyy/m/d;@">
                  <c:v>45120</c:v>
                </c:pt>
                <c:pt idx="164" c:formatCode="yyyy/m/d;@">
                  <c:v>45127</c:v>
                </c:pt>
                <c:pt idx="165" c:formatCode="yyyy/m/d;@">
                  <c:v>45134</c:v>
                </c:pt>
                <c:pt idx="166" c:formatCode="yyyy/m/d;@">
                  <c:v>45141</c:v>
                </c:pt>
                <c:pt idx="167" c:formatCode="yyyy/m/d;@">
                  <c:v>45148</c:v>
                </c:pt>
                <c:pt idx="168" c:formatCode="yyyy/m/d;@">
                  <c:v>45155</c:v>
                </c:pt>
                <c:pt idx="169" c:formatCode="yyyy/m/d;@">
                  <c:v>45162</c:v>
                </c:pt>
                <c:pt idx="170" c:formatCode="yyyy/m/d;@">
                  <c:v>45169</c:v>
                </c:pt>
                <c:pt idx="171" c:formatCode="yyyy/m/d;@">
                  <c:v>45176</c:v>
                </c:pt>
                <c:pt idx="172" c:formatCode="yyyy/m/d;@">
                  <c:v>45183</c:v>
                </c:pt>
                <c:pt idx="173" c:formatCode="yyyy/m/d;@">
                  <c:v>45190</c:v>
                </c:pt>
                <c:pt idx="174" c:formatCode="yyyy/m/d;@">
                  <c:v>45197</c:v>
                </c:pt>
                <c:pt idx="175" c:formatCode="yyyy/m/d;@">
                  <c:v>45205</c:v>
                </c:pt>
                <c:pt idx="176" c:formatCode="yyyy/m/d;@">
                  <c:v>45211</c:v>
                </c:pt>
                <c:pt idx="177" c:formatCode="yyyy/m/d;@">
                  <c:v>45218</c:v>
                </c:pt>
                <c:pt idx="178" c:formatCode="yyyy/m/d;@">
                  <c:v>45225</c:v>
                </c:pt>
                <c:pt idx="179" c:formatCode="yyyy/m/d;@">
                  <c:v>45232</c:v>
                </c:pt>
                <c:pt idx="180" c:formatCode="yyyy/m/d;@">
                  <c:v>45239</c:v>
                </c:pt>
                <c:pt idx="181" c:formatCode="yyyy/m/d;@">
                  <c:v>45246</c:v>
                </c:pt>
                <c:pt idx="182" c:formatCode="yyyy/m/d;@">
                  <c:v>45253</c:v>
                </c:pt>
                <c:pt idx="183" c:formatCode="yyyy/m/d;@">
                  <c:v>45260</c:v>
                </c:pt>
                <c:pt idx="184" c:formatCode="yyyy/m/d;@">
                  <c:v>45267</c:v>
                </c:pt>
                <c:pt idx="185" c:formatCode="yyyy/m/d;@">
                  <c:v>45274</c:v>
                </c:pt>
                <c:pt idx="186" c:formatCode="yyyy/m/d;@">
                  <c:v>45281</c:v>
                </c:pt>
                <c:pt idx="187" c:formatCode="yyyy/m/d;@">
                  <c:v>45288</c:v>
                </c:pt>
                <c:pt idx="188" c:formatCode="yyyy/m/d;@">
                  <c:v>45295</c:v>
                </c:pt>
                <c:pt idx="189" c:formatCode="yyyy/m/d;@">
                  <c:v>45302</c:v>
                </c:pt>
                <c:pt idx="190" c:formatCode="yyyy/m/d;@">
                  <c:v>45309</c:v>
                </c:pt>
                <c:pt idx="191" c:formatCode="yyyy/m/d;@">
                  <c:v>45316</c:v>
                </c:pt>
                <c:pt idx="192" c:formatCode="yyyy/m/d;@">
                  <c:v>45323</c:v>
                </c:pt>
                <c:pt idx="193" c:formatCode="yyyy/m/d;@">
                  <c:v>45344</c:v>
                </c:pt>
                <c:pt idx="194" c:formatCode="yyyy/m/d;@">
                  <c:v>45351</c:v>
                </c:pt>
                <c:pt idx="195" c:formatCode="yyyy/m/d;@">
                  <c:v>45358</c:v>
                </c:pt>
                <c:pt idx="196" c:formatCode="yyyy/m/d;@">
                  <c:v>45365</c:v>
                </c:pt>
                <c:pt idx="197" c:formatCode="yyyy/m/d;@">
                  <c:v>45372</c:v>
                </c:pt>
                <c:pt idx="198" c:formatCode="yyyy/m/d;@">
                  <c:v>45379</c:v>
                </c:pt>
                <c:pt idx="199" c:formatCode="yyyy/m/d;@">
                  <c:v>45385</c:v>
                </c:pt>
                <c:pt idx="200" c:formatCode="yyyy/m/d;@">
                  <c:v>45393</c:v>
                </c:pt>
                <c:pt idx="201" c:formatCode="yyyy/m/d;@">
                  <c:v>45400</c:v>
                </c:pt>
                <c:pt idx="202" c:formatCode="yyyy/m/d;@">
                  <c:v>45407</c:v>
                </c:pt>
                <c:pt idx="203" c:formatCode="yyyy/m/d;@">
                  <c:v>45414</c:v>
                </c:pt>
                <c:pt idx="204" c:formatCode="yyyy/m/d;@">
                  <c:v>45421</c:v>
                </c:pt>
                <c:pt idx="205" c:formatCode="yyyy/m/d;@">
                  <c:v>45428</c:v>
                </c:pt>
                <c:pt idx="206" c:formatCode="yyyy/m/d;@">
                  <c:v>45435</c:v>
                </c:pt>
                <c:pt idx="207" c:formatCode="yyyy/m/d;@">
                  <c:v>45442</c:v>
                </c:pt>
                <c:pt idx="208" c:formatCode="yyyy/m/d;@">
                  <c:v>45449</c:v>
                </c:pt>
                <c:pt idx="209" c:formatCode="yyyy/m/d;@">
                  <c:v>45456</c:v>
                </c:pt>
                <c:pt idx="210" c:formatCode="yyyy/m/d;@">
                  <c:v>45463</c:v>
                </c:pt>
                <c:pt idx="211" c:formatCode="yyyy/m/d;@">
                  <c:v>45470</c:v>
                </c:pt>
                <c:pt idx="212" c:formatCode="yyyy/m/d;@">
                  <c:v>45477</c:v>
                </c:pt>
                <c:pt idx="213" c:formatCode="yyyy/m/d;@">
                  <c:v>45484</c:v>
                </c:pt>
                <c:pt idx="214" c:formatCode="yyyy/m/d;@">
                  <c:v>45491</c:v>
                </c:pt>
                <c:pt idx="215" c:formatCode="yyyy/m/d;@">
                  <c:v>45498</c:v>
                </c:pt>
                <c:pt idx="216" c:formatCode="yyyy/m/d;@">
                  <c:v>45505</c:v>
                </c:pt>
                <c:pt idx="217" c:formatCode="yyyy/m/d;@">
                  <c:v>45512</c:v>
                </c:pt>
                <c:pt idx="218" c:formatCode="yyyy/m/d;@">
                  <c:v>45519</c:v>
                </c:pt>
                <c:pt idx="219" c:formatCode="yyyy/m/d;@">
                  <c:v>45526</c:v>
                </c:pt>
                <c:pt idx="220" c:formatCode="yyyy/m/d;@">
                  <c:v>45533</c:v>
                </c:pt>
                <c:pt idx="221" c:formatCode="yyyy/m/d;@">
                  <c:v>45540</c:v>
                </c:pt>
                <c:pt idx="222" c:formatCode="yyyy/m/d;@">
                  <c:v>45547</c:v>
                </c:pt>
                <c:pt idx="223" c:formatCode="yyyy/m/d;@">
                  <c:v>45554</c:v>
                </c:pt>
                <c:pt idx="224" c:formatCode="yyyy/m/d;@">
                  <c:v>45561</c:v>
                </c:pt>
                <c:pt idx="225" c:formatCode="yyyy/m/d;@">
                  <c:v>45575</c:v>
                </c:pt>
                <c:pt idx="226" c:formatCode="yyyy/m/d;@">
                  <c:v>45582</c:v>
                </c:pt>
                <c:pt idx="227" c:formatCode="yyyy/m/d;@">
                  <c:v>45589</c:v>
                </c:pt>
                <c:pt idx="228" c:formatCode="yyyy/m/d;@">
                  <c:v>45596</c:v>
                </c:pt>
                <c:pt idx="229" c:formatCode="yyyy/m/d;@">
                  <c:v>45603</c:v>
                </c:pt>
                <c:pt idx="230" c:formatCode="yyyy/m/d;@">
                  <c:v>45610</c:v>
                </c:pt>
                <c:pt idx="231" c:formatCode="yyyy/m/d;@">
                  <c:v>45617</c:v>
                </c:pt>
                <c:pt idx="232" c:formatCode="yyyy/m/d;@">
                  <c:v>45624</c:v>
                </c:pt>
                <c:pt idx="233" c:formatCode="yyyy/m/d;@">
                  <c:v>45631</c:v>
                </c:pt>
                <c:pt idx="234" c:formatCode="yyyy/m/d;@">
                  <c:v>45638</c:v>
                </c:pt>
                <c:pt idx="235" c:formatCode="yyyy/m/d;@">
                  <c:v>45645</c:v>
                </c:pt>
                <c:pt idx="236" c:formatCode="yyyy/m/d;@">
                  <c:v>45652</c:v>
                </c:pt>
                <c:pt idx="237" c:formatCode="yyyy/m/d;@">
                  <c:v>45659</c:v>
                </c:pt>
                <c:pt idx="238" c:formatCode="yyyy/m/d;@">
                  <c:v>45666</c:v>
                </c:pt>
                <c:pt idx="239" c:formatCode="yyyy/m/d;@">
                  <c:v>45673</c:v>
                </c:pt>
                <c:pt idx="240" c:formatCode="yyyy/m/d;@">
                  <c:v>45680</c:v>
                </c:pt>
                <c:pt idx="241" c:formatCode="yyyy/m/d;@">
                  <c:v>45694</c:v>
                </c:pt>
                <c:pt idx="242" c:formatCode="yyyy/m/d;@">
                  <c:v>45701</c:v>
                </c:pt>
                <c:pt idx="243" c:formatCode="yyyy/m/d;@">
                  <c:v>45708</c:v>
                </c:pt>
                <c:pt idx="244" c:formatCode="yyyy/m/d;@">
                  <c:v>45715</c:v>
                </c:pt>
                <c:pt idx="245" c:formatCode="yyyy/m/d;@">
                  <c:v>45722</c:v>
                </c:pt>
                <c:pt idx="246" c:formatCode="yyyy/m/d;@">
                  <c:v>45729</c:v>
                </c:pt>
                <c:pt idx="247" c:formatCode="yyyy/m/d;@">
                  <c:v>45736</c:v>
                </c:pt>
                <c:pt idx="248" c:formatCode="yyyy/m/d;@">
                  <c:v>45743</c:v>
                </c:pt>
                <c:pt idx="249" c:formatCode="yyyy/m/d;@">
                  <c:v>45750</c:v>
                </c:pt>
                <c:pt idx="250" c:formatCode="yyyy/m/d;@">
                  <c:v>45757</c:v>
                </c:pt>
                <c:pt idx="251" c:formatCode="yyyy/m/d;@">
                  <c:v>45764</c:v>
                </c:pt>
                <c:pt idx="252" c:formatCode="yyyy/m/d;@">
                  <c:v>45771</c:v>
                </c:pt>
                <c:pt idx="253" c:formatCode="yyyy/m/d;@">
                  <c:v>45777</c:v>
                </c:pt>
                <c:pt idx="254" c:formatCode="yyyy/m/d;@">
                  <c:v>45785</c:v>
                </c:pt>
                <c:pt idx="255" c:formatCode="yyyy/m/d;@">
                  <c:v>45792</c:v>
                </c:pt>
                <c:pt idx="256" c:formatCode="yyyy/m/d;@">
                  <c:v>45799</c:v>
                </c:pt>
                <c:pt idx="257" c:formatCode="yyyy/m/d;@">
                  <c:v>45806</c:v>
                </c:pt>
                <c:pt idx="258" c:formatCode="yyyy/m/d;@">
                  <c:v>45813</c:v>
                </c:pt>
                <c:pt idx="259" c:formatCode="yyyy/m/d;@">
                  <c:v>45820</c:v>
                </c:pt>
                <c:pt idx="260" c:formatCode="yyyy/m/d;@">
                  <c:v>45827</c:v>
                </c:pt>
                <c:pt idx="261" c:formatCode="yyyy/m/d;@">
                  <c:v>45834</c:v>
                </c:pt>
                <c:pt idx="262" c:formatCode="yyyy/m/d;@">
                  <c:v>45841</c:v>
                </c:pt>
                <c:pt idx="263" c:formatCode="yyyy/m/d;@">
                  <c:v>45848</c:v>
                </c:pt>
                <c:pt idx="264" c:formatCode="yyyy/m/d;@">
                  <c:v>45855</c:v>
                </c:pt>
                <c:pt idx="265" c:formatCode="yyyy/m/d;@">
                  <c:v>45862</c:v>
                </c:pt>
                <c:pt idx="266" c:formatCode="yyyy/m/d;@">
                  <c:v>45869</c:v>
                </c:pt>
                <c:pt idx="267" c:formatCode="yyyy/m/d;@">
                  <c:v>45876</c:v>
                </c:pt>
                <c:pt idx="268" c:formatCode="yyyy/m/d;@">
                  <c:v>45883</c:v>
                </c:pt>
                <c:pt idx="269" c:formatCode="yyyy/m/d;@">
                  <c:v>45890</c:v>
                </c:pt>
                <c:pt idx="270" c:formatCode="yyyy/m/d;@">
                  <c:v>45897</c:v>
                </c:pt>
                <c:pt idx="271" c:formatCode="yyyy/m/d;@">
                  <c:v>45904</c:v>
                </c:pt>
                <c:pt idx="272" c:formatCode="yyyy/m/d;@">
                  <c:v>45911</c:v>
                </c:pt>
                <c:pt idx="273" c:formatCode="yyyy/m/d;@">
                  <c:v>45918</c:v>
                </c:pt>
                <c:pt idx="274" c:formatCode="yyyy/m/d;@">
                  <c:v>45925</c:v>
                </c:pt>
                <c:pt idx="275" c:formatCode="yyyy/m/d;@">
                  <c:v>45939</c:v>
                </c:pt>
                <c:pt idx="276" c:formatCode="yyyy/m/d;@">
                  <c:v>45946</c:v>
                </c:pt>
                <c:pt idx="277" c:formatCode="yyyy/m/d;@">
                  <c:v>45953</c:v>
                </c:pt>
                <c:pt idx="278" c:formatCode="yyyy/m/d;@">
                  <c:v>45960</c:v>
                </c:pt>
                <c:pt idx="279" c:formatCode="yyyy/m/d;@">
                  <c:v>45967</c:v>
                </c:pt>
                <c:pt idx="280" c:formatCode="yyyy/m/d;@">
                  <c:v>45974</c:v>
                </c:pt>
                <c:pt idx="281" c:formatCode="yyyy/m/d;@">
                  <c:v>45981</c:v>
                </c:pt>
                <c:pt idx="282" c:formatCode="yyyy/m/d;@">
                  <c:v>45988</c:v>
                </c:pt>
                <c:pt idx="283" c:formatCode="yyyy/m/d;@">
                  <c:v>45995</c:v>
                </c:pt>
                <c:pt idx="284" c:formatCode="yyyy/m/d;@">
                  <c:v>46002</c:v>
                </c:pt>
                <c:pt idx="285" c:formatCode="yyyy/m/d;@">
                  <c:v>46009</c:v>
                </c:pt>
                <c:pt idx="286" c:formatCode="yyyy/m/d;@">
                  <c:v>46016</c:v>
                </c:pt>
                <c:pt idx="287" c:formatCode="yyyy/m/d;@">
                  <c:v>46023</c:v>
                </c:pt>
                <c:pt idx="288" c:formatCode="yyyy/m/d;@">
                  <c:v>46030</c:v>
                </c:pt>
                <c:pt idx="289" c:formatCode="yyyy/m/d;@">
                  <c:v>46037</c:v>
                </c:pt>
                <c:pt idx="290" c:formatCode="yyyy/m/d;@">
                  <c:v>46044</c:v>
                </c:pt>
                <c:pt idx="291" c:formatCode="yyyy/m/d;@">
                  <c:v>46051</c:v>
                </c:pt>
                <c:pt idx="292" c:formatCode="yyyy/m/d;@">
                  <c:v>46058</c:v>
                </c:pt>
                <c:pt idx="293" c:formatCode="yyyy/m/d;@">
                  <c:v>46065</c:v>
                </c:pt>
                <c:pt idx="294" c:formatCode="yyyy/m/d;@">
                  <c:v>46079</c:v>
                </c:pt>
                <c:pt idx="295" c:formatCode="yyyy/m/d;@">
                  <c:v>46086</c:v>
                </c:pt>
                <c:pt idx="296" c:formatCode="yyyy/m/d;@">
                  <c:v>46093</c:v>
                </c:pt>
                <c:pt idx="297" c:formatCode="yyyy/m/d;@">
                  <c:v>46100</c:v>
                </c:pt>
                <c:pt idx="298" c:formatCode="yyyy/m/d;@">
                  <c:v>46107</c:v>
                </c:pt>
                <c:pt idx="299" c:formatCode="yyyy/m/d;@">
                  <c:v>46114</c:v>
                </c:pt>
                <c:pt idx="300" c:formatCode="yyyy/m/d;@">
                  <c:v>46121</c:v>
                </c:pt>
                <c:pt idx="301" c:formatCode="yyyy/m/d;@">
                  <c:v>46128</c:v>
                </c:pt>
                <c:pt idx="302" c:formatCode="yyyy/m/d;@">
                  <c:v>46135</c:v>
                </c:pt>
                <c:pt idx="303" c:formatCode="yyyy/m/d;@">
                  <c:v>46142</c:v>
                </c:pt>
                <c:pt idx="304" c:formatCode="yyyy/m/d;@">
                  <c:v>46149</c:v>
                </c:pt>
                <c:pt idx="305" c:formatCode="yyyy/m/d;@">
                  <c:v>46156</c:v>
                </c:pt>
                <c:pt idx="306" c:formatCode="yyyy/m/d;@">
                  <c:v>46163</c:v>
                </c:pt>
                <c:pt idx="307" c:formatCode="yyyy/m/d;@">
                  <c:v>46170</c:v>
                </c:pt>
                <c:pt idx="308" c:formatCode="yyyy/m/d;@">
                  <c:v>46177</c:v>
                </c:pt>
                <c:pt idx="309" c:formatCode="yyyy/m/d;@">
                  <c:v>46184</c:v>
                </c:pt>
                <c:pt idx="310" c:formatCode="yyyy/m/d;@">
                  <c:v>46191</c:v>
                </c:pt>
                <c:pt idx="311" c:formatCode="yyyy/m/d;@">
                  <c:v>46198</c:v>
                </c:pt>
                <c:pt idx="312" c:formatCode="yyyy/m/d;@">
                  <c:v>46205</c:v>
                </c:pt>
                <c:pt idx="313" c:formatCode="yyyy/m/d;@">
                  <c:v>46212</c:v>
                </c:pt>
                <c:pt idx="314" c:formatCode="yyyy/m/d;@">
                  <c:v>46219</c:v>
                </c:pt>
                <c:pt idx="315" c:formatCode="yyyy/m/d;@">
                  <c:v>46226</c:v>
                </c:pt>
                <c:pt idx="316" c:formatCode="yyyy/m/d;@">
                  <c:v>46233</c:v>
                </c:pt>
                <c:pt idx="317" c:formatCode="yyyy/m/d;@">
                  <c:v>46240</c:v>
                </c:pt>
                <c:pt idx="318" c:formatCode="yyyy/m/d;@">
                  <c:v>46247</c:v>
                </c:pt>
                <c:pt idx="319" c:formatCode="yyyy/m/d;@">
                  <c:v>46254</c:v>
                </c:pt>
                <c:pt idx="320" c:formatCode="yyyy/m/d;@">
                  <c:v>46261</c:v>
                </c:pt>
                <c:pt idx="321" c:formatCode="yyyy/m/d;@">
                  <c:v>46268</c:v>
                </c:pt>
                <c:pt idx="322" c:formatCode="yyyy/m/d;@">
                  <c:v>46275</c:v>
                </c:pt>
                <c:pt idx="323" c:formatCode="yyyy/m/d;@">
                  <c:v>46282</c:v>
                </c:pt>
                <c:pt idx="324" c:formatCode="yyyy/m/d;@">
                  <c:v>46289</c:v>
                </c:pt>
              </c:numCache>
            </c:numRef>
          </c:cat>
          <c:val>
            <c:numRef>
              <c:f>毛白价差!$B$3:$B$395</c:f>
              <c:numCache>
                <c:formatCode>0.00_);[Red]\(0.00\)</c:formatCode>
                <c:ptCount val="393"/>
                <c:pt idx="0">
                  <c:v>41.76</c:v>
                </c:pt>
                <c:pt idx="1">
                  <c:v>40.26</c:v>
                </c:pt>
                <c:pt idx="2">
                  <c:v>36.63</c:v>
                </c:pt>
                <c:pt idx="3">
                  <c:v>36.43</c:v>
                </c:pt>
                <c:pt idx="4">
                  <c:v>38.21</c:v>
                </c:pt>
                <c:pt idx="5">
                  <c:v>41.03</c:v>
                </c:pt>
                <c:pt idx="6">
                  <c:v>41.93</c:v>
                </c:pt>
                <c:pt idx="7">
                  <c:v>44.32</c:v>
                </c:pt>
                <c:pt idx="8">
                  <c:v>45.67</c:v>
                </c:pt>
                <c:pt idx="9">
                  <c:v>46.8</c:v>
                </c:pt>
                <c:pt idx="10">
                  <c:v>49.04</c:v>
                </c:pt>
                <c:pt idx="11">
                  <c:v>49.21</c:v>
                </c:pt>
                <c:pt idx="12">
                  <c:v>47.98</c:v>
                </c:pt>
                <c:pt idx="13">
                  <c:v>48.47</c:v>
                </c:pt>
                <c:pt idx="14">
                  <c:v>48.43</c:v>
                </c:pt>
                <c:pt idx="15">
                  <c:v>47.62</c:v>
                </c:pt>
                <c:pt idx="16">
                  <c:v>47.74</c:v>
                </c:pt>
                <c:pt idx="17">
                  <c:v>47.02</c:v>
                </c:pt>
                <c:pt idx="18">
                  <c:v>46.79</c:v>
                </c:pt>
                <c:pt idx="19">
                  <c:v>46.12</c:v>
                </c:pt>
                <c:pt idx="20">
                  <c:v>44.86</c:v>
                </c:pt>
                <c:pt idx="21">
                  <c:v>42.73</c:v>
                </c:pt>
                <c:pt idx="22">
                  <c:v>43.06</c:v>
                </c:pt>
                <c:pt idx="23">
                  <c:v>41.42</c:v>
                </c:pt>
                <c:pt idx="24">
                  <c:v>38.41</c:v>
                </c:pt>
                <c:pt idx="25">
                  <c:v>36.99</c:v>
                </c:pt>
                <c:pt idx="26">
                  <c:v>35.95</c:v>
                </c:pt>
                <c:pt idx="27">
                  <c:v>36.38</c:v>
                </c:pt>
                <c:pt idx="28">
                  <c:v>36.86</c:v>
                </c:pt>
                <c:pt idx="29">
                  <c:v>37.15</c:v>
                </c:pt>
                <c:pt idx="30">
                  <c:v>37.97</c:v>
                </c:pt>
                <c:pt idx="31">
                  <c:v>41.96</c:v>
                </c:pt>
                <c:pt idx="32">
                  <c:v>41.72</c:v>
                </c:pt>
                <c:pt idx="33">
                  <c:v>43.09</c:v>
                </c:pt>
                <c:pt idx="34">
                  <c:v>43.32</c:v>
                </c:pt>
                <c:pt idx="35">
                  <c:v>45.54</c:v>
                </c:pt>
                <c:pt idx="36">
                  <c:v>46.18</c:v>
                </c:pt>
                <c:pt idx="37">
                  <c:v>46.49</c:v>
                </c:pt>
                <c:pt idx="38">
                  <c:v>44.48</c:v>
                </c:pt>
                <c:pt idx="39">
                  <c:v>42.74</c:v>
                </c:pt>
                <c:pt idx="40">
                  <c:v>40.07</c:v>
                </c:pt>
                <c:pt idx="41">
                  <c:v>37.39</c:v>
                </c:pt>
                <c:pt idx="42">
                  <c:v>33.62</c:v>
                </c:pt>
                <c:pt idx="43">
                  <c:v>35.29</c:v>
                </c:pt>
                <c:pt idx="44">
                  <c:v>35</c:v>
                </c:pt>
                <c:pt idx="45">
                  <c:v>34.27</c:v>
                </c:pt>
                <c:pt idx="46">
                  <c:v>32.93</c:v>
                </c:pt>
                <c:pt idx="47">
                  <c:v>30.49</c:v>
                </c:pt>
                <c:pt idx="48">
                  <c:v>26.42</c:v>
                </c:pt>
                <c:pt idx="49">
                  <c:v>29.98</c:v>
                </c:pt>
                <c:pt idx="50">
                  <c:v>28.87</c:v>
                </c:pt>
                <c:pt idx="51">
                  <c:v>27.11</c:v>
                </c:pt>
                <c:pt idx="52">
                  <c:v>26.18</c:v>
                </c:pt>
                <c:pt idx="53">
                  <c:v>23.94</c:v>
                </c:pt>
                <c:pt idx="54">
                  <c:v>23.15</c:v>
                </c:pt>
                <c:pt idx="55">
                  <c:v>22.37</c:v>
                </c:pt>
                <c:pt idx="56">
                  <c:v>21.18</c:v>
                </c:pt>
                <c:pt idx="57">
                  <c:v>19.79</c:v>
                </c:pt>
                <c:pt idx="58">
                  <c:v>18.62</c:v>
                </c:pt>
                <c:pt idx="59">
                  <c:v>16.67</c:v>
                </c:pt>
                <c:pt idx="60">
                  <c:v>21.71</c:v>
                </c:pt>
                <c:pt idx="61">
                  <c:v>20.83</c:v>
                </c:pt>
                <c:pt idx="62">
                  <c:v>19.91</c:v>
                </c:pt>
                <c:pt idx="63">
                  <c:v>20.77</c:v>
                </c:pt>
                <c:pt idx="64">
                  <c:v>20.13</c:v>
                </c:pt>
                <c:pt idx="65">
                  <c:v>19.64</c:v>
                </c:pt>
                <c:pt idx="66">
                  <c:v>19.03</c:v>
                </c:pt>
                <c:pt idx="67">
                  <c:v>18.9</c:v>
                </c:pt>
                <c:pt idx="68">
                  <c:v>18.39</c:v>
                </c:pt>
                <c:pt idx="69">
                  <c:v>18.14</c:v>
                </c:pt>
                <c:pt idx="70">
                  <c:v>17.52</c:v>
                </c:pt>
                <c:pt idx="71">
                  <c:v>16.61</c:v>
                </c:pt>
                <c:pt idx="72">
                  <c:v>15.7</c:v>
                </c:pt>
                <c:pt idx="73">
                  <c:v>14.23</c:v>
                </c:pt>
                <c:pt idx="74">
                  <c:v>14.04</c:v>
                </c:pt>
                <c:pt idx="75">
                  <c:v>17.88</c:v>
                </c:pt>
                <c:pt idx="76">
                  <c:v>19.1</c:v>
                </c:pt>
                <c:pt idx="77">
                  <c:v>21.88</c:v>
                </c:pt>
                <c:pt idx="78">
                  <c:v>21.68</c:v>
                </c:pt>
                <c:pt idx="79">
                  <c:v>22.97</c:v>
                </c:pt>
                <c:pt idx="80">
                  <c:v>23.26</c:v>
                </c:pt>
                <c:pt idx="81">
                  <c:v>24.17</c:v>
                </c:pt>
                <c:pt idx="82">
                  <c:v>23.92</c:v>
                </c:pt>
                <c:pt idx="83">
                  <c:v>22.78</c:v>
                </c:pt>
                <c:pt idx="84">
                  <c:v>21.57</c:v>
                </c:pt>
                <c:pt idx="85">
                  <c:v>20.73</c:v>
                </c:pt>
                <c:pt idx="86">
                  <c:v>21.49</c:v>
                </c:pt>
                <c:pt idx="87">
                  <c:v>20.01</c:v>
                </c:pt>
                <c:pt idx="88">
                  <c:v>19.01</c:v>
                </c:pt>
                <c:pt idx="89">
                  <c:v>18.9</c:v>
                </c:pt>
                <c:pt idx="90">
                  <c:v>18.79</c:v>
                </c:pt>
                <c:pt idx="91">
                  <c:v>17.02</c:v>
                </c:pt>
                <c:pt idx="92">
                  <c:v>15.81</c:v>
                </c:pt>
                <c:pt idx="93">
                  <c:v>15.99</c:v>
                </c:pt>
                <c:pt idx="94">
                  <c:v>15.94</c:v>
                </c:pt>
                <c:pt idx="95">
                  <c:v>15.74</c:v>
                </c:pt>
                <c:pt idx="96">
                  <c:v>15.48</c:v>
                </c:pt>
                <c:pt idx="97">
                  <c:v>16.19</c:v>
                </c:pt>
                <c:pt idx="98">
                  <c:v>16.62</c:v>
                </c:pt>
                <c:pt idx="99">
                  <c:v>16.93</c:v>
                </c:pt>
                <c:pt idx="100">
                  <c:v>16.72</c:v>
                </c:pt>
                <c:pt idx="101">
                  <c:v>18.45</c:v>
                </c:pt>
                <c:pt idx="102">
                  <c:v>19.38</c:v>
                </c:pt>
                <c:pt idx="103">
                  <c:v>19.79</c:v>
                </c:pt>
                <c:pt idx="104">
                  <c:v>20.12</c:v>
                </c:pt>
                <c:pt idx="105">
                  <c:v>20.57</c:v>
                </c:pt>
                <c:pt idx="106">
                  <c:v>20.6</c:v>
                </c:pt>
                <c:pt idx="107">
                  <c:v>20.71</c:v>
                </c:pt>
                <c:pt idx="108">
                  <c:v>20.61</c:v>
                </c:pt>
                <c:pt idx="109">
                  <c:v>21.22</c:v>
                </c:pt>
                <c:pt idx="110">
                  <c:v>22.63</c:v>
                </c:pt>
                <c:pt idx="111">
                  <c:v>25.07</c:v>
                </c:pt>
                <c:pt idx="112">
                  <c:v>28.86</c:v>
                </c:pt>
                <c:pt idx="113">
                  <c:v>30.33</c:v>
                </c:pt>
                <c:pt idx="114">
                  <c:v>29.27</c:v>
                </c:pt>
                <c:pt idx="115">
                  <c:v>27.72</c:v>
                </c:pt>
                <c:pt idx="116">
                  <c:v>27.83</c:v>
                </c:pt>
                <c:pt idx="117">
                  <c:v>27.42</c:v>
                </c:pt>
                <c:pt idx="118">
                  <c:v>27.13</c:v>
                </c:pt>
                <c:pt idx="119">
                  <c:v>28.24</c:v>
                </c:pt>
                <c:pt idx="120">
                  <c:v>30.37</c:v>
                </c:pt>
                <c:pt idx="121">
                  <c:v>30.31</c:v>
                </c:pt>
                <c:pt idx="122">
                  <c:v>30.23</c:v>
                </c:pt>
                <c:pt idx="123">
                  <c:v>30.62</c:v>
                </c:pt>
                <c:pt idx="124">
                  <c:v>30.88</c:v>
                </c:pt>
                <c:pt idx="125">
                  <c:v>32.82</c:v>
                </c:pt>
                <c:pt idx="126">
                  <c:v>34.36</c:v>
                </c:pt>
                <c:pt idx="127">
                  <c:v>36.09</c:v>
                </c:pt>
                <c:pt idx="128">
                  <c:v>35.13</c:v>
                </c:pt>
                <c:pt idx="129">
                  <c:v>33.7</c:v>
                </c:pt>
                <c:pt idx="130">
                  <c:v>32.05</c:v>
                </c:pt>
                <c:pt idx="131">
                  <c:v>31.02</c:v>
                </c:pt>
                <c:pt idx="132">
                  <c:v>29.46</c:v>
                </c:pt>
                <c:pt idx="133">
                  <c:v>28.6</c:v>
                </c:pt>
                <c:pt idx="134">
                  <c:v>29.06</c:v>
                </c:pt>
                <c:pt idx="135">
                  <c:v>26.21</c:v>
                </c:pt>
                <c:pt idx="136">
                  <c:v>22.82</c:v>
                </c:pt>
                <c:pt idx="137">
                  <c:v>23.1</c:v>
                </c:pt>
                <c:pt idx="138">
                  <c:v>21.42</c:v>
                </c:pt>
                <c:pt idx="139">
                  <c:v>19.95</c:v>
                </c:pt>
                <c:pt idx="140">
                  <c:v>18.98</c:v>
                </c:pt>
                <c:pt idx="141">
                  <c:v>18.23</c:v>
                </c:pt>
                <c:pt idx="142">
                  <c:v>18.69</c:v>
                </c:pt>
                <c:pt idx="143">
                  <c:v>19.73</c:v>
                </c:pt>
                <c:pt idx="144">
                  <c:v>20.13</c:v>
                </c:pt>
                <c:pt idx="145">
                  <c:v>19.94</c:v>
                </c:pt>
                <c:pt idx="146">
                  <c:v>19.39</c:v>
                </c:pt>
                <c:pt idx="147">
                  <c:v>19.22</c:v>
                </c:pt>
                <c:pt idx="148">
                  <c:v>18.84</c:v>
                </c:pt>
                <c:pt idx="149">
                  <c:v>18.44</c:v>
                </c:pt>
                <c:pt idx="150">
                  <c:v>18</c:v>
                </c:pt>
                <c:pt idx="151">
                  <c:v>17.77</c:v>
                </c:pt>
                <c:pt idx="152">
                  <c:v>18.49</c:v>
                </c:pt>
                <c:pt idx="153">
                  <c:v>18.46</c:v>
                </c:pt>
                <c:pt idx="154">
                  <c:v>18.28</c:v>
                </c:pt>
                <c:pt idx="155">
                  <c:v>18.05</c:v>
                </c:pt>
                <c:pt idx="156">
                  <c:v>18.38</c:v>
                </c:pt>
                <c:pt idx="157">
                  <c:v>18.44</c:v>
                </c:pt>
                <c:pt idx="158">
                  <c:v>18.32</c:v>
                </c:pt>
                <c:pt idx="159">
                  <c:v>18.25</c:v>
                </c:pt>
                <c:pt idx="160">
                  <c:v>18.44</c:v>
                </c:pt>
                <c:pt idx="161">
                  <c:v>17.96</c:v>
                </c:pt>
                <c:pt idx="162">
                  <c:v>18.13</c:v>
                </c:pt>
                <c:pt idx="163">
                  <c:v>18.04</c:v>
                </c:pt>
                <c:pt idx="164">
                  <c:v>18.01</c:v>
                </c:pt>
                <c:pt idx="165">
                  <c:v>18.99</c:v>
                </c:pt>
                <c:pt idx="166">
                  <c:v>21.17</c:v>
                </c:pt>
                <c:pt idx="167">
                  <c:v>22.23</c:v>
                </c:pt>
                <c:pt idx="168">
                  <c:v>22.08</c:v>
                </c:pt>
                <c:pt idx="169">
                  <c:v>21.79</c:v>
                </c:pt>
                <c:pt idx="170">
                  <c:v>21.76</c:v>
                </c:pt>
                <c:pt idx="171">
                  <c:v>21.54</c:v>
                </c:pt>
                <c:pt idx="172">
                  <c:v>21.27</c:v>
                </c:pt>
                <c:pt idx="173">
                  <c:v>21.06</c:v>
                </c:pt>
                <c:pt idx="174">
                  <c:v>20.76</c:v>
                </c:pt>
                <c:pt idx="175">
                  <c:v>20.47</c:v>
                </c:pt>
                <c:pt idx="176">
                  <c:v>20.03</c:v>
                </c:pt>
                <c:pt idx="177">
                  <c:v>19.86</c:v>
                </c:pt>
                <c:pt idx="178">
                  <c:v>19.42</c:v>
                </c:pt>
                <c:pt idx="179">
                  <c:v>18.83</c:v>
                </c:pt>
                <c:pt idx="180">
                  <c:v>18.86</c:v>
                </c:pt>
                <c:pt idx="181">
                  <c:v>18.52</c:v>
                </c:pt>
                <c:pt idx="182">
                  <c:v>18.87</c:v>
                </c:pt>
                <c:pt idx="183">
                  <c:v>18.14</c:v>
                </c:pt>
                <c:pt idx="184">
                  <c:v>18.26</c:v>
                </c:pt>
                <c:pt idx="185">
                  <c:v>18.49</c:v>
                </c:pt>
                <c:pt idx="186">
                  <c:v>19.12</c:v>
                </c:pt>
                <c:pt idx="187">
                  <c:v>19.03</c:v>
                </c:pt>
                <c:pt idx="188">
                  <c:v>18.58</c:v>
                </c:pt>
                <c:pt idx="189">
                  <c:v>18.2</c:v>
                </c:pt>
                <c:pt idx="190">
                  <c:v>18.19</c:v>
                </c:pt>
                <c:pt idx="191">
                  <c:v>18.97</c:v>
                </c:pt>
                <c:pt idx="192">
                  <c:v>20.93</c:v>
                </c:pt>
                <c:pt idx="193">
                  <c:v>18.67</c:v>
                </c:pt>
                <c:pt idx="194">
                  <c:v>18.25</c:v>
                </c:pt>
                <c:pt idx="195">
                  <c:v>18.4</c:v>
                </c:pt>
                <c:pt idx="196">
                  <c:v>18.61</c:v>
                </c:pt>
                <c:pt idx="197">
                  <c:v>19.05</c:v>
                </c:pt>
                <c:pt idx="198">
                  <c:v>19.62</c:v>
                </c:pt>
                <c:pt idx="199">
                  <c:v>19.64</c:v>
                </c:pt>
                <c:pt idx="200">
                  <c:v>19.56</c:v>
                </c:pt>
                <c:pt idx="201">
                  <c:v>19.46</c:v>
                </c:pt>
                <c:pt idx="202">
                  <c:v>19.35</c:v>
                </c:pt>
                <c:pt idx="203">
                  <c:v>19.29</c:v>
                </c:pt>
                <c:pt idx="204">
                  <c:v>19.39</c:v>
                </c:pt>
                <c:pt idx="205">
                  <c:v>19.61</c:v>
                </c:pt>
                <c:pt idx="206">
                  <c:v>20.57</c:v>
                </c:pt>
                <c:pt idx="207">
                  <c:v>22.44</c:v>
                </c:pt>
                <c:pt idx="208">
                  <c:v>23.65</c:v>
                </c:pt>
                <c:pt idx="209">
                  <c:v>24.31</c:v>
                </c:pt>
                <c:pt idx="210">
                  <c:v>23.82</c:v>
                </c:pt>
                <c:pt idx="211">
                  <c:v>22.85</c:v>
                </c:pt>
                <c:pt idx="212">
                  <c:v>23.21</c:v>
                </c:pt>
                <c:pt idx="213">
                  <c:v>23.92</c:v>
                </c:pt>
                <c:pt idx="214">
                  <c:v>24.48</c:v>
                </c:pt>
                <c:pt idx="215">
                  <c:v>24.74</c:v>
                </c:pt>
                <c:pt idx="216">
                  <c:v>25.09</c:v>
                </c:pt>
                <c:pt idx="217">
                  <c:v>25.87</c:v>
                </c:pt>
                <c:pt idx="218">
                  <c:v>27.05</c:v>
                </c:pt>
                <c:pt idx="219">
                  <c:v>26.74</c:v>
                </c:pt>
                <c:pt idx="220">
                  <c:v>25.56</c:v>
                </c:pt>
                <c:pt idx="221">
                  <c:v>25.37</c:v>
                </c:pt>
                <c:pt idx="222">
                  <c:v>25.34</c:v>
                </c:pt>
                <c:pt idx="223">
                  <c:v>24.82</c:v>
                </c:pt>
                <c:pt idx="224">
                  <c:v>23.95</c:v>
                </c:pt>
                <c:pt idx="225">
                  <c:v>23.24</c:v>
                </c:pt>
                <c:pt idx="226">
                  <c:v>22.97</c:v>
                </c:pt>
                <c:pt idx="227">
                  <c:v>22.47</c:v>
                </c:pt>
                <c:pt idx="228">
                  <c:v>22.46</c:v>
                </c:pt>
                <c:pt idx="229">
                  <c:v>22.16</c:v>
                </c:pt>
                <c:pt idx="230">
                  <c:v>21.65</c:v>
                </c:pt>
                <c:pt idx="231">
                  <c:v>21.28</c:v>
                </c:pt>
                <c:pt idx="232">
                  <c:v>21.56</c:v>
                </c:pt>
                <c:pt idx="233">
                  <c:v>21.26</c:v>
                </c:pt>
                <c:pt idx="234">
                  <c:v>20.8</c:v>
                </c:pt>
                <c:pt idx="235">
                  <c:v>20.96</c:v>
                </c:pt>
                <c:pt idx="236">
                  <c:v>20.73</c:v>
                </c:pt>
                <c:pt idx="237">
                  <c:v>21.04</c:v>
                </c:pt>
                <c:pt idx="238">
                  <c:v>21.45</c:v>
                </c:pt>
                <c:pt idx="239">
                  <c:v>21.06</c:v>
                </c:pt>
                <c:pt idx="240">
                  <c:v>21.05</c:v>
                </c:pt>
                <c:pt idx="241">
                  <c:v>21.62</c:v>
                </c:pt>
                <c:pt idx="242">
                  <c:v>19.43</c:v>
                </c:pt>
                <c:pt idx="243">
                  <c:v>19.45</c:v>
                </c:pt>
                <c:pt idx="244">
                  <c:v>19.21</c:v>
                </c:pt>
                <c:pt idx="245">
                  <c:v>18.97</c:v>
                </c:pt>
                <c:pt idx="246">
                  <c:v>19.07</c:v>
                </c:pt>
                <c:pt idx="247">
                  <c:v>19.15</c:v>
                </c:pt>
                <c:pt idx="248">
                  <c:v>19.07</c:v>
                </c:pt>
                <c:pt idx="249">
                  <c:v>19.01</c:v>
                </c:pt>
                <c:pt idx="250">
                  <c:v>19</c:v>
                </c:pt>
                <c:pt idx="251">
                  <c:v>19.19</c:v>
                </c:pt>
                <c:pt idx="252">
                  <c:v>19.29</c:v>
                </c:pt>
                <c:pt idx="253">
                  <c:v>19.18</c:v>
                </c:pt>
                <c:pt idx="254">
                  <c:v>19.19</c:v>
                </c:pt>
                <c:pt idx="255">
                  <c:v>19.12</c:v>
                </c:pt>
                <c:pt idx="256">
                  <c:v>18.87</c:v>
                </c:pt>
                <c:pt idx="257">
                  <c:v>18.74</c:v>
                </c:pt>
                <c:pt idx="258">
                  <c:v>18.65</c:v>
                </c:pt>
                <c:pt idx="259">
                  <c:v>18.21</c:v>
                </c:pt>
                <c:pt idx="260">
                  <c:v>18.43</c:v>
                </c:pt>
                <c:pt idx="261">
                  <c:v>18.77</c:v>
                </c:pt>
                <c:pt idx="262">
                  <c:v>19.51</c:v>
                </c:pt>
                <c:pt idx="263">
                  <c:v>19.74</c:v>
                </c:pt>
                <c:pt idx="264">
                  <c:v>19.31</c:v>
                </c:pt>
                <c:pt idx="265">
                  <c:v>18.96</c:v>
                </c:pt>
                <c:pt idx="266">
                  <c:v>18.6</c:v>
                </c:pt>
                <c:pt idx="267">
                  <c:v>18.34</c:v>
                </c:pt>
                <c:pt idx="268">
                  <c:v>17.96</c:v>
                </c:pt>
                <c:pt idx="269">
                  <c:v>17.72</c:v>
                </c:pt>
                <c:pt idx="270">
                  <c:v>17.71</c:v>
                </c:pt>
                <c:pt idx="271">
                  <c:v>17.97</c:v>
                </c:pt>
                <c:pt idx="272">
                  <c:v>17.54</c:v>
                </c:pt>
                <c:pt idx="273">
                  <c:v>17.1</c:v>
                </c:pt>
                <c:pt idx="274">
                  <c:v>16.68</c:v>
                </c:pt>
                <c:pt idx="275">
                  <c:v>15.86</c:v>
                </c:pt>
                <c:pt idx="276">
                  <c:v>14.93</c:v>
                </c:pt>
                <c:pt idx="277">
                  <c:v>15.2</c:v>
                </c:pt>
                <c:pt idx="278">
                  <c:v>16.32</c:v>
                </c:pt>
                <c:pt idx="279">
                  <c:v>16.34</c:v>
                </c:pt>
                <c:pt idx="280">
                  <c:v>15.92</c:v>
                </c:pt>
                <c:pt idx="281">
                  <c:v>15.51</c:v>
                </c:pt>
                <c:pt idx="282">
                  <c:v>15.24</c:v>
                </c:pt>
                <c:pt idx="283">
                  <c:v>14.99</c:v>
                </c:pt>
                <c:pt idx="284">
                  <c:v>14.86</c:v>
                </c:pt>
                <c:pt idx="285">
                  <c:v>15.17</c:v>
                </c:pt>
                <c:pt idx="286">
                  <c:v>15.22</c:v>
                </c:pt>
                <c:pt idx="287">
                  <c:v>16.28</c:v>
                </c:pt>
                <c:pt idx="288">
                  <c:v>16.34</c:v>
                </c:pt>
                <c:pt idx="289">
                  <c:v>16.65</c:v>
                </c:pt>
                <c:pt idx="290">
                  <c:v>17.15</c:v>
                </c:pt>
                <c:pt idx="291">
                  <c:v>16.9</c:v>
                </c:pt>
                <c:pt idx="292">
                  <c:v>16.37</c:v>
                </c:pt>
                <c:pt idx="293">
                  <c:v>15.8</c:v>
                </c:pt>
                <c:pt idx="294">
                  <c:v>15.03</c:v>
                </c:pt>
                <c:pt idx="295">
                  <c:v>13.77</c:v>
                </c:pt>
                <c:pt idx="296">
                  <c:v>13.28</c:v>
                </c:pt>
                <c:pt idx="297">
                  <c:v>13.02</c:v>
                </c:pt>
                <c:pt idx="298">
                  <c:v>12.69</c:v>
                </c:pt>
                <c:pt idx="299">
                  <c:v>12.35</c:v>
                </c:pt>
                <c:pt idx="300">
                  <c:v>11.71</c:v>
                </c:pt>
                <c:pt idx="301">
                  <c:v>11.57</c:v>
                </c:pt>
                <c:pt idx="302">
                  <c:v>12.57</c:v>
                </c:pt>
                <c:pt idx="303">
                  <c:v>12.76</c:v>
                </c:pt>
                <c:pt idx="304">
                  <c:v>12.58</c:v>
                </c:pt>
                <c:pt idx="305">
                  <c:v>12.47</c:v>
                </c:pt>
                <c:pt idx="306">
                  <c:v>12.39</c:v>
                </c:pt>
                <c:pt idx="307">
                  <c:v>12.48</c:v>
                </c:pt>
                <c:pt idx="308">
                  <c:v>12.45</c:v>
                </c:pt>
                <c:pt idx="309">
                  <c:v>12.4</c:v>
                </c:pt>
                <c:pt idx="310">
                  <c:v>12.45</c:v>
                </c:pt>
                <c:pt idx="311">
                  <c:v>12.46</c:v>
                </c:pt>
                <c:pt idx="312">
                  <c:v>12.95</c:v>
                </c:pt>
                <c:pt idx="313">
                  <c:v>14.17</c:v>
                </c:pt>
                <c:pt idx="314">
                  <c:v>14.31</c:v>
                </c:pt>
                <c:pt idx="315">
                  <c:v>14.01</c:v>
                </c:pt>
                <c:pt idx="316">
                  <c:v>13.64</c:v>
                </c:pt>
                <c:pt idx="317">
                  <c:v>13.57</c:v>
                </c:pt>
                <c:pt idx="318">
                  <c:v>13.85</c:v>
                </c:pt>
                <c:pt idx="319">
                  <c:v>14.26</c:v>
                </c:pt>
                <c:pt idx="320">
                  <c:v>14.25</c:v>
                </c:pt>
                <c:pt idx="321">
                  <c:v>14.24</c:v>
                </c:pt>
                <c:pt idx="322">
                  <c:v>14.24</c:v>
                </c:pt>
                <c:pt idx="323">
                  <c:v>14.04</c:v>
                </c:pt>
                <c:pt idx="324">
                  <c:v>13.91</c:v>
                </c:pt>
              </c:numCache>
            </c:numRef>
          </c:val>
        </c:ser>
        <c:ser>
          <c:idx val="1"/>
          <c:order val="1"/>
          <c:tx>
            <c:strRef>
              <c:f>毛白价差!$C$2</c:f>
              <c:strCache>
                <c:ptCount val="1"/>
                <c:pt idx="0">
                  <c:v>生猪出栏价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/>
          </c:spPr>
          <c:invertIfNegative val="0"/>
          <c:dLbls>
            <c:delete val="1"/>
          </c:dLbls>
          <c:cat>
            <c:numRef>
              <c:f>毛白价差!$A$3:$A$395</c:f>
              <c:numCache>
                <c:formatCode>yyyy/m/d;@</c:formatCode>
                <c:ptCount val="393"/>
                <c:pt idx="0" c:formatCode="yyyy/m/d;@">
                  <c:v>43951</c:v>
                </c:pt>
                <c:pt idx="1" c:formatCode="yyyy/m/d;@">
                  <c:v>43958</c:v>
                </c:pt>
                <c:pt idx="2" c:formatCode="yyyy/m/d;@">
                  <c:v>43965</c:v>
                </c:pt>
                <c:pt idx="3" c:formatCode="yyyy/m/d;@">
                  <c:v>43972</c:v>
                </c:pt>
                <c:pt idx="4" c:formatCode="yyyy/m/d;@">
                  <c:v>43979</c:v>
                </c:pt>
                <c:pt idx="5" c:formatCode="yyyy/m/d;@">
                  <c:v>43986</c:v>
                </c:pt>
                <c:pt idx="6" c:formatCode="yyyy/m/d;@">
                  <c:v>43993</c:v>
                </c:pt>
                <c:pt idx="7" c:formatCode="yyyy/m/d;@">
                  <c:v>44000</c:v>
                </c:pt>
                <c:pt idx="8" c:formatCode="yyyy/m/d;@">
                  <c:v>44007</c:v>
                </c:pt>
                <c:pt idx="9" c:formatCode="yyyy/m/d;@">
                  <c:v>44014</c:v>
                </c:pt>
                <c:pt idx="10" c:formatCode="yyyy/m/d;@">
                  <c:v>44021</c:v>
                </c:pt>
                <c:pt idx="11" c:formatCode="yyyy/m/d;@">
                  <c:v>44028</c:v>
                </c:pt>
                <c:pt idx="12" c:formatCode="yyyy/m/d;@">
                  <c:v>44035</c:v>
                </c:pt>
                <c:pt idx="13" c:formatCode="yyyy/m/d;@">
                  <c:v>44042</c:v>
                </c:pt>
                <c:pt idx="14" c:formatCode="yyyy/m/d;@">
                  <c:v>44049</c:v>
                </c:pt>
                <c:pt idx="15" c:formatCode="yyyy/m/d;@">
                  <c:v>44056</c:v>
                </c:pt>
                <c:pt idx="16" c:formatCode="yyyy/m/d;@">
                  <c:v>44063</c:v>
                </c:pt>
                <c:pt idx="17" c:formatCode="yyyy/m/d;@">
                  <c:v>44070</c:v>
                </c:pt>
                <c:pt idx="18" c:formatCode="yyyy/m/d;@">
                  <c:v>44077</c:v>
                </c:pt>
                <c:pt idx="19" c:formatCode="yyyy/m/d;@">
                  <c:v>44084</c:v>
                </c:pt>
                <c:pt idx="20" c:formatCode="yyyy/m/d;@">
                  <c:v>44091</c:v>
                </c:pt>
                <c:pt idx="21" c:formatCode="yyyy/m/d;@">
                  <c:v>44098</c:v>
                </c:pt>
                <c:pt idx="22" c:formatCode="yyyy/m/d;@">
                  <c:v>44104</c:v>
                </c:pt>
                <c:pt idx="23" c:formatCode="yyyy/m/d;@">
                  <c:v>44112</c:v>
                </c:pt>
                <c:pt idx="24" c:formatCode="yyyy/m/d;@">
                  <c:v>44119</c:v>
                </c:pt>
                <c:pt idx="25" c:formatCode="yyyy/m/d;@">
                  <c:v>44126</c:v>
                </c:pt>
                <c:pt idx="26" c:formatCode="yyyy/m/d;@">
                  <c:v>44133</c:v>
                </c:pt>
                <c:pt idx="27" c:formatCode="yyyy/m/d;@">
                  <c:v>44140</c:v>
                </c:pt>
                <c:pt idx="28" c:formatCode="yyyy/m/d;@">
                  <c:v>44147</c:v>
                </c:pt>
                <c:pt idx="29" c:formatCode="yyyy/m/d;@">
                  <c:v>44154</c:v>
                </c:pt>
                <c:pt idx="30" c:formatCode="yyyy/m/d;@">
                  <c:v>44161</c:v>
                </c:pt>
                <c:pt idx="31" c:formatCode="yyyy/m/d;@">
                  <c:v>44168</c:v>
                </c:pt>
                <c:pt idx="32" c:formatCode="yyyy/m/d;@">
                  <c:v>44175</c:v>
                </c:pt>
                <c:pt idx="33" c:formatCode="yyyy/m/d;@">
                  <c:v>44182</c:v>
                </c:pt>
                <c:pt idx="34" c:formatCode="yyyy/m/d;@">
                  <c:v>44189</c:v>
                </c:pt>
                <c:pt idx="35" c:formatCode="yyyy/m/d;@">
                  <c:v>44196</c:v>
                </c:pt>
                <c:pt idx="36" c:formatCode="yyyy/m/d;@">
                  <c:v>44203</c:v>
                </c:pt>
                <c:pt idx="37" c:formatCode="yyyy/m/d;@">
                  <c:v>44210</c:v>
                </c:pt>
                <c:pt idx="38" c:formatCode="yyyy/m/d;@">
                  <c:v>44217</c:v>
                </c:pt>
                <c:pt idx="39" c:formatCode="yyyy/m/d;@">
                  <c:v>44224</c:v>
                </c:pt>
                <c:pt idx="40" c:formatCode="yyyy/m/d;@">
                  <c:v>44231</c:v>
                </c:pt>
                <c:pt idx="41" c:formatCode="yyyy/m/d;@">
                  <c:v>44245</c:v>
                </c:pt>
                <c:pt idx="42" c:formatCode="yyyy/m/d;@">
                  <c:v>44252</c:v>
                </c:pt>
                <c:pt idx="43" c:formatCode="yyyy/m/d;@">
                  <c:v>44259</c:v>
                </c:pt>
                <c:pt idx="44" c:formatCode="yyyy/m/d;@">
                  <c:v>44266</c:v>
                </c:pt>
                <c:pt idx="45" c:formatCode="yyyy/m/d;@">
                  <c:v>44273</c:v>
                </c:pt>
                <c:pt idx="46" c:formatCode="yyyy/m/d;@">
                  <c:v>44280</c:v>
                </c:pt>
                <c:pt idx="47" c:formatCode="yyyy/m/d;@">
                  <c:v>44287</c:v>
                </c:pt>
                <c:pt idx="48" c:formatCode="yyyy/m/d;@">
                  <c:v>44294</c:v>
                </c:pt>
                <c:pt idx="49" c:formatCode="yyyy/m/d;@">
                  <c:v>44301</c:v>
                </c:pt>
                <c:pt idx="50" c:formatCode="yyyy/m/d;@">
                  <c:v>44308</c:v>
                </c:pt>
                <c:pt idx="51" c:formatCode="yyyy/m/d;@">
                  <c:v>44315</c:v>
                </c:pt>
                <c:pt idx="52" c:formatCode="yyyy/m/d;@">
                  <c:v>44322</c:v>
                </c:pt>
                <c:pt idx="53" c:formatCode="yyyy/m/d;@">
                  <c:v>44329</c:v>
                </c:pt>
                <c:pt idx="54" c:formatCode="yyyy/m/d;@">
                  <c:v>44336</c:v>
                </c:pt>
                <c:pt idx="55" c:formatCode="yyyy/m/d;@">
                  <c:v>44343</c:v>
                </c:pt>
                <c:pt idx="56" c:formatCode="yyyy/m/d;@">
                  <c:v>44350</c:v>
                </c:pt>
                <c:pt idx="57" c:formatCode="yyyy/m/d;@">
                  <c:v>44357</c:v>
                </c:pt>
                <c:pt idx="58" c:formatCode="yyyy/m/d;@">
                  <c:v>44364</c:v>
                </c:pt>
                <c:pt idx="59" c:formatCode="yyyy/m/d;@">
                  <c:v>44371</c:v>
                </c:pt>
                <c:pt idx="60" c:formatCode="yyyy/m/d;@">
                  <c:v>44378</c:v>
                </c:pt>
                <c:pt idx="61" c:formatCode="yyyy/m/d;@">
                  <c:v>44385</c:v>
                </c:pt>
                <c:pt idx="62" c:formatCode="yyyy/m/d;@">
                  <c:v>44392</c:v>
                </c:pt>
                <c:pt idx="63" c:formatCode="yyyy/m/d;@">
                  <c:v>44399</c:v>
                </c:pt>
                <c:pt idx="64" c:formatCode="yyyy/m/d;@">
                  <c:v>44406</c:v>
                </c:pt>
                <c:pt idx="65" c:formatCode="yyyy/m/d;@">
                  <c:v>44413</c:v>
                </c:pt>
                <c:pt idx="66" c:formatCode="yyyy/m/d;@">
                  <c:v>44420</c:v>
                </c:pt>
                <c:pt idx="67" c:formatCode="yyyy/m/d;@">
                  <c:v>44427</c:v>
                </c:pt>
                <c:pt idx="68" c:formatCode="yyyy/m/d;@">
                  <c:v>44434</c:v>
                </c:pt>
                <c:pt idx="69" c:formatCode="yyyy/m/d;@">
                  <c:v>44441</c:v>
                </c:pt>
                <c:pt idx="70" c:formatCode="yyyy/m/d;@">
                  <c:v>44448</c:v>
                </c:pt>
                <c:pt idx="71" c:formatCode="yyyy/m/d;@">
                  <c:v>44455</c:v>
                </c:pt>
                <c:pt idx="72" c:formatCode="yyyy/m/d;@">
                  <c:v>44462</c:v>
                </c:pt>
                <c:pt idx="73" c:formatCode="yyyy/m/d;@">
                  <c:v>44469</c:v>
                </c:pt>
                <c:pt idx="74" c:formatCode="yyyy/m/d;@">
                  <c:v>44477</c:v>
                </c:pt>
                <c:pt idx="75" c:formatCode="yyyy/m/d;@">
                  <c:v>44483</c:v>
                </c:pt>
                <c:pt idx="76" c:formatCode="yyyy/m/d;@">
                  <c:v>44490</c:v>
                </c:pt>
                <c:pt idx="77" c:formatCode="yyyy/m/d;@">
                  <c:v>44497</c:v>
                </c:pt>
                <c:pt idx="78" c:formatCode="yyyy/m/d;@">
                  <c:v>44504</c:v>
                </c:pt>
                <c:pt idx="79" c:formatCode="yyyy/m/d;@">
                  <c:v>44511</c:v>
                </c:pt>
                <c:pt idx="80" c:formatCode="yyyy/m/d;@">
                  <c:v>44518</c:v>
                </c:pt>
                <c:pt idx="81" c:formatCode="yyyy/m/d;@">
                  <c:v>44525</c:v>
                </c:pt>
                <c:pt idx="82" c:formatCode="yyyy/m/d;@">
                  <c:v>44532</c:v>
                </c:pt>
                <c:pt idx="83" c:formatCode="yyyy/m/d;@">
                  <c:v>44539</c:v>
                </c:pt>
                <c:pt idx="84" c:formatCode="yyyy/m/d;@">
                  <c:v>44546</c:v>
                </c:pt>
                <c:pt idx="85" c:formatCode="yyyy/m/d;@">
                  <c:v>44553</c:v>
                </c:pt>
                <c:pt idx="86" c:formatCode="yyyy/m/d;@">
                  <c:v>44560</c:v>
                </c:pt>
                <c:pt idx="87" c:formatCode="yyyy/m/d;@">
                  <c:v>44567</c:v>
                </c:pt>
                <c:pt idx="88" c:formatCode="yyyy/m/d;@">
                  <c:v>44574</c:v>
                </c:pt>
                <c:pt idx="89" c:formatCode="yyyy/m/d;@">
                  <c:v>44581</c:v>
                </c:pt>
                <c:pt idx="90" c:formatCode="yyyy/m/d;@">
                  <c:v>44587</c:v>
                </c:pt>
                <c:pt idx="91" c:formatCode="yyyy/m/d;@">
                  <c:v>44602</c:v>
                </c:pt>
                <c:pt idx="92" c:formatCode="yyyy/m/d;@">
                  <c:v>44609</c:v>
                </c:pt>
                <c:pt idx="93" c:formatCode="yyyy/m/d;@">
                  <c:v>44616</c:v>
                </c:pt>
                <c:pt idx="94" c:formatCode="yyyy/m/d;@">
                  <c:v>44623</c:v>
                </c:pt>
                <c:pt idx="95" c:formatCode="yyyy/m/d;@">
                  <c:v>44630</c:v>
                </c:pt>
                <c:pt idx="96" c:formatCode="yyyy/m/d;@">
                  <c:v>44637</c:v>
                </c:pt>
                <c:pt idx="97" c:formatCode="yyyy/m/d;@">
                  <c:v>44644</c:v>
                </c:pt>
                <c:pt idx="98" c:formatCode="yyyy/m/d;@">
                  <c:v>44651</c:v>
                </c:pt>
                <c:pt idx="99" c:formatCode="yyyy/m/d;@">
                  <c:v>44658</c:v>
                </c:pt>
                <c:pt idx="100" c:formatCode="yyyy/m/d;@">
                  <c:v>44665</c:v>
                </c:pt>
                <c:pt idx="101" c:formatCode="yyyy/m/d;@">
                  <c:v>44672</c:v>
                </c:pt>
                <c:pt idx="102" c:formatCode="yyyy/m/d;@">
                  <c:v>44679</c:v>
                </c:pt>
                <c:pt idx="103" c:formatCode="yyyy/m/d;@">
                  <c:v>44686</c:v>
                </c:pt>
                <c:pt idx="104" c:formatCode="yyyy/m/d;@">
                  <c:v>44693</c:v>
                </c:pt>
                <c:pt idx="105" c:formatCode="yyyy/m/d;@">
                  <c:v>44700</c:v>
                </c:pt>
                <c:pt idx="106" c:formatCode="yyyy/m/d;@">
                  <c:v>44707</c:v>
                </c:pt>
                <c:pt idx="107" c:formatCode="yyyy/m/d;@">
                  <c:v>44714</c:v>
                </c:pt>
                <c:pt idx="108" c:formatCode="yyyy/m/d;@">
                  <c:v>44721</c:v>
                </c:pt>
                <c:pt idx="109" c:formatCode="yyyy/m/d;@">
                  <c:v>44728</c:v>
                </c:pt>
                <c:pt idx="110" c:formatCode="yyyy/m/d;@">
                  <c:v>44735</c:v>
                </c:pt>
                <c:pt idx="111" c:formatCode="yyyy/m/d;@">
                  <c:v>44742</c:v>
                </c:pt>
                <c:pt idx="112" c:formatCode="yyyy/m/d;@">
                  <c:v>44749</c:v>
                </c:pt>
                <c:pt idx="113" c:formatCode="yyyy/m/d;@">
                  <c:v>44756</c:v>
                </c:pt>
                <c:pt idx="114" c:formatCode="yyyy/m/d;@">
                  <c:v>44763</c:v>
                </c:pt>
                <c:pt idx="115" c:formatCode="yyyy/m/d;@">
                  <c:v>44770</c:v>
                </c:pt>
                <c:pt idx="116" c:formatCode="yyyy/m/d;@">
                  <c:v>44777</c:v>
                </c:pt>
                <c:pt idx="117" c:formatCode="yyyy/m/d;@">
                  <c:v>44784</c:v>
                </c:pt>
                <c:pt idx="118" c:formatCode="yyyy/m/d;@">
                  <c:v>44791</c:v>
                </c:pt>
                <c:pt idx="119" c:formatCode="yyyy/m/d;@">
                  <c:v>44798</c:v>
                </c:pt>
                <c:pt idx="120" c:formatCode="yyyy/m/d;@">
                  <c:v>44805</c:v>
                </c:pt>
                <c:pt idx="121" c:formatCode="yyyy/m/d;@">
                  <c:v>44812</c:v>
                </c:pt>
                <c:pt idx="122" c:formatCode="yyyy/m/d;@">
                  <c:v>44819</c:v>
                </c:pt>
                <c:pt idx="123" c:formatCode="yyyy/m/d;@">
                  <c:v>44826</c:v>
                </c:pt>
                <c:pt idx="124" c:formatCode="yyyy/m/d;@">
                  <c:v>44833</c:v>
                </c:pt>
                <c:pt idx="125" c:formatCode="yyyy/m/d;@">
                  <c:v>44842</c:v>
                </c:pt>
                <c:pt idx="126" c:formatCode="yyyy/m/d;@">
                  <c:v>44847</c:v>
                </c:pt>
                <c:pt idx="127" c:formatCode="yyyy/m/d;@">
                  <c:v>44854</c:v>
                </c:pt>
                <c:pt idx="128" c:formatCode="yyyy/m/d;@">
                  <c:v>44861</c:v>
                </c:pt>
                <c:pt idx="129" c:formatCode="yyyy/m/d;@">
                  <c:v>44868</c:v>
                </c:pt>
                <c:pt idx="130" c:formatCode="yyyy/m/d;@">
                  <c:v>44875</c:v>
                </c:pt>
                <c:pt idx="131" c:formatCode="yyyy/m/d;@">
                  <c:v>44882</c:v>
                </c:pt>
                <c:pt idx="132" c:formatCode="yyyy/m/d;@">
                  <c:v>44889</c:v>
                </c:pt>
                <c:pt idx="133" c:formatCode="yyyy/m/d;@">
                  <c:v>44896</c:v>
                </c:pt>
                <c:pt idx="134" c:formatCode="yyyy/m/d;@">
                  <c:v>44903</c:v>
                </c:pt>
                <c:pt idx="135" c:formatCode="yyyy/m/d;@">
                  <c:v>44910</c:v>
                </c:pt>
                <c:pt idx="136" c:formatCode="yyyy/m/d;@">
                  <c:v>44917</c:v>
                </c:pt>
                <c:pt idx="137" c:formatCode="yyyy/m/d;@">
                  <c:v>44924</c:v>
                </c:pt>
                <c:pt idx="138" c:formatCode="yyyy/m/d;@">
                  <c:v>44931</c:v>
                </c:pt>
                <c:pt idx="139" c:formatCode="yyyy/m/d;@">
                  <c:v>44938</c:v>
                </c:pt>
                <c:pt idx="140" c:formatCode="yyyy/m/d;@">
                  <c:v>44959</c:v>
                </c:pt>
                <c:pt idx="141" c:formatCode="yyyy/m/d;@">
                  <c:v>44966</c:v>
                </c:pt>
                <c:pt idx="142" c:formatCode="yyyy/m/d;@">
                  <c:v>44973</c:v>
                </c:pt>
                <c:pt idx="143" c:formatCode="yyyy/m/d;@">
                  <c:v>44980</c:v>
                </c:pt>
                <c:pt idx="144" c:formatCode="yyyy/m/d;@">
                  <c:v>44987</c:v>
                </c:pt>
                <c:pt idx="145" c:formatCode="yyyy/m/d;@">
                  <c:v>44994</c:v>
                </c:pt>
                <c:pt idx="146" c:formatCode="yyyy/m/d;@">
                  <c:v>45001</c:v>
                </c:pt>
                <c:pt idx="147" c:formatCode="yyyy/m/d;@">
                  <c:v>45008</c:v>
                </c:pt>
                <c:pt idx="148" c:formatCode="yyyy/m/d;@">
                  <c:v>45015</c:v>
                </c:pt>
                <c:pt idx="149" c:formatCode="yyyy/m/d;@">
                  <c:v>45022</c:v>
                </c:pt>
                <c:pt idx="150" c:formatCode="yyyy/m/d;@">
                  <c:v>45029</c:v>
                </c:pt>
                <c:pt idx="151" c:formatCode="yyyy/m/d;@">
                  <c:v>45036</c:v>
                </c:pt>
                <c:pt idx="152" c:formatCode="yyyy/m/d;@">
                  <c:v>45043</c:v>
                </c:pt>
                <c:pt idx="153" c:formatCode="yyyy/m/d;@">
                  <c:v>45050</c:v>
                </c:pt>
                <c:pt idx="154" c:formatCode="yyyy/m/d;@">
                  <c:v>45057</c:v>
                </c:pt>
                <c:pt idx="155" c:formatCode="yyyy/m/d;@">
                  <c:v>45064</c:v>
                </c:pt>
                <c:pt idx="156" c:formatCode="yyyy/m/d;@">
                  <c:v>45071</c:v>
                </c:pt>
                <c:pt idx="157" c:formatCode="yyyy/m/d;@">
                  <c:v>45078</c:v>
                </c:pt>
                <c:pt idx="158" c:formatCode="yyyy/m/d;@">
                  <c:v>45085</c:v>
                </c:pt>
                <c:pt idx="159" c:formatCode="yyyy/m/d;@">
                  <c:v>45092</c:v>
                </c:pt>
                <c:pt idx="160" c:formatCode="yyyy/m/d;@">
                  <c:v>45098</c:v>
                </c:pt>
                <c:pt idx="161" c:formatCode="yyyy/m/d;@">
                  <c:v>45106</c:v>
                </c:pt>
                <c:pt idx="162" c:formatCode="yyyy/m/d;@">
                  <c:v>45113</c:v>
                </c:pt>
                <c:pt idx="163" c:formatCode="yyyy/m/d;@">
                  <c:v>45120</c:v>
                </c:pt>
                <c:pt idx="164" c:formatCode="yyyy/m/d;@">
                  <c:v>45127</c:v>
                </c:pt>
                <c:pt idx="165" c:formatCode="yyyy/m/d;@">
                  <c:v>45134</c:v>
                </c:pt>
                <c:pt idx="166" c:formatCode="yyyy/m/d;@">
                  <c:v>45141</c:v>
                </c:pt>
                <c:pt idx="167" c:formatCode="yyyy/m/d;@">
                  <c:v>45148</c:v>
                </c:pt>
                <c:pt idx="168" c:formatCode="yyyy/m/d;@">
                  <c:v>45155</c:v>
                </c:pt>
                <c:pt idx="169" c:formatCode="yyyy/m/d;@">
                  <c:v>45162</c:v>
                </c:pt>
                <c:pt idx="170" c:formatCode="yyyy/m/d;@">
                  <c:v>45169</c:v>
                </c:pt>
                <c:pt idx="171" c:formatCode="yyyy/m/d;@">
                  <c:v>45176</c:v>
                </c:pt>
                <c:pt idx="172" c:formatCode="yyyy/m/d;@">
                  <c:v>45183</c:v>
                </c:pt>
                <c:pt idx="173" c:formatCode="yyyy/m/d;@">
                  <c:v>45190</c:v>
                </c:pt>
                <c:pt idx="174" c:formatCode="yyyy/m/d;@">
                  <c:v>45197</c:v>
                </c:pt>
                <c:pt idx="175" c:formatCode="yyyy/m/d;@">
                  <c:v>45205</c:v>
                </c:pt>
                <c:pt idx="176" c:formatCode="yyyy/m/d;@">
                  <c:v>45211</c:v>
                </c:pt>
                <c:pt idx="177" c:formatCode="yyyy/m/d;@">
                  <c:v>45218</c:v>
                </c:pt>
                <c:pt idx="178" c:formatCode="yyyy/m/d;@">
                  <c:v>45225</c:v>
                </c:pt>
                <c:pt idx="179" c:formatCode="yyyy/m/d;@">
                  <c:v>45232</c:v>
                </c:pt>
                <c:pt idx="180" c:formatCode="yyyy/m/d;@">
                  <c:v>45239</c:v>
                </c:pt>
                <c:pt idx="181" c:formatCode="yyyy/m/d;@">
                  <c:v>45246</c:v>
                </c:pt>
                <c:pt idx="182" c:formatCode="yyyy/m/d;@">
                  <c:v>45253</c:v>
                </c:pt>
                <c:pt idx="183" c:formatCode="yyyy/m/d;@">
                  <c:v>45260</c:v>
                </c:pt>
                <c:pt idx="184" c:formatCode="yyyy/m/d;@">
                  <c:v>45267</c:v>
                </c:pt>
                <c:pt idx="185" c:formatCode="yyyy/m/d;@">
                  <c:v>45274</c:v>
                </c:pt>
                <c:pt idx="186" c:formatCode="yyyy/m/d;@">
                  <c:v>45281</c:v>
                </c:pt>
                <c:pt idx="187" c:formatCode="yyyy/m/d;@">
                  <c:v>45288</c:v>
                </c:pt>
                <c:pt idx="188" c:formatCode="yyyy/m/d;@">
                  <c:v>45295</c:v>
                </c:pt>
                <c:pt idx="189" c:formatCode="yyyy/m/d;@">
                  <c:v>45302</c:v>
                </c:pt>
                <c:pt idx="190" c:formatCode="yyyy/m/d;@">
                  <c:v>45309</c:v>
                </c:pt>
                <c:pt idx="191" c:formatCode="yyyy/m/d;@">
                  <c:v>45316</c:v>
                </c:pt>
                <c:pt idx="192" c:formatCode="yyyy/m/d;@">
                  <c:v>45323</c:v>
                </c:pt>
                <c:pt idx="193" c:formatCode="yyyy/m/d;@">
                  <c:v>45344</c:v>
                </c:pt>
                <c:pt idx="194" c:formatCode="yyyy/m/d;@">
                  <c:v>45351</c:v>
                </c:pt>
                <c:pt idx="195" c:formatCode="yyyy/m/d;@">
                  <c:v>45358</c:v>
                </c:pt>
                <c:pt idx="196" c:formatCode="yyyy/m/d;@">
                  <c:v>45365</c:v>
                </c:pt>
                <c:pt idx="197" c:formatCode="yyyy/m/d;@">
                  <c:v>45372</c:v>
                </c:pt>
                <c:pt idx="198" c:formatCode="yyyy/m/d;@">
                  <c:v>45379</c:v>
                </c:pt>
                <c:pt idx="199" c:formatCode="yyyy/m/d;@">
                  <c:v>45385</c:v>
                </c:pt>
                <c:pt idx="200" c:formatCode="yyyy/m/d;@">
                  <c:v>45393</c:v>
                </c:pt>
                <c:pt idx="201" c:formatCode="yyyy/m/d;@">
                  <c:v>45400</c:v>
                </c:pt>
                <c:pt idx="202" c:formatCode="yyyy/m/d;@">
                  <c:v>45407</c:v>
                </c:pt>
                <c:pt idx="203" c:formatCode="yyyy/m/d;@">
                  <c:v>45414</c:v>
                </c:pt>
                <c:pt idx="204" c:formatCode="yyyy/m/d;@">
                  <c:v>45421</c:v>
                </c:pt>
                <c:pt idx="205" c:formatCode="yyyy/m/d;@">
                  <c:v>45428</c:v>
                </c:pt>
                <c:pt idx="206" c:formatCode="yyyy/m/d;@">
                  <c:v>45435</c:v>
                </c:pt>
                <c:pt idx="207" c:formatCode="yyyy/m/d;@">
                  <c:v>45442</c:v>
                </c:pt>
                <c:pt idx="208" c:formatCode="yyyy/m/d;@">
                  <c:v>45449</c:v>
                </c:pt>
                <c:pt idx="209" c:formatCode="yyyy/m/d;@">
                  <c:v>45456</c:v>
                </c:pt>
                <c:pt idx="210" c:formatCode="yyyy/m/d;@">
                  <c:v>45463</c:v>
                </c:pt>
                <c:pt idx="211" c:formatCode="yyyy/m/d;@">
                  <c:v>45470</c:v>
                </c:pt>
                <c:pt idx="212" c:formatCode="yyyy/m/d;@">
                  <c:v>45477</c:v>
                </c:pt>
                <c:pt idx="213" c:formatCode="yyyy/m/d;@">
                  <c:v>45484</c:v>
                </c:pt>
                <c:pt idx="214" c:formatCode="yyyy/m/d;@">
                  <c:v>45491</c:v>
                </c:pt>
                <c:pt idx="215" c:formatCode="yyyy/m/d;@">
                  <c:v>45498</c:v>
                </c:pt>
                <c:pt idx="216" c:formatCode="yyyy/m/d;@">
                  <c:v>45505</c:v>
                </c:pt>
                <c:pt idx="217" c:formatCode="yyyy/m/d;@">
                  <c:v>45512</c:v>
                </c:pt>
                <c:pt idx="218" c:formatCode="yyyy/m/d;@">
                  <c:v>45519</c:v>
                </c:pt>
                <c:pt idx="219" c:formatCode="yyyy/m/d;@">
                  <c:v>45526</c:v>
                </c:pt>
                <c:pt idx="220" c:formatCode="yyyy/m/d;@">
                  <c:v>45533</c:v>
                </c:pt>
                <c:pt idx="221" c:formatCode="yyyy/m/d;@">
                  <c:v>45540</c:v>
                </c:pt>
                <c:pt idx="222" c:formatCode="yyyy/m/d;@">
                  <c:v>45547</c:v>
                </c:pt>
                <c:pt idx="223" c:formatCode="yyyy/m/d;@">
                  <c:v>45554</c:v>
                </c:pt>
                <c:pt idx="224" c:formatCode="yyyy/m/d;@">
                  <c:v>45561</c:v>
                </c:pt>
                <c:pt idx="225" c:formatCode="yyyy/m/d;@">
                  <c:v>45575</c:v>
                </c:pt>
                <c:pt idx="226" c:formatCode="yyyy/m/d;@">
                  <c:v>45582</c:v>
                </c:pt>
                <c:pt idx="227" c:formatCode="yyyy/m/d;@">
                  <c:v>45589</c:v>
                </c:pt>
                <c:pt idx="228" c:formatCode="yyyy/m/d;@">
                  <c:v>45596</c:v>
                </c:pt>
                <c:pt idx="229" c:formatCode="yyyy/m/d;@">
                  <c:v>45603</c:v>
                </c:pt>
                <c:pt idx="230" c:formatCode="yyyy/m/d;@">
                  <c:v>45610</c:v>
                </c:pt>
                <c:pt idx="231" c:formatCode="yyyy/m/d;@">
                  <c:v>45617</c:v>
                </c:pt>
                <c:pt idx="232" c:formatCode="yyyy/m/d;@">
                  <c:v>45624</c:v>
                </c:pt>
                <c:pt idx="233" c:formatCode="yyyy/m/d;@">
                  <c:v>45631</c:v>
                </c:pt>
                <c:pt idx="234" c:formatCode="yyyy/m/d;@">
                  <c:v>45638</c:v>
                </c:pt>
                <c:pt idx="235" c:formatCode="yyyy/m/d;@">
                  <c:v>45645</c:v>
                </c:pt>
                <c:pt idx="236" c:formatCode="yyyy/m/d;@">
                  <c:v>45652</c:v>
                </c:pt>
                <c:pt idx="237" c:formatCode="yyyy/m/d;@">
                  <c:v>45659</c:v>
                </c:pt>
                <c:pt idx="238" c:formatCode="yyyy/m/d;@">
                  <c:v>45666</c:v>
                </c:pt>
                <c:pt idx="239" c:formatCode="yyyy/m/d;@">
                  <c:v>45673</c:v>
                </c:pt>
                <c:pt idx="240" c:formatCode="yyyy/m/d;@">
                  <c:v>45680</c:v>
                </c:pt>
                <c:pt idx="241" c:formatCode="yyyy/m/d;@">
                  <c:v>45694</c:v>
                </c:pt>
                <c:pt idx="242" c:formatCode="yyyy/m/d;@">
                  <c:v>45701</c:v>
                </c:pt>
                <c:pt idx="243" c:formatCode="yyyy/m/d;@">
                  <c:v>45708</c:v>
                </c:pt>
                <c:pt idx="244" c:formatCode="yyyy/m/d;@">
                  <c:v>45715</c:v>
                </c:pt>
                <c:pt idx="245" c:formatCode="yyyy/m/d;@">
                  <c:v>45722</c:v>
                </c:pt>
                <c:pt idx="246" c:formatCode="yyyy/m/d;@">
                  <c:v>45729</c:v>
                </c:pt>
                <c:pt idx="247" c:formatCode="yyyy/m/d;@">
                  <c:v>45736</c:v>
                </c:pt>
                <c:pt idx="248" c:formatCode="yyyy/m/d;@">
                  <c:v>45743</c:v>
                </c:pt>
                <c:pt idx="249" c:formatCode="yyyy/m/d;@">
                  <c:v>45750</c:v>
                </c:pt>
                <c:pt idx="250" c:formatCode="yyyy/m/d;@">
                  <c:v>45757</c:v>
                </c:pt>
                <c:pt idx="251" c:formatCode="yyyy/m/d;@">
                  <c:v>45764</c:v>
                </c:pt>
                <c:pt idx="252" c:formatCode="yyyy/m/d;@">
                  <c:v>45771</c:v>
                </c:pt>
                <c:pt idx="253" c:formatCode="yyyy/m/d;@">
                  <c:v>45777</c:v>
                </c:pt>
                <c:pt idx="254" c:formatCode="yyyy/m/d;@">
                  <c:v>45785</c:v>
                </c:pt>
                <c:pt idx="255" c:formatCode="yyyy/m/d;@">
                  <c:v>45792</c:v>
                </c:pt>
                <c:pt idx="256" c:formatCode="yyyy/m/d;@">
                  <c:v>45799</c:v>
                </c:pt>
                <c:pt idx="257" c:formatCode="yyyy/m/d;@">
                  <c:v>45806</c:v>
                </c:pt>
                <c:pt idx="258" c:formatCode="yyyy/m/d;@">
                  <c:v>45813</c:v>
                </c:pt>
                <c:pt idx="259" c:formatCode="yyyy/m/d;@">
                  <c:v>45820</c:v>
                </c:pt>
                <c:pt idx="260" c:formatCode="yyyy/m/d;@">
                  <c:v>45827</c:v>
                </c:pt>
                <c:pt idx="261" c:formatCode="yyyy/m/d;@">
                  <c:v>45834</c:v>
                </c:pt>
                <c:pt idx="262" c:formatCode="yyyy/m/d;@">
                  <c:v>45841</c:v>
                </c:pt>
                <c:pt idx="263" c:formatCode="yyyy/m/d;@">
                  <c:v>45848</c:v>
                </c:pt>
                <c:pt idx="264" c:formatCode="yyyy/m/d;@">
                  <c:v>45855</c:v>
                </c:pt>
                <c:pt idx="265" c:formatCode="yyyy/m/d;@">
                  <c:v>45862</c:v>
                </c:pt>
                <c:pt idx="266" c:formatCode="yyyy/m/d;@">
                  <c:v>45869</c:v>
                </c:pt>
                <c:pt idx="267" c:formatCode="yyyy/m/d;@">
                  <c:v>45876</c:v>
                </c:pt>
                <c:pt idx="268" c:formatCode="yyyy/m/d;@">
                  <c:v>45883</c:v>
                </c:pt>
                <c:pt idx="269" c:formatCode="yyyy/m/d;@">
                  <c:v>45890</c:v>
                </c:pt>
                <c:pt idx="270" c:formatCode="yyyy/m/d;@">
                  <c:v>45897</c:v>
                </c:pt>
                <c:pt idx="271" c:formatCode="yyyy/m/d;@">
                  <c:v>45904</c:v>
                </c:pt>
                <c:pt idx="272" c:formatCode="yyyy/m/d;@">
                  <c:v>45911</c:v>
                </c:pt>
                <c:pt idx="273" c:formatCode="yyyy/m/d;@">
                  <c:v>45918</c:v>
                </c:pt>
                <c:pt idx="274" c:formatCode="yyyy/m/d;@">
                  <c:v>45925</c:v>
                </c:pt>
                <c:pt idx="275" c:formatCode="yyyy/m/d;@">
                  <c:v>45939</c:v>
                </c:pt>
                <c:pt idx="276" c:formatCode="yyyy/m/d;@">
                  <c:v>45946</c:v>
                </c:pt>
                <c:pt idx="277" c:formatCode="yyyy/m/d;@">
                  <c:v>45953</c:v>
                </c:pt>
                <c:pt idx="278" c:formatCode="yyyy/m/d;@">
                  <c:v>45960</c:v>
                </c:pt>
                <c:pt idx="279" c:formatCode="yyyy/m/d;@">
                  <c:v>45967</c:v>
                </c:pt>
                <c:pt idx="280" c:formatCode="yyyy/m/d;@">
                  <c:v>45974</c:v>
                </c:pt>
                <c:pt idx="281" c:formatCode="yyyy/m/d;@">
                  <c:v>45981</c:v>
                </c:pt>
                <c:pt idx="282" c:formatCode="yyyy/m/d;@">
                  <c:v>45988</c:v>
                </c:pt>
                <c:pt idx="283" c:formatCode="yyyy/m/d;@">
                  <c:v>45995</c:v>
                </c:pt>
                <c:pt idx="284" c:formatCode="yyyy/m/d;@">
                  <c:v>46002</c:v>
                </c:pt>
                <c:pt idx="285" c:formatCode="yyyy/m/d;@">
                  <c:v>46009</c:v>
                </c:pt>
                <c:pt idx="286" c:formatCode="yyyy/m/d;@">
                  <c:v>46016</c:v>
                </c:pt>
                <c:pt idx="287" c:formatCode="yyyy/m/d;@">
                  <c:v>46023</c:v>
                </c:pt>
                <c:pt idx="288" c:formatCode="yyyy/m/d;@">
                  <c:v>46030</c:v>
                </c:pt>
                <c:pt idx="289" c:formatCode="yyyy/m/d;@">
                  <c:v>46037</c:v>
                </c:pt>
                <c:pt idx="290" c:formatCode="yyyy/m/d;@">
                  <c:v>46044</c:v>
                </c:pt>
                <c:pt idx="291" c:formatCode="yyyy/m/d;@">
                  <c:v>46051</c:v>
                </c:pt>
                <c:pt idx="292" c:formatCode="yyyy/m/d;@">
                  <c:v>46058</c:v>
                </c:pt>
                <c:pt idx="293" c:formatCode="yyyy/m/d;@">
                  <c:v>46065</c:v>
                </c:pt>
                <c:pt idx="294" c:formatCode="yyyy/m/d;@">
                  <c:v>46079</c:v>
                </c:pt>
                <c:pt idx="295" c:formatCode="yyyy/m/d;@">
                  <c:v>46086</c:v>
                </c:pt>
                <c:pt idx="296" c:formatCode="yyyy/m/d;@">
                  <c:v>46093</c:v>
                </c:pt>
                <c:pt idx="297" c:formatCode="yyyy/m/d;@">
                  <c:v>46100</c:v>
                </c:pt>
                <c:pt idx="298" c:formatCode="yyyy/m/d;@">
                  <c:v>46107</c:v>
                </c:pt>
                <c:pt idx="299" c:formatCode="yyyy/m/d;@">
                  <c:v>46114</c:v>
                </c:pt>
                <c:pt idx="300" c:formatCode="yyyy/m/d;@">
                  <c:v>46121</c:v>
                </c:pt>
                <c:pt idx="301" c:formatCode="yyyy/m/d;@">
                  <c:v>46128</c:v>
                </c:pt>
                <c:pt idx="302" c:formatCode="yyyy/m/d;@">
                  <c:v>46135</c:v>
                </c:pt>
                <c:pt idx="303" c:formatCode="yyyy/m/d;@">
                  <c:v>46142</c:v>
                </c:pt>
                <c:pt idx="304" c:formatCode="yyyy/m/d;@">
                  <c:v>46149</c:v>
                </c:pt>
                <c:pt idx="305" c:formatCode="yyyy/m/d;@">
                  <c:v>46156</c:v>
                </c:pt>
                <c:pt idx="306" c:formatCode="yyyy/m/d;@">
                  <c:v>46163</c:v>
                </c:pt>
                <c:pt idx="307" c:formatCode="yyyy/m/d;@">
                  <c:v>46170</c:v>
                </c:pt>
                <c:pt idx="308" c:formatCode="yyyy/m/d;@">
                  <c:v>46177</c:v>
                </c:pt>
                <c:pt idx="309" c:formatCode="yyyy/m/d;@">
                  <c:v>46184</c:v>
                </c:pt>
                <c:pt idx="310" c:formatCode="yyyy/m/d;@">
                  <c:v>46191</c:v>
                </c:pt>
                <c:pt idx="311" c:formatCode="yyyy/m/d;@">
                  <c:v>46198</c:v>
                </c:pt>
                <c:pt idx="312" c:formatCode="yyyy/m/d;@">
                  <c:v>46205</c:v>
                </c:pt>
                <c:pt idx="313" c:formatCode="yyyy/m/d;@">
                  <c:v>46212</c:v>
                </c:pt>
                <c:pt idx="314" c:formatCode="yyyy/m/d;@">
                  <c:v>46219</c:v>
                </c:pt>
                <c:pt idx="315" c:formatCode="yyyy/m/d;@">
                  <c:v>46226</c:v>
                </c:pt>
                <c:pt idx="316" c:formatCode="yyyy/m/d;@">
                  <c:v>46233</c:v>
                </c:pt>
                <c:pt idx="317" c:formatCode="yyyy/m/d;@">
                  <c:v>46240</c:v>
                </c:pt>
                <c:pt idx="318" c:formatCode="yyyy/m/d;@">
                  <c:v>46247</c:v>
                </c:pt>
                <c:pt idx="319" c:formatCode="yyyy/m/d;@">
                  <c:v>46254</c:v>
                </c:pt>
                <c:pt idx="320" c:formatCode="yyyy/m/d;@">
                  <c:v>46261</c:v>
                </c:pt>
                <c:pt idx="321" c:formatCode="yyyy/m/d;@">
                  <c:v>46268</c:v>
                </c:pt>
                <c:pt idx="322" c:formatCode="yyyy/m/d;@">
                  <c:v>46275</c:v>
                </c:pt>
                <c:pt idx="323" c:formatCode="yyyy/m/d;@">
                  <c:v>46282</c:v>
                </c:pt>
                <c:pt idx="324" c:formatCode="yyyy/m/d;@">
                  <c:v>46289</c:v>
                </c:pt>
              </c:numCache>
            </c:numRef>
          </c:cat>
          <c:val>
            <c:numRef>
              <c:f>毛白价差!$C$3:$C$395</c:f>
              <c:numCache>
                <c:formatCode>0.00_);[Red]\(0.00\)</c:formatCode>
                <c:ptCount val="393"/>
                <c:pt idx="0">
                  <c:v>32.03</c:v>
                </c:pt>
                <c:pt idx="1">
                  <c:v>31.07</c:v>
                </c:pt>
                <c:pt idx="2">
                  <c:v>28.87</c:v>
                </c:pt>
                <c:pt idx="3">
                  <c:v>27.06</c:v>
                </c:pt>
                <c:pt idx="4">
                  <c:v>29.1</c:v>
                </c:pt>
                <c:pt idx="5">
                  <c:v>30.16</c:v>
                </c:pt>
                <c:pt idx="6">
                  <c:v>31.53</c:v>
                </c:pt>
                <c:pt idx="7">
                  <c:v>33.05</c:v>
                </c:pt>
                <c:pt idx="8">
                  <c:v>34.29</c:v>
                </c:pt>
                <c:pt idx="9">
                  <c:v>35.8</c:v>
                </c:pt>
                <c:pt idx="10">
                  <c:v>37.49</c:v>
                </c:pt>
                <c:pt idx="11">
                  <c:v>37.87</c:v>
                </c:pt>
                <c:pt idx="12">
                  <c:v>37.19</c:v>
                </c:pt>
                <c:pt idx="13">
                  <c:v>37</c:v>
                </c:pt>
                <c:pt idx="14">
                  <c:v>37.53</c:v>
                </c:pt>
                <c:pt idx="15">
                  <c:v>37.15</c:v>
                </c:pt>
                <c:pt idx="16">
                  <c:v>36.81</c:v>
                </c:pt>
                <c:pt idx="17">
                  <c:v>37.14</c:v>
                </c:pt>
                <c:pt idx="18">
                  <c:v>36.58</c:v>
                </c:pt>
                <c:pt idx="19">
                  <c:v>36.27</c:v>
                </c:pt>
                <c:pt idx="20">
                  <c:v>35.21</c:v>
                </c:pt>
                <c:pt idx="21">
                  <c:v>33.91</c:v>
                </c:pt>
                <c:pt idx="22">
                  <c:v>32.84</c:v>
                </c:pt>
                <c:pt idx="23">
                  <c:v>31.6</c:v>
                </c:pt>
                <c:pt idx="24">
                  <c:v>30.36</c:v>
                </c:pt>
                <c:pt idx="25">
                  <c:v>29.44</c:v>
                </c:pt>
                <c:pt idx="26">
                  <c:v>28.59</c:v>
                </c:pt>
                <c:pt idx="27">
                  <c:v>29.32</c:v>
                </c:pt>
                <c:pt idx="28">
                  <c:v>29.23</c:v>
                </c:pt>
                <c:pt idx="29">
                  <c:v>29.12</c:v>
                </c:pt>
                <c:pt idx="30">
                  <c:v>29.44</c:v>
                </c:pt>
                <c:pt idx="31">
                  <c:v>31.88</c:v>
                </c:pt>
                <c:pt idx="32">
                  <c:v>33.08</c:v>
                </c:pt>
                <c:pt idx="33">
                  <c:v>33.31</c:v>
                </c:pt>
                <c:pt idx="34">
                  <c:v>33.79</c:v>
                </c:pt>
                <c:pt idx="35">
                  <c:v>35.13</c:v>
                </c:pt>
                <c:pt idx="36">
                  <c:v>36.59</c:v>
                </c:pt>
                <c:pt idx="37">
                  <c:v>35.84</c:v>
                </c:pt>
                <c:pt idx="38">
                  <c:v>35.74</c:v>
                </c:pt>
                <c:pt idx="39">
                  <c:v>33.98</c:v>
                </c:pt>
                <c:pt idx="40">
                  <c:v>32.19</c:v>
                </c:pt>
                <c:pt idx="41">
                  <c:v>29.88</c:v>
                </c:pt>
                <c:pt idx="42">
                  <c:v>27.77</c:v>
                </c:pt>
                <c:pt idx="43">
                  <c:v>28.89</c:v>
                </c:pt>
                <c:pt idx="44">
                  <c:v>28.33</c:v>
                </c:pt>
                <c:pt idx="45">
                  <c:v>27.68</c:v>
                </c:pt>
                <c:pt idx="46">
                  <c:v>26.52</c:v>
                </c:pt>
                <c:pt idx="47">
                  <c:v>25.09</c:v>
                </c:pt>
                <c:pt idx="48">
                  <c:v>22.94</c:v>
                </c:pt>
                <c:pt idx="49">
                  <c:v>22.36</c:v>
                </c:pt>
                <c:pt idx="50">
                  <c:v>23.32</c:v>
                </c:pt>
                <c:pt idx="51">
                  <c:v>22.61</c:v>
                </c:pt>
                <c:pt idx="52">
                  <c:v>21.09</c:v>
                </c:pt>
                <c:pt idx="53">
                  <c:v>19.19</c:v>
                </c:pt>
                <c:pt idx="54">
                  <c:v>18.23</c:v>
                </c:pt>
                <c:pt idx="55">
                  <c:v>17.82</c:v>
                </c:pt>
                <c:pt idx="56">
                  <c:v>16.78</c:v>
                </c:pt>
                <c:pt idx="57">
                  <c:v>15.23</c:v>
                </c:pt>
                <c:pt idx="58">
                  <c:v>14.2</c:v>
                </c:pt>
                <c:pt idx="59">
                  <c:v>12.72</c:v>
                </c:pt>
                <c:pt idx="60">
                  <c:v>15.87</c:v>
                </c:pt>
                <c:pt idx="61">
                  <c:v>15.96</c:v>
                </c:pt>
                <c:pt idx="62">
                  <c:v>15.83</c:v>
                </c:pt>
                <c:pt idx="63">
                  <c:v>15.56</c:v>
                </c:pt>
                <c:pt idx="64">
                  <c:v>15.17</c:v>
                </c:pt>
                <c:pt idx="65">
                  <c:v>15.36</c:v>
                </c:pt>
                <c:pt idx="66">
                  <c:v>15.09</c:v>
                </c:pt>
                <c:pt idx="67">
                  <c:v>14.63</c:v>
                </c:pt>
                <c:pt idx="68">
                  <c:v>14.13</c:v>
                </c:pt>
                <c:pt idx="69">
                  <c:v>13.75</c:v>
                </c:pt>
                <c:pt idx="70">
                  <c:v>13.43</c:v>
                </c:pt>
                <c:pt idx="71">
                  <c:v>12.34</c:v>
                </c:pt>
                <c:pt idx="72">
                  <c:v>11.97</c:v>
                </c:pt>
                <c:pt idx="73">
                  <c:v>10.83</c:v>
                </c:pt>
                <c:pt idx="74">
                  <c:v>10.18</c:v>
                </c:pt>
                <c:pt idx="75">
                  <c:v>11.36</c:v>
                </c:pt>
                <c:pt idx="76">
                  <c:v>13.36</c:v>
                </c:pt>
                <c:pt idx="77">
                  <c:v>15.76</c:v>
                </c:pt>
                <c:pt idx="78">
                  <c:v>16</c:v>
                </c:pt>
                <c:pt idx="79">
                  <c:v>16.91</c:v>
                </c:pt>
                <c:pt idx="80">
                  <c:v>17.51</c:v>
                </c:pt>
                <c:pt idx="81">
                  <c:v>17.82</c:v>
                </c:pt>
                <c:pt idx="82">
                  <c:v>17.83</c:v>
                </c:pt>
                <c:pt idx="83">
                  <c:v>17.38</c:v>
                </c:pt>
                <c:pt idx="84">
                  <c:v>16.06</c:v>
                </c:pt>
                <c:pt idx="85">
                  <c:v>15.85</c:v>
                </c:pt>
                <c:pt idx="86">
                  <c:v>15.98</c:v>
                </c:pt>
                <c:pt idx="87">
                  <c:v>15.55</c:v>
                </c:pt>
                <c:pt idx="88">
                  <c:v>14.15</c:v>
                </c:pt>
                <c:pt idx="89">
                  <c:v>13.83</c:v>
                </c:pt>
                <c:pt idx="90">
                  <c:v>13.9</c:v>
                </c:pt>
                <c:pt idx="91">
                  <c:v>13.18</c:v>
                </c:pt>
                <c:pt idx="92">
                  <c:v>12.09</c:v>
                </c:pt>
                <c:pt idx="93">
                  <c:v>12.28</c:v>
                </c:pt>
                <c:pt idx="94">
                  <c:v>12.39</c:v>
                </c:pt>
                <c:pt idx="95">
                  <c:v>12.02</c:v>
                </c:pt>
                <c:pt idx="96">
                  <c:v>11.78</c:v>
                </c:pt>
                <c:pt idx="97">
                  <c:v>11.73</c:v>
                </c:pt>
                <c:pt idx="98">
                  <c:v>12.08</c:v>
                </c:pt>
                <c:pt idx="99">
                  <c:v>12.36</c:v>
                </c:pt>
                <c:pt idx="100">
                  <c:v>12.14</c:v>
                </c:pt>
                <c:pt idx="101">
                  <c:v>13.37</c:v>
                </c:pt>
                <c:pt idx="102">
                  <c:v>14.41</c:v>
                </c:pt>
                <c:pt idx="103">
                  <c:v>14.81</c:v>
                </c:pt>
                <c:pt idx="104">
                  <c:v>14.96</c:v>
                </c:pt>
                <c:pt idx="105">
                  <c:v>15.41</c:v>
                </c:pt>
                <c:pt idx="106">
                  <c:v>15.66</c:v>
                </c:pt>
                <c:pt idx="107">
                  <c:v>15.68</c:v>
                </c:pt>
                <c:pt idx="108">
                  <c:v>15.7</c:v>
                </c:pt>
                <c:pt idx="109">
                  <c:v>16.09</c:v>
                </c:pt>
                <c:pt idx="110">
                  <c:v>16.88</c:v>
                </c:pt>
                <c:pt idx="111">
                  <c:v>19.05</c:v>
                </c:pt>
                <c:pt idx="112">
                  <c:v>22.23</c:v>
                </c:pt>
                <c:pt idx="113">
                  <c:v>22.7</c:v>
                </c:pt>
                <c:pt idx="114">
                  <c:v>22.35</c:v>
                </c:pt>
                <c:pt idx="115">
                  <c:v>21.13</c:v>
                </c:pt>
                <c:pt idx="116">
                  <c:v>21.33</c:v>
                </c:pt>
                <c:pt idx="117">
                  <c:v>21.17</c:v>
                </c:pt>
                <c:pt idx="118">
                  <c:v>21.18</c:v>
                </c:pt>
                <c:pt idx="119">
                  <c:v>21.79</c:v>
                </c:pt>
                <c:pt idx="120">
                  <c:v>23.05</c:v>
                </c:pt>
                <c:pt idx="121">
                  <c:v>23.42</c:v>
                </c:pt>
                <c:pt idx="122">
                  <c:v>23.31</c:v>
                </c:pt>
                <c:pt idx="123">
                  <c:v>23.76</c:v>
                </c:pt>
                <c:pt idx="124">
                  <c:v>24.12</c:v>
                </c:pt>
                <c:pt idx="125">
                  <c:v>25.69</c:v>
                </c:pt>
                <c:pt idx="126">
                  <c:v>26.75</c:v>
                </c:pt>
                <c:pt idx="127">
                  <c:v>28.02</c:v>
                </c:pt>
                <c:pt idx="128">
                  <c:v>27.52</c:v>
                </c:pt>
                <c:pt idx="129">
                  <c:v>26.05</c:v>
                </c:pt>
                <c:pt idx="130">
                  <c:v>25.18</c:v>
                </c:pt>
                <c:pt idx="131">
                  <c:v>24.36</c:v>
                </c:pt>
                <c:pt idx="132">
                  <c:v>23.36</c:v>
                </c:pt>
                <c:pt idx="133">
                  <c:v>21.91</c:v>
                </c:pt>
                <c:pt idx="134">
                  <c:v>22.33</c:v>
                </c:pt>
                <c:pt idx="135">
                  <c:v>19.35</c:v>
                </c:pt>
                <c:pt idx="136">
                  <c:v>16.73</c:v>
                </c:pt>
                <c:pt idx="137">
                  <c:v>17.14</c:v>
                </c:pt>
                <c:pt idx="138">
                  <c:v>15.47</c:v>
                </c:pt>
                <c:pt idx="139">
                  <c:v>14.76</c:v>
                </c:pt>
                <c:pt idx="140">
                  <c:v>14.28</c:v>
                </c:pt>
                <c:pt idx="141">
                  <c:v>14.07</c:v>
                </c:pt>
                <c:pt idx="142">
                  <c:v>14.55</c:v>
                </c:pt>
                <c:pt idx="143">
                  <c:v>15.49</c:v>
                </c:pt>
                <c:pt idx="144">
                  <c:v>15.83</c:v>
                </c:pt>
                <c:pt idx="145">
                  <c:v>15.7</c:v>
                </c:pt>
                <c:pt idx="146">
                  <c:v>15.14</c:v>
                </c:pt>
                <c:pt idx="147">
                  <c:v>15.12</c:v>
                </c:pt>
                <c:pt idx="148">
                  <c:v>14.88</c:v>
                </c:pt>
                <c:pt idx="149">
                  <c:v>14.55</c:v>
                </c:pt>
                <c:pt idx="150">
                  <c:v>14.28</c:v>
                </c:pt>
                <c:pt idx="151">
                  <c:v>14.05</c:v>
                </c:pt>
                <c:pt idx="152">
                  <c:v>14.74</c:v>
                </c:pt>
                <c:pt idx="153">
                  <c:v>14.62</c:v>
                </c:pt>
                <c:pt idx="154">
                  <c:v>14.34</c:v>
                </c:pt>
                <c:pt idx="155">
                  <c:v>14.21</c:v>
                </c:pt>
                <c:pt idx="156">
                  <c:v>14.18</c:v>
                </c:pt>
                <c:pt idx="157">
                  <c:v>14.44</c:v>
                </c:pt>
                <c:pt idx="158">
                  <c:v>14.33</c:v>
                </c:pt>
                <c:pt idx="159">
                  <c:v>14.27</c:v>
                </c:pt>
                <c:pt idx="160">
                  <c:v>14.37</c:v>
                </c:pt>
                <c:pt idx="161">
                  <c:v>13.92</c:v>
                </c:pt>
                <c:pt idx="162">
                  <c:v>13.94</c:v>
                </c:pt>
                <c:pt idx="163">
                  <c:v>14.03</c:v>
                </c:pt>
                <c:pt idx="164">
                  <c:v>13.98</c:v>
                </c:pt>
                <c:pt idx="165">
                  <c:v>14.68</c:v>
                </c:pt>
                <c:pt idx="166">
                  <c:v>16.48</c:v>
                </c:pt>
                <c:pt idx="167">
                  <c:v>17.37</c:v>
                </c:pt>
                <c:pt idx="168">
                  <c:v>17.1</c:v>
                </c:pt>
                <c:pt idx="169">
                  <c:v>17.03</c:v>
                </c:pt>
                <c:pt idx="170">
                  <c:v>17.12</c:v>
                </c:pt>
                <c:pt idx="171">
                  <c:v>16.76</c:v>
                </c:pt>
                <c:pt idx="172">
                  <c:v>16.49</c:v>
                </c:pt>
                <c:pt idx="173">
                  <c:v>16.37</c:v>
                </c:pt>
                <c:pt idx="174">
                  <c:v>16.07</c:v>
                </c:pt>
                <c:pt idx="175">
                  <c:v>15.86</c:v>
                </c:pt>
                <c:pt idx="176">
                  <c:v>15.45</c:v>
                </c:pt>
                <c:pt idx="177">
                  <c:v>15.46</c:v>
                </c:pt>
                <c:pt idx="178">
                  <c:v>15.11</c:v>
                </c:pt>
                <c:pt idx="179">
                  <c:v>14.5</c:v>
                </c:pt>
                <c:pt idx="180">
                  <c:v>14.74</c:v>
                </c:pt>
                <c:pt idx="181">
                  <c:v>14.37</c:v>
                </c:pt>
                <c:pt idx="182">
                  <c:v>14.83</c:v>
                </c:pt>
                <c:pt idx="183">
                  <c:v>14.38</c:v>
                </c:pt>
                <c:pt idx="184">
                  <c:v>14.17</c:v>
                </c:pt>
                <c:pt idx="185">
                  <c:v>14.12</c:v>
                </c:pt>
                <c:pt idx="186">
                  <c:v>14.67</c:v>
                </c:pt>
                <c:pt idx="187">
                  <c:v>14.44</c:v>
                </c:pt>
                <c:pt idx="188">
                  <c:v>14.23</c:v>
                </c:pt>
                <c:pt idx="189">
                  <c:v>13.81</c:v>
                </c:pt>
                <c:pt idx="190">
                  <c:v>13.69</c:v>
                </c:pt>
                <c:pt idx="191">
                  <c:v>14.27</c:v>
                </c:pt>
                <c:pt idx="192">
                  <c:v>15.6</c:v>
                </c:pt>
                <c:pt idx="193">
                  <c:v>14.22</c:v>
                </c:pt>
                <c:pt idx="194">
                  <c:v>13.77</c:v>
                </c:pt>
                <c:pt idx="195">
                  <c:v>14.19</c:v>
                </c:pt>
                <c:pt idx="196">
                  <c:v>14.46</c:v>
                </c:pt>
                <c:pt idx="197">
                  <c:v>14.77</c:v>
                </c:pt>
                <c:pt idx="198">
                  <c:v>15.13</c:v>
                </c:pt>
                <c:pt idx="199">
                  <c:v>15.19</c:v>
                </c:pt>
                <c:pt idx="200">
                  <c:v>15.18</c:v>
                </c:pt>
                <c:pt idx="201">
                  <c:v>15.11</c:v>
                </c:pt>
                <c:pt idx="202">
                  <c:v>15.05</c:v>
                </c:pt>
                <c:pt idx="203">
                  <c:v>14.89</c:v>
                </c:pt>
                <c:pt idx="204">
                  <c:v>14.96</c:v>
                </c:pt>
                <c:pt idx="205">
                  <c:v>15.19</c:v>
                </c:pt>
                <c:pt idx="206">
                  <c:v>15.88</c:v>
                </c:pt>
                <c:pt idx="207">
                  <c:v>17.11</c:v>
                </c:pt>
                <c:pt idx="208">
                  <c:v>18.16</c:v>
                </c:pt>
                <c:pt idx="209">
                  <c:v>18.83</c:v>
                </c:pt>
                <c:pt idx="210">
                  <c:v>18.56</c:v>
                </c:pt>
                <c:pt idx="211">
                  <c:v>17.68</c:v>
                </c:pt>
                <c:pt idx="212">
                  <c:v>18.05</c:v>
                </c:pt>
                <c:pt idx="213">
                  <c:v>18.62</c:v>
                </c:pt>
                <c:pt idx="214">
                  <c:v>19.02</c:v>
                </c:pt>
                <c:pt idx="215">
                  <c:v>19.24</c:v>
                </c:pt>
                <c:pt idx="216">
                  <c:v>19.46</c:v>
                </c:pt>
                <c:pt idx="217">
                  <c:v>20.33</c:v>
                </c:pt>
                <c:pt idx="218">
                  <c:v>21.07</c:v>
                </c:pt>
                <c:pt idx="219">
                  <c:v>20.58</c:v>
                </c:pt>
                <c:pt idx="220">
                  <c:v>19.72</c:v>
                </c:pt>
                <c:pt idx="221">
                  <c:v>19.79</c:v>
                </c:pt>
                <c:pt idx="222">
                  <c:v>19.68</c:v>
                </c:pt>
                <c:pt idx="223">
                  <c:v>19.01</c:v>
                </c:pt>
                <c:pt idx="224">
                  <c:v>18.2</c:v>
                </c:pt>
                <c:pt idx="225">
                  <c:v>17.64</c:v>
                </c:pt>
                <c:pt idx="226">
                  <c:v>17.99</c:v>
                </c:pt>
                <c:pt idx="227">
                  <c:v>17.41</c:v>
                </c:pt>
                <c:pt idx="228">
                  <c:v>17.35</c:v>
                </c:pt>
                <c:pt idx="229">
                  <c:v>17.13</c:v>
                </c:pt>
                <c:pt idx="230">
                  <c:v>16.63</c:v>
                </c:pt>
                <c:pt idx="231">
                  <c:v>16.15</c:v>
                </c:pt>
                <c:pt idx="232">
                  <c:v>16.49</c:v>
                </c:pt>
                <c:pt idx="233">
                  <c:v>16.17</c:v>
                </c:pt>
                <c:pt idx="234">
                  <c:v>15.69</c:v>
                </c:pt>
                <c:pt idx="235">
                  <c:v>15.76</c:v>
                </c:pt>
                <c:pt idx="236">
                  <c:v>15.42</c:v>
                </c:pt>
                <c:pt idx="237">
                  <c:v>15.8</c:v>
                </c:pt>
                <c:pt idx="238">
                  <c:v>16.14</c:v>
                </c:pt>
                <c:pt idx="239">
                  <c:v>15.73</c:v>
                </c:pt>
                <c:pt idx="240">
                  <c:v>15.4</c:v>
                </c:pt>
                <c:pt idx="241">
                  <c:v>15.62</c:v>
                </c:pt>
                <c:pt idx="242">
                  <c:v>14.61</c:v>
                </c:pt>
                <c:pt idx="243">
                  <c:v>14.81</c:v>
                </c:pt>
                <c:pt idx="244">
                  <c:v>14.7</c:v>
                </c:pt>
                <c:pt idx="245">
                  <c:v>14.56</c:v>
                </c:pt>
                <c:pt idx="246">
                  <c:v>14.57</c:v>
                </c:pt>
                <c:pt idx="247">
                  <c:v>14.65</c:v>
                </c:pt>
                <c:pt idx="248">
                  <c:v>14.66</c:v>
                </c:pt>
                <c:pt idx="249">
                  <c:v>14.6</c:v>
                </c:pt>
                <c:pt idx="250">
                  <c:v>14.6</c:v>
                </c:pt>
                <c:pt idx="251">
                  <c:v>14.83</c:v>
                </c:pt>
                <c:pt idx="252">
                  <c:v>14.96</c:v>
                </c:pt>
                <c:pt idx="253">
                  <c:v>14.79</c:v>
                </c:pt>
                <c:pt idx="254">
                  <c:v>14.81</c:v>
                </c:pt>
                <c:pt idx="255">
                  <c:v>14.77</c:v>
                </c:pt>
                <c:pt idx="256">
                  <c:v>14.51</c:v>
                </c:pt>
                <c:pt idx="257">
                  <c:v>14.41</c:v>
                </c:pt>
                <c:pt idx="258">
                  <c:v>14.38</c:v>
                </c:pt>
                <c:pt idx="259">
                  <c:v>14</c:v>
                </c:pt>
                <c:pt idx="260">
                  <c:v>14.17</c:v>
                </c:pt>
                <c:pt idx="261">
                  <c:v>14.4</c:v>
                </c:pt>
                <c:pt idx="262">
                  <c:v>15</c:v>
                </c:pt>
                <c:pt idx="263">
                  <c:v>15.02</c:v>
                </c:pt>
                <c:pt idx="264">
                  <c:v>14.6</c:v>
                </c:pt>
                <c:pt idx="265">
                  <c:v>14.31</c:v>
                </c:pt>
                <c:pt idx="266">
                  <c:v>14.08</c:v>
                </c:pt>
                <c:pt idx="267">
                  <c:v>14.02</c:v>
                </c:pt>
                <c:pt idx="268">
                  <c:v>13.74</c:v>
                </c:pt>
                <c:pt idx="269">
                  <c:v>13.71</c:v>
                </c:pt>
                <c:pt idx="270">
                  <c:v>13.7</c:v>
                </c:pt>
                <c:pt idx="271">
                  <c:v>13.87</c:v>
                </c:pt>
                <c:pt idx="272">
                  <c:v>13.52</c:v>
                </c:pt>
                <c:pt idx="273">
                  <c:v>13.15</c:v>
                </c:pt>
                <c:pt idx="274">
                  <c:v>12.67</c:v>
                </c:pt>
                <c:pt idx="275">
                  <c:v>11.89</c:v>
                </c:pt>
                <c:pt idx="276">
                  <c:v>11.02</c:v>
                </c:pt>
                <c:pt idx="277">
                  <c:v>11.41</c:v>
                </c:pt>
                <c:pt idx="278">
                  <c:v>12.22</c:v>
                </c:pt>
                <c:pt idx="279">
                  <c:v>12.16</c:v>
                </c:pt>
                <c:pt idx="280">
                  <c:v>11.85</c:v>
                </c:pt>
                <c:pt idx="281">
                  <c:v>11.6</c:v>
                </c:pt>
                <c:pt idx="282">
                  <c:v>11.48</c:v>
                </c:pt>
                <c:pt idx="283">
                  <c:v>11.3</c:v>
                </c:pt>
                <c:pt idx="284">
                  <c:v>11.27</c:v>
                </c:pt>
                <c:pt idx="285">
                  <c:v>11.53</c:v>
                </c:pt>
                <c:pt idx="286">
                  <c:v>11.5</c:v>
                </c:pt>
                <c:pt idx="287">
                  <c:v>12.3</c:v>
                </c:pt>
                <c:pt idx="288">
                  <c:v>12.49</c:v>
                </c:pt>
                <c:pt idx="289">
                  <c:v>12.69</c:v>
                </c:pt>
                <c:pt idx="290">
                  <c:v>13.06</c:v>
                </c:pt>
                <c:pt idx="291">
                  <c:v>12.84</c:v>
                </c:pt>
                <c:pt idx="292">
                  <c:v>12.3</c:v>
                </c:pt>
                <c:pt idx="293">
                  <c:v>11.76</c:v>
                </c:pt>
                <c:pt idx="294">
                  <c:v>10.93</c:v>
                </c:pt>
                <c:pt idx="295">
                  <c:v>10.56</c:v>
                </c:pt>
                <c:pt idx="296">
                  <c:v>10.18</c:v>
                </c:pt>
                <c:pt idx="297">
                  <c:v>10.06</c:v>
                </c:pt>
                <c:pt idx="298">
                  <c:v>9.68</c:v>
                </c:pt>
                <c:pt idx="299">
                  <c:v>9.38</c:v>
                </c:pt>
                <c:pt idx="300">
                  <c:v>8.99</c:v>
                </c:pt>
                <c:pt idx="301">
                  <c:v>8.78</c:v>
                </c:pt>
                <c:pt idx="302">
                  <c:v>9.69</c:v>
                </c:pt>
                <c:pt idx="303">
                  <c:v>9.94</c:v>
                </c:pt>
                <c:pt idx="304">
                  <c:v>9.81</c:v>
                </c:pt>
                <c:pt idx="305">
                  <c:v>9.64</c:v>
                </c:pt>
                <c:pt idx="306">
                  <c:v>9.56</c:v>
                </c:pt>
                <c:pt idx="307">
                  <c:v>9.65</c:v>
                </c:pt>
                <c:pt idx="308">
                  <c:v>9.6</c:v>
                </c:pt>
                <c:pt idx="309">
                  <c:v>9.53</c:v>
                </c:pt>
                <c:pt idx="310">
                  <c:v>9.57</c:v>
                </c:pt>
                <c:pt idx="311">
                  <c:v>9.57</c:v>
                </c:pt>
                <c:pt idx="312">
                  <c:v>10</c:v>
                </c:pt>
                <c:pt idx="313">
                  <c:v>11.18</c:v>
                </c:pt>
                <c:pt idx="314">
                  <c:v>11.26</c:v>
                </c:pt>
                <c:pt idx="315">
                  <c:v>10.88</c:v>
                </c:pt>
                <c:pt idx="316">
                  <c:v>10.43</c:v>
                </c:pt>
                <c:pt idx="317">
                  <c:v>10.4</c:v>
                </c:pt>
                <c:pt idx="318">
                  <c:v>10.72</c:v>
                </c:pt>
                <c:pt idx="319">
                  <c:v>11.09</c:v>
                </c:pt>
                <c:pt idx="320">
                  <c:v>11.03</c:v>
                </c:pt>
                <c:pt idx="321">
                  <c:v>10.96</c:v>
                </c:pt>
                <c:pt idx="322">
                  <c:v>10.97</c:v>
                </c:pt>
                <c:pt idx="323">
                  <c:v>10.8</c:v>
                </c:pt>
                <c:pt idx="324">
                  <c:v>10.63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6813497"/>
        <c:axId val="714416828"/>
      </c:barChart>
      <c:lineChart>
        <c:grouping val="standard"/>
        <c:varyColors val="0"/>
        <c:ser>
          <c:idx val="2"/>
          <c:order val="2"/>
          <c:tx>
            <c:strRef>
              <c:f>毛白价差!$D$2</c:f>
              <c:strCache>
                <c:ptCount val="1"/>
                <c:pt idx="0">
                  <c:v>价差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毛白价差!$A$3:$A$395</c:f>
              <c:numCache>
                <c:formatCode>yyyy/m/d;@</c:formatCode>
                <c:ptCount val="393"/>
                <c:pt idx="0" c:formatCode="yyyy/m/d;@">
                  <c:v>43951</c:v>
                </c:pt>
                <c:pt idx="1" c:formatCode="yyyy/m/d;@">
                  <c:v>43958</c:v>
                </c:pt>
                <c:pt idx="2" c:formatCode="yyyy/m/d;@">
                  <c:v>43965</c:v>
                </c:pt>
                <c:pt idx="3" c:formatCode="yyyy/m/d;@">
                  <c:v>43972</c:v>
                </c:pt>
                <c:pt idx="4" c:formatCode="yyyy/m/d;@">
                  <c:v>43979</c:v>
                </c:pt>
                <c:pt idx="5" c:formatCode="yyyy/m/d;@">
                  <c:v>43986</c:v>
                </c:pt>
                <c:pt idx="6" c:formatCode="yyyy/m/d;@">
                  <c:v>43993</c:v>
                </c:pt>
                <c:pt idx="7" c:formatCode="yyyy/m/d;@">
                  <c:v>44000</c:v>
                </c:pt>
                <c:pt idx="8" c:formatCode="yyyy/m/d;@">
                  <c:v>44007</c:v>
                </c:pt>
                <c:pt idx="9" c:formatCode="yyyy/m/d;@">
                  <c:v>44014</c:v>
                </c:pt>
                <c:pt idx="10" c:formatCode="yyyy/m/d;@">
                  <c:v>44021</c:v>
                </c:pt>
                <c:pt idx="11" c:formatCode="yyyy/m/d;@">
                  <c:v>44028</c:v>
                </c:pt>
                <c:pt idx="12" c:formatCode="yyyy/m/d;@">
                  <c:v>44035</c:v>
                </c:pt>
                <c:pt idx="13" c:formatCode="yyyy/m/d;@">
                  <c:v>44042</c:v>
                </c:pt>
                <c:pt idx="14" c:formatCode="yyyy/m/d;@">
                  <c:v>44049</c:v>
                </c:pt>
                <c:pt idx="15" c:formatCode="yyyy/m/d;@">
                  <c:v>44056</c:v>
                </c:pt>
                <c:pt idx="16" c:formatCode="yyyy/m/d;@">
                  <c:v>44063</c:v>
                </c:pt>
                <c:pt idx="17" c:formatCode="yyyy/m/d;@">
                  <c:v>44070</c:v>
                </c:pt>
                <c:pt idx="18" c:formatCode="yyyy/m/d;@">
                  <c:v>44077</c:v>
                </c:pt>
                <c:pt idx="19" c:formatCode="yyyy/m/d;@">
                  <c:v>44084</c:v>
                </c:pt>
                <c:pt idx="20" c:formatCode="yyyy/m/d;@">
                  <c:v>44091</c:v>
                </c:pt>
                <c:pt idx="21" c:formatCode="yyyy/m/d;@">
                  <c:v>44098</c:v>
                </c:pt>
                <c:pt idx="22" c:formatCode="yyyy/m/d;@">
                  <c:v>44104</c:v>
                </c:pt>
                <c:pt idx="23" c:formatCode="yyyy/m/d;@">
                  <c:v>44112</c:v>
                </c:pt>
                <c:pt idx="24" c:formatCode="yyyy/m/d;@">
                  <c:v>44119</c:v>
                </c:pt>
                <c:pt idx="25" c:formatCode="yyyy/m/d;@">
                  <c:v>44126</c:v>
                </c:pt>
                <c:pt idx="26" c:formatCode="yyyy/m/d;@">
                  <c:v>44133</c:v>
                </c:pt>
                <c:pt idx="27" c:formatCode="yyyy/m/d;@">
                  <c:v>44140</c:v>
                </c:pt>
                <c:pt idx="28" c:formatCode="yyyy/m/d;@">
                  <c:v>44147</c:v>
                </c:pt>
                <c:pt idx="29" c:formatCode="yyyy/m/d;@">
                  <c:v>44154</c:v>
                </c:pt>
                <c:pt idx="30" c:formatCode="yyyy/m/d;@">
                  <c:v>44161</c:v>
                </c:pt>
                <c:pt idx="31" c:formatCode="yyyy/m/d;@">
                  <c:v>44168</c:v>
                </c:pt>
                <c:pt idx="32" c:formatCode="yyyy/m/d;@">
                  <c:v>44175</c:v>
                </c:pt>
                <c:pt idx="33" c:formatCode="yyyy/m/d;@">
                  <c:v>44182</c:v>
                </c:pt>
                <c:pt idx="34" c:formatCode="yyyy/m/d;@">
                  <c:v>44189</c:v>
                </c:pt>
                <c:pt idx="35" c:formatCode="yyyy/m/d;@">
                  <c:v>44196</c:v>
                </c:pt>
                <c:pt idx="36" c:formatCode="yyyy/m/d;@">
                  <c:v>44203</c:v>
                </c:pt>
                <c:pt idx="37" c:formatCode="yyyy/m/d;@">
                  <c:v>44210</c:v>
                </c:pt>
                <c:pt idx="38" c:formatCode="yyyy/m/d;@">
                  <c:v>44217</c:v>
                </c:pt>
                <c:pt idx="39" c:formatCode="yyyy/m/d;@">
                  <c:v>44224</c:v>
                </c:pt>
                <c:pt idx="40" c:formatCode="yyyy/m/d;@">
                  <c:v>44231</c:v>
                </c:pt>
                <c:pt idx="41" c:formatCode="yyyy/m/d;@">
                  <c:v>44245</c:v>
                </c:pt>
                <c:pt idx="42" c:formatCode="yyyy/m/d;@">
                  <c:v>44252</c:v>
                </c:pt>
                <c:pt idx="43" c:formatCode="yyyy/m/d;@">
                  <c:v>44259</c:v>
                </c:pt>
                <c:pt idx="44" c:formatCode="yyyy/m/d;@">
                  <c:v>44266</c:v>
                </c:pt>
                <c:pt idx="45" c:formatCode="yyyy/m/d;@">
                  <c:v>44273</c:v>
                </c:pt>
                <c:pt idx="46" c:formatCode="yyyy/m/d;@">
                  <c:v>44280</c:v>
                </c:pt>
                <c:pt idx="47" c:formatCode="yyyy/m/d;@">
                  <c:v>44287</c:v>
                </c:pt>
                <c:pt idx="48" c:formatCode="yyyy/m/d;@">
                  <c:v>44294</c:v>
                </c:pt>
                <c:pt idx="49" c:formatCode="yyyy/m/d;@">
                  <c:v>44301</c:v>
                </c:pt>
                <c:pt idx="50" c:formatCode="yyyy/m/d;@">
                  <c:v>44308</c:v>
                </c:pt>
                <c:pt idx="51" c:formatCode="yyyy/m/d;@">
                  <c:v>44315</c:v>
                </c:pt>
                <c:pt idx="52" c:formatCode="yyyy/m/d;@">
                  <c:v>44322</c:v>
                </c:pt>
                <c:pt idx="53" c:formatCode="yyyy/m/d;@">
                  <c:v>44329</c:v>
                </c:pt>
                <c:pt idx="54" c:formatCode="yyyy/m/d;@">
                  <c:v>44336</c:v>
                </c:pt>
                <c:pt idx="55" c:formatCode="yyyy/m/d;@">
                  <c:v>44343</c:v>
                </c:pt>
                <c:pt idx="56" c:formatCode="yyyy/m/d;@">
                  <c:v>44350</c:v>
                </c:pt>
                <c:pt idx="57" c:formatCode="yyyy/m/d;@">
                  <c:v>44357</c:v>
                </c:pt>
                <c:pt idx="58" c:formatCode="yyyy/m/d;@">
                  <c:v>44364</c:v>
                </c:pt>
                <c:pt idx="59" c:formatCode="yyyy/m/d;@">
                  <c:v>44371</c:v>
                </c:pt>
                <c:pt idx="60" c:formatCode="yyyy/m/d;@">
                  <c:v>44378</c:v>
                </c:pt>
                <c:pt idx="61" c:formatCode="yyyy/m/d;@">
                  <c:v>44385</c:v>
                </c:pt>
                <c:pt idx="62" c:formatCode="yyyy/m/d;@">
                  <c:v>44392</c:v>
                </c:pt>
                <c:pt idx="63" c:formatCode="yyyy/m/d;@">
                  <c:v>44399</c:v>
                </c:pt>
                <c:pt idx="64" c:formatCode="yyyy/m/d;@">
                  <c:v>44406</c:v>
                </c:pt>
                <c:pt idx="65" c:formatCode="yyyy/m/d;@">
                  <c:v>44413</c:v>
                </c:pt>
                <c:pt idx="66" c:formatCode="yyyy/m/d;@">
                  <c:v>44420</c:v>
                </c:pt>
                <c:pt idx="67" c:formatCode="yyyy/m/d;@">
                  <c:v>44427</c:v>
                </c:pt>
                <c:pt idx="68" c:formatCode="yyyy/m/d;@">
                  <c:v>44434</c:v>
                </c:pt>
                <c:pt idx="69" c:formatCode="yyyy/m/d;@">
                  <c:v>44441</c:v>
                </c:pt>
                <c:pt idx="70" c:formatCode="yyyy/m/d;@">
                  <c:v>44448</c:v>
                </c:pt>
                <c:pt idx="71" c:formatCode="yyyy/m/d;@">
                  <c:v>44455</c:v>
                </c:pt>
                <c:pt idx="72" c:formatCode="yyyy/m/d;@">
                  <c:v>44462</c:v>
                </c:pt>
                <c:pt idx="73" c:formatCode="yyyy/m/d;@">
                  <c:v>44469</c:v>
                </c:pt>
                <c:pt idx="74" c:formatCode="yyyy/m/d;@">
                  <c:v>44477</c:v>
                </c:pt>
                <c:pt idx="75" c:formatCode="yyyy/m/d;@">
                  <c:v>44483</c:v>
                </c:pt>
                <c:pt idx="76" c:formatCode="yyyy/m/d;@">
                  <c:v>44490</c:v>
                </c:pt>
                <c:pt idx="77" c:formatCode="yyyy/m/d;@">
                  <c:v>44497</c:v>
                </c:pt>
                <c:pt idx="78" c:formatCode="yyyy/m/d;@">
                  <c:v>44504</c:v>
                </c:pt>
                <c:pt idx="79" c:formatCode="yyyy/m/d;@">
                  <c:v>44511</c:v>
                </c:pt>
                <c:pt idx="80" c:formatCode="yyyy/m/d;@">
                  <c:v>44518</c:v>
                </c:pt>
                <c:pt idx="81" c:formatCode="yyyy/m/d;@">
                  <c:v>44525</c:v>
                </c:pt>
                <c:pt idx="82" c:formatCode="yyyy/m/d;@">
                  <c:v>44532</c:v>
                </c:pt>
                <c:pt idx="83" c:formatCode="yyyy/m/d;@">
                  <c:v>44539</c:v>
                </c:pt>
                <c:pt idx="84" c:formatCode="yyyy/m/d;@">
                  <c:v>44546</c:v>
                </c:pt>
                <c:pt idx="85" c:formatCode="yyyy/m/d;@">
                  <c:v>44553</c:v>
                </c:pt>
                <c:pt idx="86" c:formatCode="yyyy/m/d;@">
                  <c:v>44560</c:v>
                </c:pt>
                <c:pt idx="87" c:formatCode="yyyy/m/d;@">
                  <c:v>44567</c:v>
                </c:pt>
                <c:pt idx="88" c:formatCode="yyyy/m/d;@">
                  <c:v>44574</c:v>
                </c:pt>
                <c:pt idx="89" c:formatCode="yyyy/m/d;@">
                  <c:v>44581</c:v>
                </c:pt>
                <c:pt idx="90" c:formatCode="yyyy/m/d;@">
                  <c:v>44587</c:v>
                </c:pt>
                <c:pt idx="91" c:formatCode="yyyy/m/d;@">
                  <c:v>44602</c:v>
                </c:pt>
                <c:pt idx="92" c:formatCode="yyyy/m/d;@">
                  <c:v>44609</c:v>
                </c:pt>
                <c:pt idx="93" c:formatCode="yyyy/m/d;@">
                  <c:v>44616</c:v>
                </c:pt>
                <c:pt idx="94" c:formatCode="yyyy/m/d;@">
                  <c:v>44623</c:v>
                </c:pt>
                <c:pt idx="95" c:formatCode="yyyy/m/d;@">
                  <c:v>44630</c:v>
                </c:pt>
                <c:pt idx="96" c:formatCode="yyyy/m/d;@">
                  <c:v>44637</c:v>
                </c:pt>
                <c:pt idx="97" c:formatCode="yyyy/m/d;@">
                  <c:v>44644</c:v>
                </c:pt>
                <c:pt idx="98" c:formatCode="yyyy/m/d;@">
                  <c:v>44651</c:v>
                </c:pt>
                <c:pt idx="99" c:formatCode="yyyy/m/d;@">
                  <c:v>44658</c:v>
                </c:pt>
                <c:pt idx="100" c:formatCode="yyyy/m/d;@">
                  <c:v>44665</c:v>
                </c:pt>
                <c:pt idx="101" c:formatCode="yyyy/m/d;@">
                  <c:v>44672</c:v>
                </c:pt>
                <c:pt idx="102" c:formatCode="yyyy/m/d;@">
                  <c:v>44679</c:v>
                </c:pt>
                <c:pt idx="103" c:formatCode="yyyy/m/d;@">
                  <c:v>44686</c:v>
                </c:pt>
                <c:pt idx="104" c:formatCode="yyyy/m/d;@">
                  <c:v>44693</c:v>
                </c:pt>
                <c:pt idx="105" c:formatCode="yyyy/m/d;@">
                  <c:v>44700</c:v>
                </c:pt>
                <c:pt idx="106" c:formatCode="yyyy/m/d;@">
                  <c:v>44707</c:v>
                </c:pt>
                <c:pt idx="107" c:formatCode="yyyy/m/d;@">
                  <c:v>44714</c:v>
                </c:pt>
                <c:pt idx="108" c:formatCode="yyyy/m/d;@">
                  <c:v>44721</c:v>
                </c:pt>
                <c:pt idx="109" c:formatCode="yyyy/m/d;@">
                  <c:v>44728</c:v>
                </c:pt>
                <c:pt idx="110" c:formatCode="yyyy/m/d;@">
                  <c:v>44735</c:v>
                </c:pt>
                <c:pt idx="111" c:formatCode="yyyy/m/d;@">
                  <c:v>44742</c:v>
                </c:pt>
                <c:pt idx="112" c:formatCode="yyyy/m/d;@">
                  <c:v>44749</c:v>
                </c:pt>
                <c:pt idx="113" c:formatCode="yyyy/m/d;@">
                  <c:v>44756</c:v>
                </c:pt>
                <c:pt idx="114" c:formatCode="yyyy/m/d;@">
                  <c:v>44763</c:v>
                </c:pt>
                <c:pt idx="115" c:formatCode="yyyy/m/d;@">
                  <c:v>44770</c:v>
                </c:pt>
                <c:pt idx="116" c:formatCode="yyyy/m/d;@">
                  <c:v>44777</c:v>
                </c:pt>
                <c:pt idx="117" c:formatCode="yyyy/m/d;@">
                  <c:v>44784</c:v>
                </c:pt>
                <c:pt idx="118" c:formatCode="yyyy/m/d;@">
                  <c:v>44791</c:v>
                </c:pt>
                <c:pt idx="119" c:formatCode="yyyy/m/d;@">
                  <c:v>44798</c:v>
                </c:pt>
                <c:pt idx="120" c:formatCode="yyyy/m/d;@">
                  <c:v>44805</c:v>
                </c:pt>
                <c:pt idx="121" c:formatCode="yyyy/m/d;@">
                  <c:v>44812</c:v>
                </c:pt>
                <c:pt idx="122" c:formatCode="yyyy/m/d;@">
                  <c:v>44819</c:v>
                </c:pt>
                <c:pt idx="123" c:formatCode="yyyy/m/d;@">
                  <c:v>44826</c:v>
                </c:pt>
                <c:pt idx="124" c:formatCode="yyyy/m/d;@">
                  <c:v>44833</c:v>
                </c:pt>
                <c:pt idx="125" c:formatCode="yyyy/m/d;@">
                  <c:v>44842</c:v>
                </c:pt>
                <c:pt idx="126" c:formatCode="yyyy/m/d;@">
                  <c:v>44847</c:v>
                </c:pt>
                <c:pt idx="127" c:formatCode="yyyy/m/d;@">
                  <c:v>44854</c:v>
                </c:pt>
                <c:pt idx="128" c:formatCode="yyyy/m/d;@">
                  <c:v>44861</c:v>
                </c:pt>
                <c:pt idx="129" c:formatCode="yyyy/m/d;@">
                  <c:v>44868</c:v>
                </c:pt>
                <c:pt idx="130" c:formatCode="yyyy/m/d;@">
                  <c:v>44875</c:v>
                </c:pt>
                <c:pt idx="131" c:formatCode="yyyy/m/d;@">
                  <c:v>44882</c:v>
                </c:pt>
                <c:pt idx="132" c:formatCode="yyyy/m/d;@">
                  <c:v>44889</c:v>
                </c:pt>
                <c:pt idx="133" c:formatCode="yyyy/m/d;@">
                  <c:v>44896</c:v>
                </c:pt>
                <c:pt idx="134" c:formatCode="yyyy/m/d;@">
                  <c:v>44903</c:v>
                </c:pt>
                <c:pt idx="135" c:formatCode="yyyy/m/d;@">
                  <c:v>44910</c:v>
                </c:pt>
                <c:pt idx="136" c:formatCode="yyyy/m/d;@">
                  <c:v>44917</c:v>
                </c:pt>
                <c:pt idx="137" c:formatCode="yyyy/m/d;@">
                  <c:v>44924</c:v>
                </c:pt>
                <c:pt idx="138" c:formatCode="yyyy/m/d;@">
                  <c:v>44931</c:v>
                </c:pt>
                <c:pt idx="139" c:formatCode="yyyy/m/d;@">
                  <c:v>44938</c:v>
                </c:pt>
                <c:pt idx="140" c:formatCode="yyyy/m/d;@">
                  <c:v>44959</c:v>
                </c:pt>
                <c:pt idx="141" c:formatCode="yyyy/m/d;@">
                  <c:v>44966</c:v>
                </c:pt>
                <c:pt idx="142" c:formatCode="yyyy/m/d;@">
                  <c:v>44973</c:v>
                </c:pt>
                <c:pt idx="143" c:formatCode="yyyy/m/d;@">
                  <c:v>44980</c:v>
                </c:pt>
                <c:pt idx="144" c:formatCode="yyyy/m/d;@">
                  <c:v>44987</c:v>
                </c:pt>
                <c:pt idx="145" c:formatCode="yyyy/m/d;@">
                  <c:v>44994</c:v>
                </c:pt>
                <c:pt idx="146" c:formatCode="yyyy/m/d;@">
                  <c:v>45001</c:v>
                </c:pt>
                <c:pt idx="147" c:formatCode="yyyy/m/d;@">
                  <c:v>45008</c:v>
                </c:pt>
                <c:pt idx="148" c:formatCode="yyyy/m/d;@">
                  <c:v>45015</c:v>
                </c:pt>
                <c:pt idx="149" c:formatCode="yyyy/m/d;@">
                  <c:v>45022</c:v>
                </c:pt>
                <c:pt idx="150" c:formatCode="yyyy/m/d;@">
                  <c:v>45029</c:v>
                </c:pt>
                <c:pt idx="151" c:formatCode="yyyy/m/d;@">
                  <c:v>45036</c:v>
                </c:pt>
                <c:pt idx="152" c:formatCode="yyyy/m/d;@">
                  <c:v>45043</c:v>
                </c:pt>
                <c:pt idx="153" c:formatCode="yyyy/m/d;@">
                  <c:v>45050</c:v>
                </c:pt>
                <c:pt idx="154" c:formatCode="yyyy/m/d;@">
                  <c:v>45057</c:v>
                </c:pt>
                <c:pt idx="155" c:formatCode="yyyy/m/d;@">
                  <c:v>45064</c:v>
                </c:pt>
                <c:pt idx="156" c:formatCode="yyyy/m/d;@">
                  <c:v>45071</c:v>
                </c:pt>
                <c:pt idx="157" c:formatCode="yyyy/m/d;@">
                  <c:v>45078</c:v>
                </c:pt>
                <c:pt idx="158" c:formatCode="yyyy/m/d;@">
                  <c:v>45085</c:v>
                </c:pt>
                <c:pt idx="159" c:formatCode="yyyy/m/d;@">
                  <c:v>45092</c:v>
                </c:pt>
                <c:pt idx="160" c:formatCode="yyyy/m/d;@">
                  <c:v>45098</c:v>
                </c:pt>
                <c:pt idx="161" c:formatCode="yyyy/m/d;@">
                  <c:v>45106</c:v>
                </c:pt>
                <c:pt idx="162" c:formatCode="yyyy/m/d;@">
                  <c:v>45113</c:v>
                </c:pt>
                <c:pt idx="163" c:formatCode="yyyy/m/d;@">
                  <c:v>45120</c:v>
                </c:pt>
                <c:pt idx="164" c:formatCode="yyyy/m/d;@">
                  <c:v>45127</c:v>
                </c:pt>
                <c:pt idx="165" c:formatCode="yyyy/m/d;@">
                  <c:v>45134</c:v>
                </c:pt>
                <c:pt idx="166" c:formatCode="yyyy/m/d;@">
                  <c:v>45141</c:v>
                </c:pt>
                <c:pt idx="167" c:formatCode="yyyy/m/d;@">
                  <c:v>45148</c:v>
                </c:pt>
                <c:pt idx="168" c:formatCode="yyyy/m/d;@">
                  <c:v>45155</c:v>
                </c:pt>
                <c:pt idx="169" c:formatCode="yyyy/m/d;@">
                  <c:v>45162</c:v>
                </c:pt>
                <c:pt idx="170" c:formatCode="yyyy/m/d;@">
                  <c:v>45169</c:v>
                </c:pt>
                <c:pt idx="171" c:formatCode="yyyy/m/d;@">
                  <c:v>45176</c:v>
                </c:pt>
                <c:pt idx="172" c:formatCode="yyyy/m/d;@">
                  <c:v>45183</c:v>
                </c:pt>
                <c:pt idx="173" c:formatCode="yyyy/m/d;@">
                  <c:v>45190</c:v>
                </c:pt>
                <c:pt idx="174" c:formatCode="yyyy/m/d;@">
                  <c:v>45197</c:v>
                </c:pt>
                <c:pt idx="175" c:formatCode="yyyy/m/d;@">
                  <c:v>45205</c:v>
                </c:pt>
                <c:pt idx="176" c:formatCode="yyyy/m/d;@">
                  <c:v>45211</c:v>
                </c:pt>
                <c:pt idx="177" c:formatCode="yyyy/m/d;@">
                  <c:v>45218</c:v>
                </c:pt>
                <c:pt idx="178" c:formatCode="yyyy/m/d;@">
                  <c:v>45225</c:v>
                </c:pt>
                <c:pt idx="179" c:formatCode="yyyy/m/d;@">
                  <c:v>45232</c:v>
                </c:pt>
                <c:pt idx="180" c:formatCode="yyyy/m/d;@">
                  <c:v>45239</c:v>
                </c:pt>
                <c:pt idx="181" c:formatCode="yyyy/m/d;@">
                  <c:v>45246</c:v>
                </c:pt>
                <c:pt idx="182" c:formatCode="yyyy/m/d;@">
                  <c:v>45253</c:v>
                </c:pt>
                <c:pt idx="183" c:formatCode="yyyy/m/d;@">
                  <c:v>45260</c:v>
                </c:pt>
                <c:pt idx="184" c:formatCode="yyyy/m/d;@">
                  <c:v>45267</c:v>
                </c:pt>
                <c:pt idx="185" c:formatCode="yyyy/m/d;@">
                  <c:v>45274</c:v>
                </c:pt>
                <c:pt idx="186" c:formatCode="yyyy/m/d;@">
                  <c:v>45281</c:v>
                </c:pt>
                <c:pt idx="187" c:formatCode="yyyy/m/d;@">
                  <c:v>45288</c:v>
                </c:pt>
                <c:pt idx="188" c:formatCode="yyyy/m/d;@">
                  <c:v>45295</c:v>
                </c:pt>
                <c:pt idx="189" c:formatCode="yyyy/m/d;@">
                  <c:v>45302</c:v>
                </c:pt>
                <c:pt idx="190" c:formatCode="yyyy/m/d;@">
                  <c:v>45309</c:v>
                </c:pt>
                <c:pt idx="191" c:formatCode="yyyy/m/d;@">
                  <c:v>45316</c:v>
                </c:pt>
                <c:pt idx="192" c:formatCode="yyyy/m/d;@">
                  <c:v>45323</c:v>
                </c:pt>
                <c:pt idx="193" c:formatCode="yyyy/m/d;@">
                  <c:v>45344</c:v>
                </c:pt>
                <c:pt idx="194" c:formatCode="yyyy/m/d;@">
                  <c:v>45351</c:v>
                </c:pt>
                <c:pt idx="195" c:formatCode="yyyy/m/d;@">
                  <c:v>45358</c:v>
                </c:pt>
                <c:pt idx="196" c:formatCode="yyyy/m/d;@">
                  <c:v>45365</c:v>
                </c:pt>
                <c:pt idx="197" c:formatCode="yyyy/m/d;@">
                  <c:v>45372</c:v>
                </c:pt>
                <c:pt idx="198" c:formatCode="yyyy/m/d;@">
                  <c:v>45379</c:v>
                </c:pt>
                <c:pt idx="199" c:formatCode="yyyy/m/d;@">
                  <c:v>45385</c:v>
                </c:pt>
                <c:pt idx="200" c:formatCode="yyyy/m/d;@">
                  <c:v>45393</c:v>
                </c:pt>
                <c:pt idx="201" c:formatCode="yyyy/m/d;@">
                  <c:v>45400</c:v>
                </c:pt>
                <c:pt idx="202" c:formatCode="yyyy/m/d;@">
                  <c:v>45407</c:v>
                </c:pt>
                <c:pt idx="203" c:formatCode="yyyy/m/d;@">
                  <c:v>45414</c:v>
                </c:pt>
                <c:pt idx="204" c:formatCode="yyyy/m/d;@">
                  <c:v>45421</c:v>
                </c:pt>
                <c:pt idx="205" c:formatCode="yyyy/m/d;@">
                  <c:v>45428</c:v>
                </c:pt>
                <c:pt idx="206" c:formatCode="yyyy/m/d;@">
                  <c:v>45435</c:v>
                </c:pt>
                <c:pt idx="207" c:formatCode="yyyy/m/d;@">
                  <c:v>45442</c:v>
                </c:pt>
                <c:pt idx="208" c:formatCode="yyyy/m/d;@">
                  <c:v>45449</c:v>
                </c:pt>
                <c:pt idx="209" c:formatCode="yyyy/m/d;@">
                  <c:v>45456</c:v>
                </c:pt>
                <c:pt idx="210" c:formatCode="yyyy/m/d;@">
                  <c:v>45463</c:v>
                </c:pt>
                <c:pt idx="211" c:formatCode="yyyy/m/d;@">
                  <c:v>45470</c:v>
                </c:pt>
                <c:pt idx="212" c:formatCode="yyyy/m/d;@">
                  <c:v>45477</c:v>
                </c:pt>
                <c:pt idx="213" c:formatCode="yyyy/m/d;@">
                  <c:v>45484</c:v>
                </c:pt>
                <c:pt idx="214" c:formatCode="yyyy/m/d;@">
                  <c:v>45491</c:v>
                </c:pt>
                <c:pt idx="215" c:formatCode="yyyy/m/d;@">
                  <c:v>45498</c:v>
                </c:pt>
                <c:pt idx="216" c:formatCode="yyyy/m/d;@">
                  <c:v>45505</c:v>
                </c:pt>
                <c:pt idx="217" c:formatCode="yyyy/m/d;@">
                  <c:v>45512</c:v>
                </c:pt>
                <c:pt idx="218" c:formatCode="yyyy/m/d;@">
                  <c:v>45519</c:v>
                </c:pt>
                <c:pt idx="219" c:formatCode="yyyy/m/d;@">
                  <c:v>45526</c:v>
                </c:pt>
                <c:pt idx="220" c:formatCode="yyyy/m/d;@">
                  <c:v>45533</c:v>
                </c:pt>
                <c:pt idx="221" c:formatCode="yyyy/m/d;@">
                  <c:v>45540</c:v>
                </c:pt>
                <c:pt idx="222" c:formatCode="yyyy/m/d;@">
                  <c:v>45547</c:v>
                </c:pt>
                <c:pt idx="223" c:formatCode="yyyy/m/d;@">
                  <c:v>45554</c:v>
                </c:pt>
                <c:pt idx="224" c:formatCode="yyyy/m/d;@">
                  <c:v>45561</c:v>
                </c:pt>
                <c:pt idx="225" c:formatCode="yyyy/m/d;@">
                  <c:v>45575</c:v>
                </c:pt>
                <c:pt idx="226" c:formatCode="yyyy/m/d;@">
                  <c:v>45582</c:v>
                </c:pt>
                <c:pt idx="227" c:formatCode="yyyy/m/d;@">
                  <c:v>45589</c:v>
                </c:pt>
                <c:pt idx="228" c:formatCode="yyyy/m/d;@">
                  <c:v>45596</c:v>
                </c:pt>
                <c:pt idx="229" c:formatCode="yyyy/m/d;@">
                  <c:v>45603</c:v>
                </c:pt>
                <c:pt idx="230" c:formatCode="yyyy/m/d;@">
                  <c:v>45610</c:v>
                </c:pt>
                <c:pt idx="231" c:formatCode="yyyy/m/d;@">
                  <c:v>45617</c:v>
                </c:pt>
                <c:pt idx="232" c:formatCode="yyyy/m/d;@">
                  <c:v>45624</c:v>
                </c:pt>
                <c:pt idx="233" c:formatCode="yyyy/m/d;@">
                  <c:v>45631</c:v>
                </c:pt>
                <c:pt idx="234" c:formatCode="yyyy/m/d;@">
                  <c:v>45638</c:v>
                </c:pt>
                <c:pt idx="235" c:formatCode="yyyy/m/d;@">
                  <c:v>45645</c:v>
                </c:pt>
                <c:pt idx="236" c:formatCode="yyyy/m/d;@">
                  <c:v>45652</c:v>
                </c:pt>
                <c:pt idx="237" c:formatCode="yyyy/m/d;@">
                  <c:v>45659</c:v>
                </c:pt>
                <c:pt idx="238" c:formatCode="yyyy/m/d;@">
                  <c:v>45666</c:v>
                </c:pt>
                <c:pt idx="239" c:formatCode="yyyy/m/d;@">
                  <c:v>45673</c:v>
                </c:pt>
                <c:pt idx="240" c:formatCode="yyyy/m/d;@">
                  <c:v>45680</c:v>
                </c:pt>
                <c:pt idx="241" c:formatCode="yyyy/m/d;@">
                  <c:v>45694</c:v>
                </c:pt>
                <c:pt idx="242" c:formatCode="yyyy/m/d;@">
                  <c:v>45701</c:v>
                </c:pt>
                <c:pt idx="243" c:formatCode="yyyy/m/d;@">
                  <c:v>45708</c:v>
                </c:pt>
                <c:pt idx="244" c:formatCode="yyyy/m/d;@">
                  <c:v>45715</c:v>
                </c:pt>
                <c:pt idx="245" c:formatCode="yyyy/m/d;@">
                  <c:v>45722</c:v>
                </c:pt>
                <c:pt idx="246" c:formatCode="yyyy/m/d;@">
                  <c:v>45729</c:v>
                </c:pt>
                <c:pt idx="247" c:formatCode="yyyy/m/d;@">
                  <c:v>45736</c:v>
                </c:pt>
                <c:pt idx="248" c:formatCode="yyyy/m/d;@">
                  <c:v>45743</c:v>
                </c:pt>
                <c:pt idx="249" c:formatCode="yyyy/m/d;@">
                  <c:v>45750</c:v>
                </c:pt>
                <c:pt idx="250" c:formatCode="yyyy/m/d;@">
                  <c:v>45757</c:v>
                </c:pt>
                <c:pt idx="251" c:formatCode="yyyy/m/d;@">
                  <c:v>45764</c:v>
                </c:pt>
                <c:pt idx="252" c:formatCode="yyyy/m/d;@">
                  <c:v>45771</c:v>
                </c:pt>
                <c:pt idx="253" c:formatCode="yyyy/m/d;@">
                  <c:v>45777</c:v>
                </c:pt>
                <c:pt idx="254" c:formatCode="yyyy/m/d;@">
                  <c:v>45785</c:v>
                </c:pt>
                <c:pt idx="255" c:formatCode="yyyy/m/d;@">
                  <c:v>45792</c:v>
                </c:pt>
                <c:pt idx="256" c:formatCode="yyyy/m/d;@">
                  <c:v>45799</c:v>
                </c:pt>
                <c:pt idx="257" c:formatCode="yyyy/m/d;@">
                  <c:v>45806</c:v>
                </c:pt>
                <c:pt idx="258" c:formatCode="yyyy/m/d;@">
                  <c:v>45813</c:v>
                </c:pt>
                <c:pt idx="259" c:formatCode="yyyy/m/d;@">
                  <c:v>45820</c:v>
                </c:pt>
                <c:pt idx="260" c:formatCode="yyyy/m/d;@">
                  <c:v>45827</c:v>
                </c:pt>
                <c:pt idx="261" c:formatCode="yyyy/m/d;@">
                  <c:v>45834</c:v>
                </c:pt>
                <c:pt idx="262" c:formatCode="yyyy/m/d;@">
                  <c:v>45841</c:v>
                </c:pt>
                <c:pt idx="263" c:formatCode="yyyy/m/d;@">
                  <c:v>45848</c:v>
                </c:pt>
                <c:pt idx="264" c:formatCode="yyyy/m/d;@">
                  <c:v>45855</c:v>
                </c:pt>
                <c:pt idx="265" c:formatCode="yyyy/m/d;@">
                  <c:v>45862</c:v>
                </c:pt>
                <c:pt idx="266" c:formatCode="yyyy/m/d;@">
                  <c:v>45869</c:v>
                </c:pt>
                <c:pt idx="267" c:formatCode="yyyy/m/d;@">
                  <c:v>45876</c:v>
                </c:pt>
                <c:pt idx="268" c:formatCode="yyyy/m/d;@">
                  <c:v>45883</c:v>
                </c:pt>
                <c:pt idx="269" c:formatCode="yyyy/m/d;@">
                  <c:v>45890</c:v>
                </c:pt>
                <c:pt idx="270" c:formatCode="yyyy/m/d;@">
                  <c:v>45897</c:v>
                </c:pt>
                <c:pt idx="271" c:formatCode="yyyy/m/d;@">
                  <c:v>45904</c:v>
                </c:pt>
                <c:pt idx="272" c:formatCode="yyyy/m/d;@">
                  <c:v>45911</c:v>
                </c:pt>
                <c:pt idx="273" c:formatCode="yyyy/m/d;@">
                  <c:v>45918</c:v>
                </c:pt>
                <c:pt idx="274" c:formatCode="yyyy/m/d;@">
                  <c:v>45925</c:v>
                </c:pt>
                <c:pt idx="275" c:formatCode="yyyy/m/d;@">
                  <c:v>45939</c:v>
                </c:pt>
                <c:pt idx="276" c:formatCode="yyyy/m/d;@">
                  <c:v>45946</c:v>
                </c:pt>
                <c:pt idx="277" c:formatCode="yyyy/m/d;@">
                  <c:v>45953</c:v>
                </c:pt>
                <c:pt idx="278" c:formatCode="yyyy/m/d;@">
                  <c:v>45960</c:v>
                </c:pt>
                <c:pt idx="279" c:formatCode="yyyy/m/d;@">
                  <c:v>45967</c:v>
                </c:pt>
                <c:pt idx="280" c:formatCode="yyyy/m/d;@">
                  <c:v>45974</c:v>
                </c:pt>
                <c:pt idx="281" c:formatCode="yyyy/m/d;@">
                  <c:v>45981</c:v>
                </c:pt>
                <c:pt idx="282" c:formatCode="yyyy/m/d;@">
                  <c:v>45988</c:v>
                </c:pt>
                <c:pt idx="283" c:formatCode="yyyy/m/d;@">
                  <c:v>45995</c:v>
                </c:pt>
                <c:pt idx="284" c:formatCode="yyyy/m/d;@">
                  <c:v>46002</c:v>
                </c:pt>
                <c:pt idx="285" c:formatCode="yyyy/m/d;@">
                  <c:v>46009</c:v>
                </c:pt>
                <c:pt idx="286" c:formatCode="yyyy/m/d;@">
                  <c:v>46016</c:v>
                </c:pt>
                <c:pt idx="287" c:formatCode="yyyy/m/d;@">
                  <c:v>46023</c:v>
                </c:pt>
                <c:pt idx="288" c:formatCode="yyyy/m/d;@">
                  <c:v>46030</c:v>
                </c:pt>
                <c:pt idx="289" c:formatCode="yyyy/m/d;@">
                  <c:v>46037</c:v>
                </c:pt>
                <c:pt idx="290" c:formatCode="yyyy/m/d;@">
                  <c:v>46044</c:v>
                </c:pt>
                <c:pt idx="291" c:formatCode="yyyy/m/d;@">
                  <c:v>46051</c:v>
                </c:pt>
                <c:pt idx="292" c:formatCode="yyyy/m/d;@">
                  <c:v>46058</c:v>
                </c:pt>
                <c:pt idx="293" c:formatCode="yyyy/m/d;@">
                  <c:v>46065</c:v>
                </c:pt>
                <c:pt idx="294" c:formatCode="yyyy/m/d;@">
                  <c:v>46079</c:v>
                </c:pt>
                <c:pt idx="295" c:formatCode="yyyy/m/d;@">
                  <c:v>46086</c:v>
                </c:pt>
                <c:pt idx="296" c:formatCode="yyyy/m/d;@">
                  <c:v>46093</c:v>
                </c:pt>
                <c:pt idx="297" c:formatCode="yyyy/m/d;@">
                  <c:v>46100</c:v>
                </c:pt>
                <c:pt idx="298" c:formatCode="yyyy/m/d;@">
                  <c:v>46107</c:v>
                </c:pt>
                <c:pt idx="299" c:formatCode="yyyy/m/d;@">
                  <c:v>46114</c:v>
                </c:pt>
                <c:pt idx="300" c:formatCode="yyyy/m/d;@">
                  <c:v>46121</c:v>
                </c:pt>
                <c:pt idx="301" c:formatCode="yyyy/m/d;@">
                  <c:v>46128</c:v>
                </c:pt>
                <c:pt idx="302" c:formatCode="yyyy/m/d;@">
                  <c:v>46135</c:v>
                </c:pt>
                <c:pt idx="303" c:formatCode="yyyy/m/d;@">
                  <c:v>46142</c:v>
                </c:pt>
                <c:pt idx="304" c:formatCode="yyyy/m/d;@">
                  <c:v>46149</c:v>
                </c:pt>
                <c:pt idx="305" c:formatCode="yyyy/m/d;@">
                  <c:v>46156</c:v>
                </c:pt>
                <c:pt idx="306" c:formatCode="yyyy/m/d;@">
                  <c:v>46163</c:v>
                </c:pt>
                <c:pt idx="307" c:formatCode="yyyy/m/d;@">
                  <c:v>46170</c:v>
                </c:pt>
                <c:pt idx="308" c:formatCode="yyyy/m/d;@">
                  <c:v>46177</c:v>
                </c:pt>
                <c:pt idx="309" c:formatCode="yyyy/m/d;@">
                  <c:v>46184</c:v>
                </c:pt>
                <c:pt idx="310" c:formatCode="yyyy/m/d;@">
                  <c:v>46191</c:v>
                </c:pt>
                <c:pt idx="311" c:formatCode="yyyy/m/d;@">
                  <c:v>46198</c:v>
                </c:pt>
                <c:pt idx="312" c:formatCode="yyyy/m/d;@">
                  <c:v>46205</c:v>
                </c:pt>
                <c:pt idx="313" c:formatCode="yyyy/m/d;@">
                  <c:v>46212</c:v>
                </c:pt>
                <c:pt idx="314" c:formatCode="yyyy/m/d;@">
                  <c:v>46219</c:v>
                </c:pt>
                <c:pt idx="315" c:formatCode="yyyy/m/d;@">
                  <c:v>46226</c:v>
                </c:pt>
                <c:pt idx="316" c:formatCode="yyyy/m/d;@">
                  <c:v>46233</c:v>
                </c:pt>
                <c:pt idx="317" c:formatCode="yyyy/m/d;@">
                  <c:v>46240</c:v>
                </c:pt>
                <c:pt idx="318" c:formatCode="yyyy/m/d;@">
                  <c:v>46247</c:v>
                </c:pt>
                <c:pt idx="319" c:formatCode="yyyy/m/d;@">
                  <c:v>46254</c:v>
                </c:pt>
                <c:pt idx="320" c:formatCode="yyyy/m/d;@">
                  <c:v>46261</c:v>
                </c:pt>
                <c:pt idx="321" c:formatCode="yyyy/m/d;@">
                  <c:v>46268</c:v>
                </c:pt>
                <c:pt idx="322" c:formatCode="yyyy/m/d;@">
                  <c:v>46275</c:v>
                </c:pt>
                <c:pt idx="323" c:formatCode="yyyy/m/d;@">
                  <c:v>46282</c:v>
                </c:pt>
                <c:pt idx="324" c:formatCode="yyyy/m/d;@">
                  <c:v>46289</c:v>
                </c:pt>
              </c:numCache>
            </c:numRef>
          </c:cat>
          <c:val>
            <c:numRef>
              <c:f>毛白价差!$D$3:$D$395</c:f>
              <c:numCache>
                <c:formatCode>0.00_);[Red]\(0.00\)</c:formatCode>
                <c:ptCount val="393"/>
                <c:pt idx="0">
                  <c:v>9.73</c:v>
                </c:pt>
                <c:pt idx="1">
                  <c:v>9.19</c:v>
                </c:pt>
                <c:pt idx="2">
                  <c:v>7.76</c:v>
                </c:pt>
                <c:pt idx="3">
                  <c:v>9.37</c:v>
                </c:pt>
                <c:pt idx="4">
                  <c:v>9.11</c:v>
                </c:pt>
                <c:pt idx="5">
                  <c:v>10.87</c:v>
                </c:pt>
                <c:pt idx="6">
                  <c:v>10.4</c:v>
                </c:pt>
                <c:pt idx="7">
                  <c:v>11.27</c:v>
                </c:pt>
                <c:pt idx="8">
                  <c:v>11.38</c:v>
                </c:pt>
                <c:pt idx="9">
                  <c:v>11</c:v>
                </c:pt>
                <c:pt idx="10">
                  <c:v>11.55</c:v>
                </c:pt>
                <c:pt idx="11">
                  <c:v>11.34</c:v>
                </c:pt>
                <c:pt idx="12">
                  <c:v>10.79</c:v>
                </c:pt>
                <c:pt idx="13">
                  <c:v>11.47</c:v>
                </c:pt>
                <c:pt idx="14">
                  <c:v>10.9</c:v>
                </c:pt>
                <c:pt idx="15">
                  <c:v>10.47</c:v>
                </c:pt>
                <c:pt idx="16">
                  <c:v>10.93</c:v>
                </c:pt>
                <c:pt idx="17">
                  <c:v>9.88</c:v>
                </c:pt>
                <c:pt idx="18">
                  <c:v>10.21</c:v>
                </c:pt>
                <c:pt idx="19">
                  <c:v>9.84999999999999</c:v>
                </c:pt>
                <c:pt idx="20">
                  <c:v>9.65</c:v>
                </c:pt>
                <c:pt idx="21">
                  <c:v>8.82</c:v>
                </c:pt>
                <c:pt idx="22">
                  <c:v>10.22</c:v>
                </c:pt>
                <c:pt idx="23">
                  <c:v>9.82</c:v>
                </c:pt>
                <c:pt idx="24">
                  <c:v>8.05</c:v>
                </c:pt>
                <c:pt idx="25">
                  <c:v>7.55</c:v>
                </c:pt>
                <c:pt idx="26">
                  <c:v>7.36</c:v>
                </c:pt>
                <c:pt idx="27">
                  <c:v>7.06</c:v>
                </c:pt>
                <c:pt idx="28">
                  <c:v>7.63</c:v>
                </c:pt>
                <c:pt idx="29">
                  <c:v>8.03</c:v>
                </c:pt>
                <c:pt idx="30">
                  <c:v>8.53</c:v>
                </c:pt>
                <c:pt idx="31">
                  <c:v>10.08</c:v>
                </c:pt>
                <c:pt idx="32">
                  <c:v>8.64</c:v>
                </c:pt>
                <c:pt idx="33">
                  <c:v>9.78</c:v>
                </c:pt>
                <c:pt idx="34">
                  <c:v>9.53</c:v>
                </c:pt>
                <c:pt idx="35">
                  <c:v>10.41</c:v>
                </c:pt>
                <c:pt idx="36">
                  <c:v>9.59</c:v>
                </c:pt>
                <c:pt idx="37">
                  <c:v>10.65</c:v>
                </c:pt>
                <c:pt idx="38">
                  <c:v>8.73999999999999</c:v>
                </c:pt>
                <c:pt idx="39">
                  <c:v>8.76000000000001</c:v>
                </c:pt>
                <c:pt idx="40">
                  <c:v>7.88</c:v>
                </c:pt>
                <c:pt idx="41">
                  <c:v>7.51</c:v>
                </c:pt>
                <c:pt idx="42">
                  <c:v>5.85</c:v>
                </c:pt>
                <c:pt idx="43">
                  <c:v>6.4</c:v>
                </c:pt>
                <c:pt idx="44">
                  <c:v>6.67</c:v>
                </c:pt>
                <c:pt idx="45">
                  <c:v>6.59</c:v>
                </c:pt>
                <c:pt idx="46">
                  <c:v>6.41</c:v>
                </c:pt>
                <c:pt idx="47">
                  <c:v>5.4</c:v>
                </c:pt>
                <c:pt idx="48">
                  <c:v>3.48</c:v>
                </c:pt>
                <c:pt idx="49">
                  <c:v>7.62</c:v>
                </c:pt>
                <c:pt idx="50">
                  <c:v>5.55</c:v>
                </c:pt>
                <c:pt idx="51">
                  <c:v>4.5</c:v>
                </c:pt>
                <c:pt idx="52">
                  <c:v>5.09</c:v>
                </c:pt>
                <c:pt idx="53">
                  <c:v>4.75</c:v>
                </c:pt>
                <c:pt idx="54">
                  <c:v>4.92</c:v>
                </c:pt>
                <c:pt idx="55">
                  <c:v>4.55</c:v>
                </c:pt>
                <c:pt idx="56">
                  <c:v>4.4</c:v>
                </c:pt>
                <c:pt idx="57">
                  <c:v>4.56</c:v>
                </c:pt>
                <c:pt idx="58">
                  <c:v>4.42</c:v>
                </c:pt>
                <c:pt idx="59">
                  <c:v>3.95</c:v>
                </c:pt>
                <c:pt idx="60">
                  <c:v>5.84</c:v>
                </c:pt>
                <c:pt idx="61">
                  <c:v>4.87</c:v>
                </c:pt>
                <c:pt idx="62">
                  <c:v>4.08</c:v>
                </c:pt>
                <c:pt idx="63">
                  <c:v>5.21</c:v>
                </c:pt>
                <c:pt idx="64">
                  <c:v>4.96</c:v>
                </c:pt>
                <c:pt idx="65">
                  <c:v>4.28</c:v>
                </c:pt>
                <c:pt idx="66">
                  <c:v>3.94</c:v>
                </c:pt>
                <c:pt idx="67">
                  <c:v>4.27</c:v>
                </c:pt>
                <c:pt idx="68">
                  <c:v>4.26</c:v>
                </c:pt>
                <c:pt idx="69">
                  <c:v>4.39</c:v>
                </c:pt>
                <c:pt idx="70">
                  <c:v>4.09</c:v>
                </c:pt>
                <c:pt idx="71">
                  <c:v>4.27</c:v>
                </c:pt>
                <c:pt idx="72">
                  <c:v>3.73</c:v>
                </c:pt>
                <c:pt idx="73">
                  <c:v>3.4</c:v>
                </c:pt>
                <c:pt idx="74">
                  <c:v>3.86</c:v>
                </c:pt>
                <c:pt idx="75">
                  <c:v>6.52</c:v>
                </c:pt>
                <c:pt idx="76">
                  <c:v>5.74</c:v>
                </c:pt>
                <c:pt idx="77">
                  <c:v>6.12</c:v>
                </c:pt>
                <c:pt idx="78">
                  <c:v>5.68</c:v>
                </c:pt>
                <c:pt idx="79">
                  <c:v>6.06</c:v>
                </c:pt>
                <c:pt idx="80">
                  <c:v>5.75</c:v>
                </c:pt>
                <c:pt idx="81">
                  <c:v>6.35</c:v>
                </c:pt>
                <c:pt idx="82">
                  <c:v>6.09</c:v>
                </c:pt>
                <c:pt idx="83">
                  <c:v>5.4</c:v>
                </c:pt>
                <c:pt idx="84">
                  <c:v>5.51</c:v>
                </c:pt>
                <c:pt idx="85">
                  <c:v>4.88</c:v>
                </c:pt>
                <c:pt idx="86">
                  <c:v>5.51</c:v>
                </c:pt>
                <c:pt idx="87">
                  <c:v>4.46</c:v>
                </c:pt>
                <c:pt idx="88">
                  <c:v>4.86</c:v>
                </c:pt>
                <c:pt idx="89">
                  <c:v>5.07</c:v>
                </c:pt>
                <c:pt idx="90">
                  <c:v>4.89</c:v>
                </c:pt>
                <c:pt idx="91">
                  <c:v>3.84</c:v>
                </c:pt>
                <c:pt idx="92">
                  <c:v>3.72</c:v>
                </c:pt>
                <c:pt idx="93">
                  <c:v>3.71</c:v>
                </c:pt>
                <c:pt idx="94">
                  <c:v>3.55</c:v>
                </c:pt>
                <c:pt idx="95">
                  <c:v>3.72</c:v>
                </c:pt>
                <c:pt idx="96">
                  <c:v>3.7</c:v>
                </c:pt>
                <c:pt idx="97">
                  <c:v>4.46</c:v>
                </c:pt>
                <c:pt idx="98">
                  <c:v>4.54</c:v>
                </c:pt>
                <c:pt idx="99">
                  <c:v>4.57</c:v>
                </c:pt>
                <c:pt idx="100">
                  <c:v>4.58</c:v>
                </c:pt>
                <c:pt idx="101">
                  <c:v>5.08</c:v>
                </c:pt>
                <c:pt idx="102">
                  <c:v>4.97</c:v>
                </c:pt>
                <c:pt idx="103">
                  <c:v>4.98</c:v>
                </c:pt>
                <c:pt idx="104">
                  <c:v>5.16</c:v>
                </c:pt>
                <c:pt idx="105">
                  <c:v>5.16</c:v>
                </c:pt>
                <c:pt idx="106">
                  <c:v>4.94</c:v>
                </c:pt>
                <c:pt idx="107">
                  <c:v>5.03</c:v>
                </c:pt>
                <c:pt idx="108">
                  <c:v>4.91</c:v>
                </c:pt>
                <c:pt idx="109">
                  <c:v>5.13</c:v>
                </c:pt>
                <c:pt idx="110">
                  <c:v>5.75</c:v>
                </c:pt>
                <c:pt idx="111">
                  <c:v>6.02</c:v>
                </c:pt>
                <c:pt idx="112">
                  <c:v>6.63</c:v>
                </c:pt>
                <c:pt idx="113">
                  <c:v>7.63</c:v>
                </c:pt>
                <c:pt idx="114">
                  <c:v>6.92</c:v>
                </c:pt>
                <c:pt idx="115">
                  <c:v>6.59</c:v>
                </c:pt>
                <c:pt idx="116">
                  <c:v>6.5</c:v>
                </c:pt>
                <c:pt idx="117">
                  <c:v>6.25</c:v>
                </c:pt>
                <c:pt idx="118">
                  <c:v>5.95</c:v>
                </c:pt>
                <c:pt idx="119">
                  <c:v>6.45</c:v>
                </c:pt>
                <c:pt idx="120">
                  <c:v>7.32</c:v>
                </c:pt>
                <c:pt idx="121">
                  <c:v>6.89</c:v>
                </c:pt>
                <c:pt idx="122">
                  <c:v>6.92</c:v>
                </c:pt>
                <c:pt idx="123">
                  <c:v>6.86</c:v>
                </c:pt>
                <c:pt idx="124">
                  <c:v>6.76</c:v>
                </c:pt>
                <c:pt idx="125">
                  <c:v>7.13</c:v>
                </c:pt>
                <c:pt idx="126">
                  <c:v>7.61</c:v>
                </c:pt>
                <c:pt idx="127">
                  <c:v>8.07</c:v>
                </c:pt>
                <c:pt idx="128">
                  <c:v>7.61</c:v>
                </c:pt>
                <c:pt idx="129">
                  <c:v>7.65</c:v>
                </c:pt>
                <c:pt idx="130">
                  <c:v>6.87</c:v>
                </c:pt>
                <c:pt idx="131">
                  <c:v>6.66</c:v>
                </c:pt>
                <c:pt idx="132">
                  <c:v>6.1</c:v>
                </c:pt>
                <c:pt idx="133">
                  <c:v>6.69</c:v>
                </c:pt>
                <c:pt idx="134">
                  <c:v>6.73</c:v>
                </c:pt>
                <c:pt idx="135">
                  <c:v>6.86</c:v>
                </c:pt>
                <c:pt idx="136">
                  <c:v>6.09</c:v>
                </c:pt>
                <c:pt idx="137">
                  <c:v>5.96</c:v>
                </c:pt>
                <c:pt idx="138">
                  <c:v>5.95</c:v>
                </c:pt>
                <c:pt idx="139">
                  <c:v>5.19</c:v>
                </c:pt>
                <c:pt idx="140">
                  <c:v>4.7</c:v>
                </c:pt>
                <c:pt idx="141">
                  <c:v>4.16</c:v>
                </c:pt>
                <c:pt idx="142">
                  <c:v>4.14</c:v>
                </c:pt>
                <c:pt idx="143">
                  <c:v>4.24</c:v>
                </c:pt>
                <c:pt idx="144">
                  <c:v>4.3</c:v>
                </c:pt>
                <c:pt idx="145">
                  <c:v>4.24</c:v>
                </c:pt>
                <c:pt idx="146">
                  <c:v>4.25</c:v>
                </c:pt>
                <c:pt idx="147">
                  <c:v>4.1</c:v>
                </c:pt>
                <c:pt idx="148">
                  <c:v>3.96</c:v>
                </c:pt>
                <c:pt idx="149">
                  <c:v>3.89</c:v>
                </c:pt>
                <c:pt idx="150">
                  <c:v>3.72</c:v>
                </c:pt>
                <c:pt idx="151">
                  <c:v>3.72</c:v>
                </c:pt>
                <c:pt idx="152">
                  <c:v>3.75</c:v>
                </c:pt>
                <c:pt idx="153">
                  <c:v>3.84</c:v>
                </c:pt>
                <c:pt idx="154">
                  <c:v>3.94</c:v>
                </c:pt>
                <c:pt idx="155">
                  <c:v>3.84</c:v>
                </c:pt>
                <c:pt idx="156">
                  <c:v>4.2</c:v>
                </c:pt>
                <c:pt idx="157">
                  <c:v>4</c:v>
                </c:pt>
                <c:pt idx="158">
                  <c:v>3.99</c:v>
                </c:pt>
                <c:pt idx="159">
                  <c:v>3.98</c:v>
                </c:pt>
                <c:pt idx="160">
                  <c:v>4.07</c:v>
                </c:pt>
                <c:pt idx="161">
                  <c:v>4.04</c:v>
                </c:pt>
                <c:pt idx="162">
                  <c:v>4.19</c:v>
                </c:pt>
                <c:pt idx="163">
                  <c:v>4.01</c:v>
                </c:pt>
                <c:pt idx="164">
                  <c:v>4.03</c:v>
                </c:pt>
                <c:pt idx="165">
                  <c:v>4.31</c:v>
                </c:pt>
                <c:pt idx="166">
                  <c:v>4.69</c:v>
                </c:pt>
                <c:pt idx="167">
                  <c:v>4.75</c:v>
                </c:pt>
                <c:pt idx="168">
                  <c:v>4.98</c:v>
                </c:pt>
                <c:pt idx="169">
                  <c:v>4.76</c:v>
                </c:pt>
                <c:pt idx="170">
                  <c:v>4.64</c:v>
                </c:pt>
                <c:pt idx="171">
                  <c:v>4.78</c:v>
                </c:pt>
                <c:pt idx="172">
                  <c:v>4.78</c:v>
                </c:pt>
                <c:pt idx="173">
                  <c:v>4.69</c:v>
                </c:pt>
                <c:pt idx="174">
                  <c:v>4.69</c:v>
                </c:pt>
                <c:pt idx="175">
                  <c:v>4.61</c:v>
                </c:pt>
                <c:pt idx="176">
                  <c:v>4.58</c:v>
                </c:pt>
                <c:pt idx="177">
                  <c:v>4.4</c:v>
                </c:pt>
                <c:pt idx="178">
                  <c:v>4.31</c:v>
                </c:pt>
                <c:pt idx="179">
                  <c:v>4.33</c:v>
                </c:pt>
                <c:pt idx="180">
                  <c:v>4.12</c:v>
                </c:pt>
                <c:pt idx="181">
                  <c:v>4.15</c:v>
                </c:pt>
                <c:pt idx="182">
                  <c:v>4.04</c:v>
                </c:pt>
                <c:pt idx="183">
                  <c:v>3.76</c:v>
                </c:pt>
                <c:pt idx="184">
                  <c:v>4.09</c:v>
                </c:pt>
                <c:pt idx="185">
                  <c:v>4.37</c:v>
                </c:pt>
                <c:pt idx="186">
                  <c:v>4.45</c:v>
                </c:pt>
                <c:pt idx="187">
                  <c:v>4.59</c:v>
                </c:pt>
                <c:pt idx="188">
                  <c:v>4.35</c:v>
                </c:pt>
                <c:pt idx="189">
                  <c:v>4.39</c:v>
                </c:pt>
                <c:pt idx="190">
                  <c:v>4.5</c:v>
                </c:pt>
                <c:pt idx="191">
                  <c:v>4.7</c:v>
                </c:pt>
                <c:pt idx="192">
                  <c:v>5.33</c:v>
                </c:pt>
                <c:pt idx="193">
                  <c:v>4.45</c:v>
                </c:pt>
                <c:pt idx="194">
                  <c:v>4.48</c:v>
                </c:pt>
                <c:pt idx="195">
                  <c:v>4.21</c:v>
                </c:pt>
                <c:pt idx="196">
                  <c:v>4.15</c:v>
                </c:pt>
                <c:pt idx="197">
                  <c:v>4.28</c:v>
                </c:pt>
                <c:pt idx="198">
                  <c:v>4.49</c:v>
                </c:pt>
                <c:pt idx="199">
                  <c:v>4.45</c:v>
                </c:pt>
                <c:pt idx="200">
                  <c:v>4.38</c:v>
                </c:pt>
                <c:pt idx="201">
                  <c:v>4.35</c:v>
                </c:pt>
                <c:pt idx="202">
                  <c:v>4.3</c:v>
                </c:pt>
                <c:pt idx="203">
                  <c:v>4.4</c:v>
                </c:pt>
                <c:pt idx="204">
                  <c:v>4.43</c:v>
                </c:pt>
                <c:pt idx="205">
                  <c:v>4.42</c:v>
                </c:pt>
                <c:pt idx="206">
                  <c:v>4.69</c:v>
                </c:pt>
                <c:pt idx="207">
                  <c:v>5.33</c:v>
                </c:pt>
                <c:pt idx="208">
                  <c:v>5.49</c:v>
                </c:pt>
                <c:pt idx="209">
                  <c:v>5.48</c:v>
                </c:pt>
                <c:pt idx="210">
                  <c:v>5.26</c:v>
                </c:pt>
                <c:pt idx="211">
                  <c:v>5.17</c:v>
                </c:pt>
                <c:pt idx="212">
                  <c:v>5.16</c:v>
                </c:pt>
                <c:pt idx="213">
                  <c:v>5.3</c:v>
                </c:pt>
                <c:pt idx="214">
                  <c:v>5.46</c:v>
                </c:pt>
                <c:pt idx="215">
                  <c:v>5.5</c:v>
                </c:pt>
                <c:pt idx="216">
                  <c:v>5.63</c:v>
                </c:pt>
                <c:pt idx="217">
                  <c:v>5.54</c:v>
                </c:pt>
                <c:pt idx="218">
                  <c:v>5.98</c:v>
                </c:pt>
                <c:pt idx="219">
                  <c:v>6.16</c:v>
                </c:pt>
                <c:pt idx="220">
                  <c:v>5.84</c:v>
                </c:pt>
                <c:pt idx="221">
                  <c:v>5.58</c:v>
                </c:pt>
                <c:pt idx="222">
                  <c:v>5.66</c:v>
                </c:pt>
                <c:pt idx="223">
                  <c:v>5.81</c:v>
                </c:pt>
                <c:pt idx="224">
                  <c:v>5.75</c:v>
                </c:pt>
                <c:pt idx="225">
                  <c:v>5.6</c:v>
                </c:pt>
                <c:pt idx="226">
                  <c:v>4.98</c:v>
                </c:pt>
                <c:pt idx="227">
                  <c:v>5.06</c:v>
                </c:pt>
                <c:pt idx="228">
                  <c:v>5.11</c:v>
                </c:pt>
                <c:pt idx="229">
                  <c:v>5.03</c:v>
                </c:pt>
                <c:pt idx="230">
                  <c:v>5.02</c:v>
                </c:pt>
                <c:pt idx="231">
                  <c:v>5.13</c:v>
                </c:pt>
                <c:pt idx="232">
                  <c:v>5.07</c:v>
                </c:pt>
                <c:pt idx="233">
                  <c:v>5.09</c:v>
                </c:pt>
                <c:pt idx="234">
                  <c:v>5.11</c:v>
                </c:pt>
                <c:pt idx="235">
                  <c:v>5.2</c:v>
                </c:pt>
                <c:pt idx="236">
                  <c:v>5.31</c:v>
                </c:pt>
                <c:pt idx="237">
                  <c:v>5.24</c:v>
                </c:pt>
                <c:pt idx="238">
                  <c:v>5.31</c:v>
                </c:pt>
                <c:pt idx="239">
                  <c:v>5.33</c:v>
                </c:pt>
                <c:pt idx="240">
                  <c:v>5.65</c:v>
                </c:pt>
                <c:pt idx="241">
                  <c:v>6</c:v>
                </c:pt>
                <c:pt idx="242">
                  <c:v>4.82</c:v>
                </c:pt>
                <c:pt idx="243">
                  <c:v>4.64</c:v>
                </c:pt>
                <c:pt idx="244">
                  <c:v>4.51</c:v>
                </c:pt>
                <c:pt idx="245">
                  <c:v>4.41</c:v>
                </c:pt>
                <c:pt idx="246">
                  <c:v>4.5</c:v>
                </c:pt>
                <c:pt idx="247">
                  <c:v>4.5</c:v>
                </c:pt>
                <c:pt idx="248">
                  <c:v>4.41</c:v>
                </c:pt>
                <c:pt idx="249">
                  <c:v>4.41</c:v>
                </c:pt>
                <c:pt idx="250">
                  <c:v>4.4</c:v>
                </c:pt>
                <c:pt idx="251">
                  <c:v>4.36</c:v>
                </c:pt>
                <c:pt idx="252">
                  <c:v>4.33</c:v>
                </c:pt>
                <c:pt idx="253">
                  <c:v>4.39</c:v>
                </c:pt>
                <c:pt idx="254">
                  <c:v>4.38</c:v>
                </c:pt>
                <c:pt idx="255">
                  <c:v>4.35</c:v>
                </c:pt>
                <c:pt idx="256">
                  <c:v>4.36</c:v>
                </c:pt>
                <c:pt idx="257">
                  <c:v>4.33</c:v>
                </c:pt>
                <c:pt idx="258">
                  <c:v>4.27</c:v>
                </c:pt>
                <c:pt idx="259">
                  <c:v>4.21</c:v>
                </c:pt>
                <c:pt idx="260">
                  <c:v>4.26</c:v>
                </c:pt>
                <c:pt idx="261">
                  <c:v>4.37</c:v>
                </c:pt>
                <c:pt idx="262">
                  <c:v>4.51</c:v>
                </c:pt>
                <c:pt idx="263">
                  <c:v>4.72</c:v>
                </c:pt>
                <c:pt idx="264">
                  <c:v>4.71</c:v>
                </c:pt>
                <c:pt idx="265">
                  <c:v>4.65</c:v>
                </c:pt>
                <c:pt idx="266">
                  <c:v>4.52</c:v>
                </c:pt>
                <c:pt idx="267">
                  <c:v>4.32</c:v>
                </c:pt>
                <c:pt idx="268">
                  <c:v>4.22</c:v>
                </c:pt>
                <c:pt idx="269">
                  <c:v>4.01</c:v>
                </c:pt>
                <c:pt idx="270">
                  <c:v>4.01</c:v>
                </c:pt>
                <c:pt idx="271">
                  <c:v>4.1</c:v>
                </c:pt>
                <c:pt idx="272">
                  <c:v>4.02</c:v>
                </c:pt>
                <c:pt idx="273">
                  <c:v>3.95</c:v>
                </c:pt>
                <c:pt idx="274">
                  <c:v>4.01</c:v>
                </c:pt>
                <c:pt idx="275">
                  <c:v>3.97</c:v>
                </c:pt>
                <c:pt idx="276">
                  <c:v>3.91</c:v>
                </c:pt>
                <c:pt idx="277">
                  <c:v>3.79</c:v>
                </c:pt>
                <c:pt idx="278">
                  <c:v>4.1</c:v>
                </c:pt>
                <c:pt idx="279">
                  <c:v>4.18</c:v>
                </c:pt>
                <c:pt idx="280">
                  <c:v>4.07</c:v>
                </c:pt>
                <c:pt idx="281">
                  <c:v>3.91</c:v>
                </c:pt>
                <c:pt idx="282">
                  <c:v>3.76</c:v>
                </c:pt>
                <c:pt idx="283">
                  <c:v>3.69</c:v>
                </c:pt>
                <c:pt idx="284">
                  <c:v>3.59</c:v>
                </c:pt>
                <c:pt idx="285">
                  <c:v>3.64</c:v>
                </c:pt>
                <c:pt idx="286">
                  <c:v>3.72</c:v>
                </c:pt>
                <c:pt idx="287">
                  <c:v>3.98</c:v>
                </c:pt>
                <c:pt idx="288">
                  <c:v>3.85</c:v>
                </c:pt>
                <c:pt idx="289">
                  <c:v>3.96</c:v>
                </c:pt>
                <c:pt idx="290">
                  <c:v>4.09</c:v>
                </c:pt>
                <c:pt idx="291">
                  <c:v>4.06</c:v>
                </c:pt>
                <c:pt idx="292">
                  <c:v>4.07</c:v>
                </c:pt>
                <c:pt idx="293">
                  <c:v>4.04</c:v>
                </c:pt>
                <c:pt idx="294">
                  <c:v>4.1</c:v>
                </c:pt>
                <c:pt idx="295">
                  <c:v>3.21</c:v>
                </c:pt>
                <c:pt idx="296">
                  <c:v>3.1</c:v>
                </c:pt>
                <c:pt idx="297">
                  <c:v>2.96</c:v>
                </c:pt>
                <c:pt idx="298">
                  <c:v>3.01</c:v>
                </c:pt>
                <c:pt idx="299">
                  <c:v>2.97</c:v>
                </c:pt>
                <c:pt idx="300">
                  <c:v>2.72</c:v>
                </c:pt>
                <c:pt idx="301">
                  <c:v>2.79</c:v>
                </c:pt>
                <c:pt idx="302">
                  <c:v>2.88</c:v>
                </c:pt>
                <c:pt idx="303">
                  <c:v>2.82</c:v>
                </c:pt>
                <c:pt idx="304">
                  <c:v>2.77</c:v>
                </c:pt>
                <c:pt idx="305">
                  <c:v>2.83</c:v>
                </c:pt>
                <c:pt idx="306">
                  <c:v>2.83</c:v>
                </c:pt>
                <c:pt idx="307">
                  <c:v>2.83</c:v>
                </c:pt>
                <c:pt idx="308">
                  <c:v>2.85</c:v>
                </c:pt>
                <c:pt idx="309">
                  <c:v>2.87</c:v>
                </c:pt>
                <c:pt idx="310">
                  <c:v>2.88</c:v>
                </c:pt>
                <c:pt idx="311">
                  <c:v>2.89</c:v>
                </c:pt>
                <c:pt idx="312">
                  <c:v>2.95</c:v>
                </c:pt>
                <c:pt idx="313">
                  <c:v>2.99</c:v>
                </c:pt>
                <c:pt idx="314">
                  <c:v>3.05</c:v>
                </c:pt>
                <c:pt idx="315">
                  <c:v>3.13</c:v>
                </c:pt>
                <c:pt idx="316">
                  <c:v>3.21</c:v>
                </c:pt>
                <c:pt idx="317">
                  <c:v>3.17</c:v>
                </c:pt>
                <c:pt idx="318">
                  <c:v>3.13</c:v>
                </c:pt>
                <c:pt idx="319">
                  <c:v>3.17</c:v>
                </c:pt>
                <c:pt idx="320">
                  <c:v>3.22</c:v>
                </c:pt>
                <c:pt idx="321">
                  <c:v>3.28</c:v>
                </c:pt>
                <c:pt idx="322">
                  <c:v>3.27</c:v>
                </c:pt>
                <c:pt idx="323">
                  <c:v>3.24</c:v>
                </c:pt>
                <c:pt idx="324">
                  <c:v>3.28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65684297"/>
        <c:axId val="45185559"/>
      </c:lineChart>
      <c:dateAx>
        <c:axId val="686813497"/>
        <c:scaling>
          <c:orientation val="minMax"/>
          <c:max val="46289"/>
          <c:min val="45740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27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714416828"/>
        <c:crosses val="autoZero"/>
        <c:auto val="1"/>
        <c:lblOffset val="100"/>
        <c:baseTimeUnit val="days"/>
        <c:majorUnit val="2"/>
        <c:majorTimeUnit val="months"/>
      </c:dateAx>
      <c:valAx>
        <c:axId val="714416828"/>
        <c:scaling>
          <c:orientation val="minMax"/>
          <c:max val="20.5"/>
          <c:min val="8"/>
        </c:scaling>
        <c:delete val="0"/>
        <c:axPos val="l"/>
        <c:numFmt formatCode="0.00_);[Red]\(0.00\)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686813497"/>
        <c:crosses val="autoZero"/>
        <c:crossBetween val="between"/>
        <c:majorUnit val="2.5"/>
      </c:valAx>
      <c:dateAx>
        <c:axId val="565684297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45185559"/>
        <c:crosses val="autoZero"/>
        <c:auto val="1"/>
        <c:lblOffset val="100"/>
        <c:baseTimeUnit val="days"/>
      </c:dateAx>
      <c:valAx>
        <c:axId val="45185559"/>
        <c:scaling>
          <c:orientation val="minMax"/>
          <c:max val="5"/>
          <c:min val="2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565684297"/>
        <c:crosses val="max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defRPr>
          </a:pPr>
        </a:p>
      </c:txPr>
    </c:legend>
    <c:plotVisOnly val="1"/>
    <c:dispBlanksAs val="span"/>
    <c:showDLblsOverMax val="0"/>
    <c:extLst>
      <c:ext uri="{0b15fc19-7d7d-44ad-8c2d-2c3a37ce22c3}">
        <chartProps xmlns="https://web.wps.cn/et/2018/main" chartId="{c83b7741-3d35-4829-9c7a-ec092288d2e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  <a:sym typeface="宋体" panose="02010600030101010101" pitchFamily="7" charset="-122"/>
        </a:defRPr>
      </a:pPr>
    </a:p>
  </c:txPr>
  <c:externalData r:id="rId1">
    <c:autoUpdate val="0"/>
  </c:externalData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r>
              <a:rPr sz="1400"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全国前三等级白条均价</a:t>
            </a:r>
            <a:endParaRPr sz="1400" b="1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猪肉价!$A$4:$A$1332</c:f>
              <c:numCache>
                <c:formatCode>yyyy/m/d;@</c:formatCode>
                <c:ptCount val="1329"/>
                <c:pt idx="0" c:formatCode="yyyy/m/d;@">
                  <c:v>43314</c:v>
                </c:pt>
                <c:pt idx="1" c:formatCode="yyyy/m/d;@">
                  <c:v>43321</c:v>
                </c:pt>
                <c:pt idx="2" c:formatCode="yyyy/m/d;@">
                  <c:v>43328</c:v>
                </c:pt>
                <c:pt idx="3" c:formatCode="yyyy/m/d;@">
                  <c:v>43335</c:v>
                </c:pt>
                <c:pt idx="4" c:formatCode="yyyy/m/d;@">
                  <c:v>43342</c:v>
                </c:pt>
                <c:pt idx="5" c:formatCode="yyyy/m/d;@">
                  <c:v>43349</c:v>
                </c:pt>
                <c:pt idx="6" c:formatCode="yyyy/m/d;@">
                  <c:v>43356</c:v>
                </c:pt>
                <c:pt idx="7" c:formatCode="yyyy/m/d;@">
                  <c:v>43363</c:v>
                </c:pt>
                <c:pt idx="8" c:formatCode="yyyy/m/d;@">
                  <c:v>43370</c:v>
                </c:pt>
                <c:pt idx="9" c:formatCode="yyyy/m/d;@">
                  <c:v>43377</c:v>
                </c:pt>
                <c:pt idx="10" c:formatCode="yyyy/m/d;@">
                  <c:v>43384</c:v>
                </c:pt>
                <c:pt idx="11" c:formatCode="yyyy/m/d;@">
                  <c:v>43391</c:v>
                </c:pt>
                <c:pt idx="12" c:formatCode="yyyy/m/d;@">
                  <c:v>43398</c:v>
                </c:pt>
                <c:pt idx="13" c:formatCode="yyyy/m/d;@">
                  <c:v>43405</c:v>
                </c:pt>
                <c:pt idx="14" c:formatCode="yyyy/m/d;@">
                  <c:v>43412</c:v>
                </c:pt>
                <c:pt idx="15" c:formatCode="yyyy/m/d;@">
                  <c:v>43419</c:v>
                </c:pt>
                <c:pt idx="16" c:formatCode="yyyy/m/d;@">
                  <c:v>43426</c:v>
                </c:pt>
                <c:pt idx="17" c:formatCode="yyyy/m/d;@">
                  <c:v>43433</c:v>
                </c:pt>
                <c:pt idx="18" c:formatCode="yyyy/m/d;@">
                  <c:v>43440</c:v>
                </c:pt>
                <c:pt idx="19" c:formatCode="yyyy/m/d;@">
                  <c:v>43447</c:v>
                </c:pt>
                <c:pt idx="20" c:formatCode="yyyy/m/d;@">
                  <c:v>43454</c:v>
                </c:pt>
                <c:pt idx="21" c:formatCode="yyyy/m/d;@">
                  <c:v>43461</c:v>
                </c:pt>
                <c:pt idx="22" c:formatCode="yyyy/m/d;@">
                  <c:v>43469</c:v>
                </c:pt>
                <c:pt idx="23" c:formatCode="yyyy/m/d;@">
                  <c:v>43475</c:v>
                </c:pt>
                <c:pt idx="24" c:formatCode="yyyy/m/d;@">
                  <c:v>43482</c:v>
                </c:pt>
                <c:pt idx="25" c:formatCode="yyyy/m/d;@">
                  <c:v>43489</c:v>
                </c:pt>
                <c:pt idx="26" c:formatCode="yyyy/m/d;@">
                  <c:v>43496</c:v>
                </c:pt>
                <c:pt idx="27" c:formatCode="yyyy/m/d;@">
                  <c:v>43503</c:v>
                </c:pt>
                <c:pt idx="28" c:formatCode="yyyy/m/d;@">
                  <c:v>43509</c:v>
                </c:pt>
                <c:pt idx="29" c:formatCode="yyyy/m/d;@">
                  <c:v>43517</c:v>
                </c:pt>
                <c:pt idx="30" c:formatCode="yyyy/m/d;@">
                  <c:v>43524</c:v>
                </c:pt>
                <c:pt idx="31" c:formatCode="yyyy/m/d;@">
                  <c:v>43531</c:v>
                </c:pt>
                <c:pt idx="32" c:formatCode="yyyy/m/d;@">
                  <c:v>43538</c:v>
                </c:pt>
                <c:pt idx="33" c:formatCode="yyyy/m/d;@">
                  <c:v>43545</c:v>
                </c:pt>
                <c:pt idx="34" c:formatCode="yyyy/m/d;@">
                  <c:v>43552</c:v>
                </c:pt>
                <c:pt idx="35" c:formatCode="yyyy/m/d;@">
                  <c:v>43559</c:v>
                </c:pt>
                <c:pt idx="36" c:formatCode="yyyy/m/d;@">
                  <c:v>43566</c:v>
                </c:pt>
                <c:pt idx="37" c:formatCode="yyyy/m/d;@">
                  <c:v>43572</c:v>
                </c:pt>
                <c:pt idx="38" c:formatCode="yyyy/m/d;@">
                  <c:v>43580</c:v>
                </c:pt>
                <c:pt idx="39" c:formatCode="yyyy/m/d;@">
                  <c:v>43587</c:v>
                </c:pt>
                <c:pt idx="40" c:formatCode="yyyy/m/d;@">
                  <c:v>43594</c:v>
                </c:pt>
                <c:pt idx="41" c:formatCode="yyyy/m/d;@">
                  <c:v>43601</c:v>
                </c:pt>
                <c:pt idx="42" c:formatCode="yyyy/m/d;@">
                  <c:v>43608</c:v>
                </c:pt>
                <c:pt idx="43" c:formatCode="yyyy/m/d;@">
                  <c:v>43615</c:v>
                </c:pt>
                <c:pt idx="44" c:formatCode="yyyy/m/d;@">
                  <c:v>43622</c:v>
                </c:pt>
                <c:pt idx="45" c:formatCode="yyyy/m/d;@">
                  <c:v>43629</c:v>
                </c:pt>
                <c:pt idx="46" c:formatCode="yyyy/m/d;@">
                  <c:v>43636</c:v>
                </c:pt>
                <c:pt idx="47" c:formatCode="yyyy/m/d;@">
                  <c:v>43643</c:v>
                </c:pt>
                <c:pt idx="48" c:formatCode="yyyy/m/d;@">
                  <c:v>43650</c:v>
                </c:pt>
                <c:pt idx="49" c:formatCode="yyyy/m/d;@">
                  <c:v>43657</c:v>
                </c:pt>
                <c:pt idx="50" c:formatCode="yyyy/m/d;@">
                  <c:v>43664</c:v>
                </c:pt>
                <c:pt idx="51" c:formatCode="yyyy/m/d;@">
                  <c:v>43671</c:v>
                </c:pt>
                <c:pt idx="52" c:formatCode="yyyy/m/d;@">
                  <c:v>43678</c:v>
                </c:pt>
                <c:pt idx="53" c:formatCode="yyyy/m/d;@">
                  <c:v>43685</c:v>
                </c:pt>
                <c:pt idx="54" c:formatCode="yyyy/m/d;@">
                  <c:v>43692</c:v>
                </c:pt>
                <c:pt idx="55" c:formatCode="yyyy/m/d;@">
                  <c:v>43699</c:v>
                </c:pt>
                <c:pt idx="56" c:formatCode="yyyy/m/d;@">
                  <c:v>43706</c:v>
                </c:pt>
                <c:pt idx="57" c:formatCode="yyyy/m/d;@">
                  <c:v>43713</c:v>
                </c:pt>
                <c:pt idx="58" c:formatCode="yyyy/m/d;@">
                  <c:v>43720</c:v>
                </c:pt>
                <c:pt idx="59" c:formatCode="yyyy/m/d;@">
                  <c:v>43727</c:v>
                </c:pt>
                <c:pt idx="60" c:formatCode="yyyy/m/d;@">
                  <c:v>43734</c:v>
                </c:pt>
                <c:pt idx="61" c:formatCode="yyyy/m/d;@">
                  <c:v>43748</c:v>
                </c:pt>
                <c:pt idx="62" c:formatCode="yyyy/m/d;@">
                  <c:v>43755</c:v>
                </c:pt>
                <c:pt idx="63" c:formatCode="yyyy/m/d;@">
                  <c:v>43762</c:v>
                </c:pt>
                <c:pt idx="64" c:formatCode="yyyy/m/d;@">
                  <c:v>43769</c:v>
                </c:pt>
                <c:pt idx="65" c:formatCode="yyyy/m/d;@">
                  <c:v>43776</c:v>
                </c:pt>
                <c:pt idx="66" c:formatCode="yyyy/m/d;@">
                  <c:v>43783</c:v>
                </c:pt>
                <c:pt idx="67" c:formatCode="yyyy/m/d;@">
                  <c:v>43790</c:v>
                </c:pt>
                <c:pt idx="68" c:formatCode="yyyy/m/d;@">
                  <c:v>43797</c:v>
                </c:pt>
                <c:pt idx="69" c:formatCode="yyyy/m/d;@">
                  <c:v>43804</c:v>
                </c:pt>
                <c:pt idx="70" c:formatCode="yyyy/m/d;@">
                  <c:v>43811</c:v>
                </c:pt>
                <c:pt idx="71" c:formatCode="yyyy/m/d;@">
                  <c:v>43818</c:v>
                </c:pt>
                <c:pt idx="72" c:formatCode="yyyy/m/d;@">
                  <c:v>43825</c:v>
                </c:pt>
                <c:pt idx="73" c:formatCode="yyyy/m/d;@">
                  <c:v>43832</c:v>
                </c:pt>
                <c:pt idx="74" c:formatCode="yyyy/m/d;@">
                  <c:v>43839</c:v>
                </c:pt>
                <c:pt idx="75" c:formatCode="yyyy/m/d;@">
                  <c:v>43846</c:v>
                </c:pt>
                <c:pt idx="76" c:formatCode="yyyy/m/d;@">
                  <c:v>43867</c:v>
                </c:pt>
                <c:pt idx="77" c:formatCode="yyyy/m/d;@">
                  <c:v>43874</c:v>
                </c:pt>
                <c:pt idx="78" c:formatCode="yyyy/m/d;@">
                  <c:v>43881</c:v>
                </c:pt>
                <c:pt idx="79" c:formatCode="yyyy/m/d;@">
                  <c:v>43888</c:v>
                </c:pt>
                <c:pt idx="80" c:formatCode="yyyy/m/d;@">
                  <c:v>43895</c:v>
                </c:pt>
                <c:pt idx="81" c:formatCode="yyyy/m/d;@">
                  <c:v>43902</c:v>
                </c:pt>
                <c:pt idx="82" c:formatCode="yyyy/m/d;@">
                  <c:v>43909</c:v>
                </c:pt>
                <c:pt idx="83" c:formatCode="yyyy/m/d;@">
                  <c:v>43916</c:v>
                </c:pt>
                <c:pt idx="84" c:formatCode="yyyy/m/d;@">
                  <c:v>43923</c:v>
                </c:pt>
                <c:pt idx="85" c:formatCode="yyyy/m/d;@">
                  <c:v>43930</c:v>
                </c:pt>
                <c:pt idx="86" c:formatCode="yyyy/m/d;@">
                  <c:v>43937</c:v>
                </c:pt>
                <c:pt idx="87" c:formatCode="yyyy/m/d;@">
                  <c:v>43944</c:v>
                </c:pt>
                <c:pt idx="88" c:formatCode="yyyy/m/d;@">
                  <c:v>43951</c:v>
                </c:pt>
                <c:pt idx="89" c:formatCode="yyyy/m/d;@">
                  <c:v>43958</c:v>
                </c:pt>
                <c:pt idx="90" c:formatCode="yyyy/m/d;@">
                  <c:v>43965</c:v>
                </c:pt>
                <c:pt idx="91" c:formatCode="yyyy/m/d;@">
                  <c:v>43972</c:v>
                </c:pt>
                <c:pt idx="92" c:formatCode="yyyy/m/d;@">
                  <c:v>43979</c:v>
                </c:pt>
                <c:pt idx="93" c:formatCode="yyyy/m/d;@">
                  <c:v>43986</c:v>
                </c:pt>
                <c:pt idx="94" c:formatCode="yyyy/m/d;@">
                  <c:v>43993</c:v>
                </c:pt>
                <c:pt idx="95" c:formatCode="yyyy/m/d;@">
                  <c:v>44000</c:v>
                </c:pt>
                <c:pt idx="96" c:formatCode="yyyy/m/d;@">
                  <c:v>44007</c:v>
                </c:pt>
                <c:pt idx="97" c:formatCode="yyyy/m/d;@">
                  <c:v>44014</c:v>
                </c:pt>
                <c:pt idx="98" c:formatCode="yyyy/m/d;@">
                  <c:v>44021</c:v>
                </c:pt>
                <c:pt idx="99" c:formatCode="yyyy/m/d;@">
                  <c:v>44028</c:v>
                </c:pt>
                <c:pt idx="100" c:formatCode="yyyy/m/d;@">
                  <c:v>44035</c:v>
                </c:pt>
                <c:pt idx="101" c:formatCode="yyyy/m/d;@">
                  <c:v>44042</c:v>
                </c:pt>
                <c:pt idx="102" c:formatCode="yyyy/m/d;@">
                  <c:v>44049</c:v>
                </c:pt>
                <c:pt idx="103" c:formatCode="yyyy/m/d;@">
                  <c:v>44056</c:v>
                </c:pt>
                <c:pt idx="104" c:formatCode="yyyy/m/d;@">
                  <c:v>44063</c:v>
                </c:pt>
                <c:pt idx="105" c:formatCode="yyyy/m/d;@">
                  <c:v>44070</c:v>
                </c:pt>
                <c:pt idx="106" c:formatCode="yyyy/m/d;@">
                  <c:v>44077</c:v>
                </c:pt>
                <c:pt idx="107" c:formatCode="yyyy/m/d;@">
                  <c:v>44084</c:v>
                </c:pt>
                <c:pt idx="108" c:formatCode="yyyy/m/d;@">
                  <c:v>44091</c:v>
                </c:pt>
                <c:pt idx="109" c:formatCode="yyyy/m/d;@">
                  <c:v>44098</c:v>
                </c:pt>
                <c:pt idx="110" c:formatCode="yyyy/m/d;@">
                  <c:v>44104</c:v>
                </c:pt>
                <c:pt idx="111" c:formatCode="yyyy/m/d;@">
                  <c:v>44112</c:v>
                </c:pt>
                <c:pt idx="112" c:formatCode="yyyy/m/d;@">
                  <c:v>44119</c:v>
                </c:pt>
                <c:pt idx="113" c:formatCode="yyyy/m/d;@">
                  <c:v>44126</c:v>
                </c:pt>
                <c:pt idx="114" c:formatCode="yyyy/m/d;@">
                  <c:v>44133</c:v>
                </c:pt>
                <c:pt idx="115" c:formatCode="yyyy/m/d;@">
                  <c:v>44140</c:v>
                </c:pt>
                <c:pt idx="116" c:formatCode="yyyy/m/d;@">
                  <c:v>44147</c:v>
                </c:pt>
                <c:pt idx="117" c:formatCode="yyyy/m/d;@">
                  <c:v>44154</c:v>
                </c:pt>
                <c:pt idx="118" c:formatCode="yyyy/m/d;@">
                  <c:v>44161</c:v>
                </c:pt>
                <c:pt idx="119" c:formatCode="yyyy/m/d;@">
                  <c:v>44168</c:v>
                </c:pt>
                <c:pt idx="120" c:formatCode="yyyy/m/d;@">
                  <c:v>44175</c:v>
                </c:pt>
                <c:pt idx="121" c:formatCode="yyyy/m/d;@">
                  <c:v>44182</c:v>
                </c:pt>
                <c:pt idx="122" c:formatCode="yyyy/m/d;@">
                  <c:v>44189</c:v>
                </c:pt>
                <c:pt idx="123" c:formatCode="yyyy/m/d;@">
                  <c:v>44196</c:v>
                </c:pt>
                <c:pt idx="124" c:formatCode="yyyy/m/d;@">
                  <c:v>44203</c:v>
                </c:pt>
                <c:pt idx="125" c:formatCode="yyyy/m/d;@">
                  <c:v>44210</c:v>
                </c:pt>
                <c:pt idx="126" c:formatCode="yyyy/m/d;@">
                  <c:v>44217</c:v>
                </c:pt>
                <c:pt idx="127" c:formatCode="yyyy/m/d;@">
                  <c:v>44224</c:v>
                </c:pt>
                <c:pt idx="128" c:formatCode="yyyy/m/d;@">
                  <c:v>44231</c:v>
                </c:pt>
                <c:pt idx="129" c:formatCode="yyyy/m/d;@">
                  <c:v>44245</c:v>
                </c:pt>
                <c:pt idx="130" c:formatCode="yyyy/m/d;@">
                  <c:v>44252</c:v>
                </c:pt>
                <c:pt idx="131" c:formatCode="yyyy/m/d;@">
                  <c:v>44259</c:v>
                </c:pt>
                <c:pt idx="132" c:formatCode="yyyy/m/d;@">
                  <c:v>44266</c:v>
                </c:pt>
                <c:pt idx="133" c:formatCode="yyyy/m/d;@">
                  <c:v>44273</c:v>
                </c:pt>
                <c:pt idx="134" c:formatCode="yyyy/m/d;@">
                  <c:v>44280</c:v>
                </c:pt>
                <c:pt idx="135" c:formatCode="yyyy/m/d;@">
                  <c:v>44287</c:v>
                </c:pt>
                <c:pt idx="136" c:formatCode="yyyy/m/d;@">
                  <c:v>44294</c:v>
                </c:pt>
                <c:pt idx="137" c:formatCode="yyyy/m/d;@">
                  <c:v>44301</c:v>
                </c:pt>
                <c:pt idx="138" c:formatCode="yyyy/m/d;@">
                  <c:v>44308</c:v>
                </c:pt>
                <c:pt idx="139" c:formatCode="yyyy/m/d;@">
                  <c:v>44315</c:v>
                </c:pt>
                <c:pt idx="140" c:formatCode="yyyy/m/d;@">
                  <c:v>44322</c:v>
                </c:pt>
                <c:pt idx="141" c:formatCode="yyyy/m/d;@">
                  <c:v>44329</c:v>
                </c:pt>
                <c:pt idx="142" c:formatCode="yyyy/m/d;@">
                  <c:v>44336</c:v>
                </c:pt>
                <c:pt idx="143" c:formatCode="yyyy/m/d;@">
                  <c:v>44343</c:v>
                </c:pt>
                <c:pt idx="144" c:formatCode="yyyy/m/d;@">
                  <c:v>44350</c:v>
                </c:pt>
                <c:pt idx="145" c:formatCode="yyyy/m/d;@">
                  <c:v>44357</c:v>
                </c:pt>
                <c:pt idx="146" c:formatCode="yyyy/m/d;@">
                  <c:v>44364</c:v>
                </c:pt>
                <c:pt idx="147" c:formatCode="yyyy/m/d;@">
                  <c:v>44371</c:v>
                </c:pt>
                <c:pt idx="148" c:formatCode="yyyy/m/d;@">
                  <c:v>44378</c:v>
                </c:pt>
                <c:pt idx="149" c:formatCode="yyyy/m/d;@">
                  <c:v>44385</c:v>
                </c:pt>
                <c:pt idx="150" c:formatCode="yyyy/m/d;@">
                  <c:v>44392</c:v>
                </c:pt>
                <c:pt idx="151" c:formatCode="yyyy/m/d;@">
                  <c:v>44399</c:v>
                </c:pt>
                <c:pt idx="152" c:formatCode="yyyy/m/d;@">
                  <c:v>44406</c:v>
                </c:pt>
                <c:pt idx="153" c:formatCode="yyyy/m/d;@">
                  <c:v>44413</c:v>
                </c:pt>
                <c:pt idx="154" c:formatCode="yyyy/m/d;@">
                  <c:v>44420</c:v>
                </c:pt>
                <c:pt idx="155" c:formatCode="yyyy/m/d;@">
                  <c:v>44427</c:v>
                </c:pt>
                <c:pt idx="156" c:formatCode="yyyy/m/d;@">
                  <c:v>44434</c:v>
                </c:pt>
                <c:pt idx="157" c:formatCode="yyyy/m/d;@">
                  <c:v>44441</c:v>
                </c:pt>
                <c:pt idx="158" c:formatCode="yyyy/m/d;@">
                  <c:v>44448</c:v>
                </c:pt>
                <c:pt idx="159" c:formatCode="yyyy/m/d;@">
                  <c:v>44455</c:v>
                </c:pt>
                <c:pt idx="160" c:formatCode="yyyy/m/d;@">
                  <c:v>44462</c:v>
                </c:pt>
                <c:pt idx="161" c:formatCode="yyyy/m/d;@">
                  <c:v>44469</c:v>
                </c:pt>
                <c:pt idx="162" c:formatCode="yyyy/m/d;@">
                  <c:v>44477</c:v>
                </c:pt>
                <c:pt idx="163" c:formatCode="yyyy/m/d;@">
                  <c:v>44483</c:v>
                </c:pt>
                <c:pt idx="164" c:formatCode="yyyy/m/d;@">
                  <c:v>44490</c:v>
                </c:pt>
                <c:pt idx="165" c:formatCode="yyyy/m/d;@">
                  <c:v>44497</c:v>
                </c:pt>
                <c:pt idx="166" c:formatCode="yyyy/m/d;@">
                  <c:v>44504</c:v>
                </c:pt>
                <c:pt idx="167" c:formatCode="yyyy/m/d;@">
                  <c:v>44511</c:v>
                </c:pt>
                <c:pt idx="168" c:formatCode="yyyy/m/d;@">
                  <c:v>44518</c:v>
                </c:pt>
                <c:pt idx="169" c:formatCode="yyyy/m/d;@">
                  <c:v>44525</c:v>
                </c:pt>
                <c:pt idx="170" c:formatCode="yyyy/m/d;@">
                  <c:v>44532</c:v>
                </c:pt>
                <c:pt idx="171" c:formatCode="yyyy/m/d;@">
                  <c:v>44539</c:v>
                </c:pt>
                <c:pt idx="172" c:formatCode="yyyy/m/d;@">
                  <c:v>44546</c:v>
                </c:pt>
                <c:pt idx="173" c:formatCode="yyyy/m/d;@">
                  <c:v>44553</c:v>
                </c:pt>
                <c:pt idx="174" c:formatCode="yyyy/m/d;@">
                  <c:v>44560</c:v>
                </c:pt>
                <c:pt idx="175" c:formatCode="yyyy/m/d;@">
                  <c:v>44567</c:v>
                </c:pt>
                <c:pt idx="176" c:formatCode="yyyy/m/d;@">
                  <c:v>44574</c:v>
                </c:pt>
                <c:pt idx="177" c:formatCode="yyyy/m/d;@">
                  <c:v>44581</c:v>
                </c:pt>
                <c:pt idx="178" c:formatCode="yyyy/m/d;@">
                  <c:v>44587</c:v>
                </c:pt>
                <c:pt idx="179" c:formatCode="yyyy/m/d;@">
                  <c:v>44602</c:v>
                </c:pt>
                <c:pt idx="180" c:formatCode="yyyy/m/d;@">
                  <c:v>44609</c:v>
                </c:pt>
                <c:pt idx="181" c:formatCode="yyyy/m/d;@">
                  <c:v>44616</c:v>
                </c:pt>
                <c:pt idx="182" c:formatCode="yyyy/m/d;@">
                  <c:v>44623</c:v>
                </c:pt>
                <c:pt idx="183" c:formatCode="yyyy/m/d;@">
                  <c:v>44630</c:v>
                </c:pt>
                <c:pt idx="184" c:formatCode="yyyy/m/d;@">
                  <c:v>44637</c:v>
                </c:pt>
                <c:pt idx="185" c:formatCode="yyyy/m/d;@">
                  <c:v>44644</c:v>
                </c:pt>
                <c:pt idx="186" c:formatCode="yyyy/m/d;@">
                  <c:v>44651</c:v>
                </c:pt>
                <c:pt idx="187" c:formatCode="yyyy/m/d;@">
                  <c:v>44658</c:v>
                </c:pt>
                <c:pt idx="188" c:formatCode="yyyy/m/d;@">
                  <c:v>44665</c:v>
                </c:pt>
                <c:pt idx="189" c:formatCode="yyyy/m/d;@">
                  <c:v>44672</c:v>
                </c:pt>
                <c:pt idx="190" c:formatCode="yyyy/m/d;@">
                  <c:v>44679</c:v>
                </c:pt>
                <c:pt idx="191" c:formatCode="yyyy/m/d;@">
                  <c:v>44686</c:v>
                </c:pt>
                <c:pt idx="192" c:formatCode="yyyy/m/d;@">
                  <c:v>44693</c:v>
                </c:pt>
                <c:pt idx="193" c:formatCode="yyyy/m/d;@">
                  <c:v>44700</c:v>
                </c:pt>
                <c:pt idx="194" c:formatCode="yyyy/m/d;@">
                  <c:v>44707</c:v>
                </c:pt>
                <c:pt idx="195" c:formatCode="yyyy/m/d;@">
                  <c:v>44714</c:v>
                </c:pt>
                <c:pt idx="196" c:formatCode="yyyy/m/d;@">
                  <c:v>44721</c:v>
                </c:pt>
                <c:pt idx="197" c:formatCode="yyyy/m/d;@">
                  <c:v>44728</c:v>
                </c:pt>
                <c:pt idx="198" c:formatCode="yyyy/m/d;@">
                  <c:v>44735</c:v>
                </c:pt>
                <c:pt idx="199" c:formatCode="yyyy/m/d;@">
                  <c:v>44742</c:v>
                </c:pt>
                <c:pt idx="200" c:formatCode="yyyy/m/d;@">
                  <c:v>44749</c:v>
                </c:pt>
                <c:pt idx="201" c:formatCode="yyyy/m/d;@">
                  <c:v>44756</c:v>
                </c:pt>
                <c:pt idx="202" c:formatCode="yyyy/m/d;@">
                  <c:v>44763</c:v>
                </c:pt>
                <c:pt idx="203" c:formatCode="yyyy/m/d;@">
                  <c:v>44770</c:v>
                </c:pt>
                <c:pt idx="204" c:formatCode="yyyy/m/d;@">
                  <c:v>44777</c:v>
                </c:pt>
                <c:pt idx="205" c:formatCode="yyyy/m/d;@">
                  <c:v>44784</c:v>
                </c:pt>
                <c:pt idx="206" c:formatCode="yyyy/m/d;@">
                  <c:v>44791</c:v>
                </c:pt>
                <c:pt idx="207" c:formatCode="yyyy/m/d;@">
                  <c:v>44798</c:v>
                </c:pt>
                <c:pt idx="208" c:formatCode="yyyy/m/d;@">
                  <c:v>44805</c:v>
                </c:pt>
                <c:pt idx="209" c:formatCode="yyyy/m/d;@">
                  <c:v>44812</c:v>
                </c:pt>
                <c:pt idx="210" c:formatCode="yyyy/m/d;@">
                  <c:v>44819</c:v>
                </c:pt>
                <c:pt idx="211" c:formatCode="yyyy/m/d;@">
                  <c:v>44826</c:v>
                </c:pt>
                <c:pt idx="212" c:formatCode="yyyy/m/d;@">
                  <c:v>44833</c:v>
                </c:pt>
                <c:pt idx="213" c:formatCode="yyyy/m/d;@">
                  <c:v>44842</c:v>
                </c:pt>
                <c:pt idx="214" c:formatCode="yyyy/m/d;@">
                  <c:v>44847</c:v>
                </c:pt>
                <c:pt idx="215" c:formatCode="yyyy/m/d;@">
                  <c:v>44854</c:v>
                </c:pt>
                <c:pt idx="216" c:formatCode="yyyy/m/d;@">
                  <c:v>44861</c:v>
                </c:pt>
                <c:pt idx="217" c:formatCode="yyyy/m/d;@">
                  <c:v>44868</c:v>
                </c:pt>
                <c:pt idx="218" c:formatCode="yyyy/m/d;@">
                  <c:v>44875</c:v>
                </c:pt>
                <c:pt idx="219" c:formatCode="yyyy/m/d;@">
                  <c:v>44882</c:v>
                </c:pt>
                <c:pt idx="220" c:formatCode="yyyy/m/d;@">
                  <c:v>44889</c:v>
                </c:pt>
                <c:pt idx="221" c:formatCode="yyyy/m/d;@">
                  <c:v>44896</c:v>
                </c:pt>
                <c:pt idx="222" c:formatCode="yyyy/m/d;@">
                  <c:v>44903</c:v>
                </c:pt>
                <c:pt idx="223" c:formatCode="yyyy/m/d;@">
                  <c:v>44910</c:v>
                </c:pt>
                <c:pt idx="224" c:formatCode="yyyy/m/d;@">
                  <c:v>44917</c:v>
                </c:pt>
                <c:pt idx="225" c:formatCode="yyyy/m/d;@">
                  <c:v>44924</c:v>
                </c:pt>
                <c:pt idx="226" c:formatCode="yyyy/m/d;@">
                  <c:v>44931</c:v>
                </c:pt>
                <c:pt idx="227" c:formatCode="yyyy/m/d;@">
                  <c:v>44938</c:v>
                </c:pt>
                <c:pt idx="228" c:formatCode="yyyy/m/d;@">
                  <c:v>44959</c:v>
                </c:pt>
                <c:pt idx="229" c:formatCode="yyyy/m/d;@">
                  <c:v>44966</c:v>
                </c:pt>
                <c:pt idx="230" c:formatCode="yyyy/m/d;@">
                  <c:v>44973</c:v>
                </c:pt>
                <c:pt idx="231" c:formatCode="yyyy/m/d;@">
                  <c:v>44980</c:v>
                </c:pt>
                <c:pt idx="232" c:formatCode="yyyy/m/d;@">
                  <c:v>44987</c:v>
                </c:pt>
                <c:pt idx="233" c:formatCode="yyyy/m/d;@">
                  <c:v>44994</c:v>
                </c:pt>
                <c:pt idx="234" c:formatCode="yyyy/m/d;@">
                  <c:v>45001</c:v>
                </c:pt>
                <c:pt idx="235" c:formatCode="yyyy/m/d;@">
                  <c:v>45008</c:v>
                </c:pt>
                <c:pt idx="236" c:formatCode="yyyy/m/d;@">
                  <c:v>45015</c:v>
                </c:pt>
                <c:pt idx="237" c:formatCode="yyyy/m/d;@">
                  <c:v>45022</c:v>
                </c:pt>
                <c:pt idx="238" c:formatCode="yyyy/m/d;@">
                  <c:v>45029</c:v>
                </c:pt>
                <c:pt idx="239" c:formatCode="yyyy/m/d;@">
                  <c:v>45036</c:v>
                </c:pt>
                <c:pt idx="240" c:formatCode="yyyy/m/d;@">
                  <c:v>45043</c:v>
                </c:pt>
                <c:pt idx="241" c:formatCode="yyyy/m/d;@">
                  <c:v>45050</c:v>
                </c:pt>
                <c:pt idx="242" c:formatCode="yyyy/m/d;@">
                  <c:v>45057</c:v>
                </c:pt>
                <c:pt idx="243" c:formatCode="yyyy/m/d;@">
                  <c:v>45064</c:v>
                </c:pt>
                <c:pt idx="244" c:formatCode="yyyy/m/d;@">
                  <c:v>45071</c:v>
                </c:pt>
                <c:pt idx="245" c:formatCode="yyyy/m/d;@">
                  <c:v>45078</c:v>
                </c:pt>
                <c:pt idx="246" c:formatCode="yyyy/m/d;@">
                  <c:v>45085</c:v>
                </c:pt>
                <c:pt idx="247" c:formatCode="yyyy/m/d;@">
                  <c:v>45092</c:v>
                </c:pt>
                <c:pt idx="248" c:formatCode="yyyy/m/d;@">
                  <c:v>45098</c:v>
                </c:pt>
                <c:pt idx="249" c:formatCode="yyyy/m/d;@">
                  <c:v>45106</c:v>
                </c:pt>
                <c:pt idx="250" c:formatCode="yyyy/m/d;@">
                  <c:v>45113</c:v>
                </c:pt>
                <c:pt idx="251" c:formatCode="yyyy/m/d;@">
                  <c:v>45120</c:v>
                </c:pt>
                <c:pt idx="252" c:formatCode="yyyy/m/d;@">
                  <c:v>45127</c:v>
                </c:pt>
                <c:pt idx="253" c:formatCode="yyyy/m/d;@">
                  <c:v>45134</c:v>
                </c:pt>
                <c:pt idx="254" c:formatCode="yyyy/m/d;@">
                  <c:v>45141</c:v>
                </c:pt>
                <c:pt idx="255" c:formatCode="yyyy/m/d;@">
                  <c:v>45148</c:v>
                </c:pt>
                <c:pt idx="256" c:formatCode="yyyy/m/d;@">
                  <c:v>45155</c:v>
                </c:pt>
                <c:pt idx="257" c:formatCode="yyyy/m/d;@">
                  <c:v>45162</c:v>
                </c:pt>
                <c:pt idx="258" c:formatCode="yyyy/m/d;@">
                  <c:v>45169</c:v>
                </c:pt>
                <c:pt idx="259" c:formatCode="yyyy/m/d;@">
                  <c:v>45176</c:v>
                </c:pt>
                <c:pt idx="260" c:formatCode="yyyy/m/d;@">
                  <c:v>45183</c:v>
                </c:pt>
                <c:pt idx="261" c:formatCode="yyyy/m/d;@">
                  <c:v>45190</c:v>
                </c:pt>
                <c:pt idx="262" c:formatCode="yyyy/m/d;@">
                  <c:v>45197</c:v>
                </c:pt>
                <c:pt idx="263" c:formatCode="yyyy/m/d;@">
                  <c:v>45205</c:v>
                </c:pt>
                <c:pt idx="264" c:formatCode="yyyy/m/d;@">
                  <c:v>45211</c:v>
                </c:pt>
                <c:pt idx="265" c:formatCode="yyyy/m/d;@">
                  <c:v>45218</c:v>
                </c:pt>
                <c:pt idx="266" c:formatCode="yyyy/m/d;@">
                  <c:v>45225</c:v>
                </c:pt>
                <c:pt idx="267" c:formatCode="yyyy/m/d;@">
                  <c:v>45232</c:v>
                </c:pt>
                <c:pt idx="268" c:formatCode="yyyy/m/d;@">
                  <c:v>45239</c:v>
                </c:pt>
                <c:pt idx="269" c:formatCode="yyyy/m/d;@">
                  <c:v>45246</c:v>
                </c:pt>
                <c:pt idx="270" c:formatCode="yyyy/m/d;@">
                  <c:v>45253</c:v>
                </c:pt>
                <c:pt idx="271" c:formatCode="yyyy/m/d;@">
                  <c:v>45260</c:v>
                </c:pt>
                <c:pt idx="272" c:formatCode="yyyy/m/d;@">
                  <c:v>45267</c:v>
                </c:pt>
                <c:pt idx="273" c:formatCode="yyyy/m/d;@">
                  <c:v>45274</c:v>
                </c:pt>
                <c:pt idx="274" c:formatCode="yyyy/m/d;@">
                  <c:v>45281</c:v>
                </c:pt>
                <c:pt idx="275" c:formatCode="yyyy/m/d;@">
                  <c:v>45288</c:v>
                </c:pt>
                <c:pt idx="276" c:formatCode="yyyy/m/d;@">
                  <c:v>45295</c:v>
                </c:pt>
                <c:pt idx="277" c:formatCode="yyyy/m/d;@">
                  <c:v>45302</c:v>
                </c:pt>
                <c:pt idx="278" c:formatCode="yyyy/m/d;@">
                  <c:v>45309</c:v>
                </c:pt>
                <c:pt idx="279" c:formatCode="yyyy/m/d;@">
                  <c:v>45316</c:v>
                </c:pt>
                <c:pt idx="280" c:formatCode="yyyy/m/d;@">
                  <c:v>45323</c:v>
                </c:pt>
                <c:pt idx="281" c:formatCode="yyyy/m/d;@">
                  <c:v>45344</c:v>
                </c:pt>
                <c:pt idx="282" c:formatCode="yyyy/m/d;@">
                  <c:v>45351</c:v>
                </c:pt>
                <c:pt idx="283" c:formatCode="yyyy/m/d;@">
                  <c:v>45358</c:v>
                </c:pt>
                <c:pt idx="284" c:formatCode="yyyy/m/d;@">
                  <c:v>45365</c:v>
                </c:pt>
                <c:pt idx="285" c:formatCode="yyyy/m/d;@">
                  <c:v>45372</c:v>
                </c:pt>
                <c:pt idx="286" c:formatCode="yyyy/m/d;@">
                  <c:v>45379</c:v>
                </c:pt>
                <c:pt idx="287" c:formatCode="yyyy/m/d;@">
                  <c:v>45385</c:v>
                </c:pt>
                <c:pt idx="288" c:formatCode="yyyy/m/d;@">
                  <c:v>45393</c:v>
                </c:pt>
                <c:pt idx="289" c:formatCode="yyyy/m/d;@">
                  <c:v>45400</c:v>
                </c:pt>
                <c:pt idx="290" c:formatCode="yyyy/m/d;@">
                  <c:v>45407</c:v>
                </c:pt>
                <c:pt idx="291" c:formatCode="yyyy/m/d;@">
                  <c:v>45414</c:v>
                </c:pt>
                <c:pt idx="292" c:formatCode="yyyy/m/d;@">
                  <c:v>45421</c:v>
                </c:pt>
                <c:pt idx="293" c:formatCode="yyyy/m/d;@">
                  <c:v>45428</c:v>
                </c:pt>
                <c:pt idx="294" c:formatCode="yyyy/m/d;@">
                  <c:v>45435</c:v>
                </c:pt>
                <c:pt idx="295" c:formatCode="yyyy/m/d;@">
                  <c:v>45442</c:v>
                </c:pt>
                <c:pt idx="296" c:formatCode="yyyy/m/d;@">
                  <c:v>45449</c:v>
                </c:pt>
                <c:pt idx="297" c:formatCode="yyyy/m/d;@">
                  <c:v>45456</c:v>
                </c:pt>
                <c:pt idx="298" c:formatCode="yyyy/m/d;@">
                  <c:v>45463</c:v>
                </c:pt>
                <c:pt idx="299" c:formatCode="yyyy/m/d;@">
                  <c:v>45470</c:v>
                </c:pt>
                <c:pt idx="300" c:formatCode="yyyy/m/d;@">
                  <c:v>45477</c:v>
                </c:pt>
                <c:pt idx="301" c:formatCode="yyyy/m/d;@">
                  <c:v>45484</c:v>
                </c:pt>
                <c:pt idx="302" c:formatCode="yyyy/m/d;@">
                  <c:v>45491</c:v>
                </c:pt>
                <c:pt idx="303" c:formatCode="yyyy/m/d;@">
                  <c:v>45498</c:v>
                </c:pt>
                <c:pt idx="304" c:formatCode="yyyy/m/d;@">
                  <c:v>45505</c:v>
                </c:pt>
                <c:pt idx="305" c:formatCode="yyyy/m/d;@">
                  <c:v>45512</c:v>
                </c:pt>
                <c:pt idx="306" c:formatCode="yyyy/m/d;@">
                  <c:v>45519</c:v>
                </c:pt>
                <c:pt idx="307" c:formatCode="yyyy/m/d;@">
                  <c:v>45526</c:v>
                </c:pt>
                <c:pt idx="308" c:formatCode="yyyy/m/d;@">
                  <c:v>45533</c:v>
                </c:pt>
                <c:pt idx="309" c:formatCode="yyyy/m/d;@">
                  <c:v>45540</c:v>
                </c:pt>
                <c:pt idx="310" c:formatCode="yyyy/m/d;@">
                  <c:v>45547</c:v>
                </c:pt>
                <c:pt idx="311" c:formatCode="yyyy/m/d;@">
                  <c:v>45554</c:v>
                </c:pt>
                <c:pt idx="312" c:formatCode="yyyy/m/d;@">
                  <c:v>45561</c:v>
                </c:pt>
                <c:pt idx="313" c:formatCode="yyyy/m/d;@">
                  <c:v>45575</c:v>
                </c:pt>
                <c:pt idx="314" c:formatCode="yyyy/m/d;@">
                  <c:v>45582</c:v>
                </c:pt>
                <c:pt idx="315" c:formatCode="yyyy/m/d;@">
                  <c:v>45589</c:v>
                </c:pt>
                <c:pt idx="316" c:formatCode="yyyy/m/d;@">
                  <c:v>45596</c:v>
                </c:pt>
                <c:pt idx="317" c:formatCode="yyyy/m/d;@">
                  <c:v>45603</c:v>
                </c:pt>
                <c:pt idx="318" c:formatCode="yyyy/m/d;@">
                  <c:v>45610</c:v>
                </c:pt>
                <c:pt idx="319" c:formatCode="yyyy/m/d;@">
                  <c:v>45617</c:v>
                </c:pt>
                <c:pt idx="320" c:formatCode="yyyy/m/d;@">
                  <c:v>45624</c:v>
                </c:pt>
                <c:pt idx="321" c:formatCode="yyyy/m/d;@">
                  <c:v>45631</c:v>
                </c:pt>
                <c:pt idx="322" c:formatCode="yyyy/m/d;@">
                  <c:v>45638</c:v>
                </c:pt>
                <c:pt idx="323" c:formatCode="yyyy/m/d;@">
                  <c:v>45645</c:v>
                </c:pt>
                <c:pt idx="324" c:formatCode="yyyy/m/d;@">
                  <c:v>45652</c:v>
                </c:pt>
                <c:pt idx="325" c:formatCode="yyyy/m/d;@">
                  <c:v>45659</c:v>
                </c:pt>
                <c:pt idx="326" c:formatCode="yyyy/m/d;@">
                  <c:v>45666</c:v>
                </c:pt>
                <c:pt idx="327" c:formatCode="yyyy/m/d;@">
                  <c:v>45673</c:v>
                </c:pt>
                <c:pt idx="328" c:formatCode="yyyy/m/d;@">
                  <c:v>45680</c:v>
                </c:pt>
                <c:pt idx="329" c:formatCode="yyyy/m/d;@">
                  <c:v>45694</c:v>
                </c:pt>
                <c:pt idx="330" c:formatCode="yyyy/m/d;@">
                  <c:v>45701</c:v>
                </c:pt>
                <c:pt idx="331" c:formatCode="yyyy/m/d;@">
                  <c:v>45708</c:v>
                </c:pt>
                <c:pt idx="332" c:formatCode="yyyy/m/d;@">
                  <c:v>45715</c:v>
                </c:pt>
                <c:pt idx="333" c:formatCode="yyyy/m/d;@">
                  <c:v>45722</c:v>
                </c:pt>
                <c:pt idx="334" c:formatCode="yyyy/m/d;@">
                  <c:v>45729</c:v>
                </c:pt>
                <c:pt idx="335" c:formatCode="yyyy/m/d;@">
                  <c:v>45736</c:v>
                </c:pt>
                <c:pt idx="336" c:formatCode="yyyy/m/d;@">
                  <c:v>45743</c:v>
                </c:pt>
                <c:pt idx="337" c:formatCode="yyyy/m/d;@">
                  <c:v>45750</c:v>
                </c:pt>
                <c:pt idx="338" c:formatCode="yyyy/m/d;@">
                  <c:v>45757</c:v>
                </c:pt>
                <c:pt idx="339" c:formatCode="yyyy/m/d;@">
                  <c:v>45764</c:v>
                </c:pt>
                <c:pt idx="340" c:formatCode="yyyy/m/d;@">
                  <c:v>45771</c:v>
                </c:pt>
                <c:pt idx="341" c:formatCode="yyyy/m/d;@">
                  <c:v>45777</c:v>
                </c:pt>
                <c:pt idx="342" c:formatCode="yyyy/m/d;@">
                  <c:v>45785</c:v>
                </c:pt>
                <c:pt idx="343" c:formatCode="yyyy/m/d;@">
                  <c:v>45792</c:v>
                </c:pt>
                <c:pt idx="344" c:formatCode="yyyy/m/d;@">
                  <c:v>45799</c:v>
                </c:pt>
                <c:pt idx="345" c:formatCode="yyyy/m/d;@">
                  <c:v>45806</c:v>
                </c:pt>
                <c:pt idx="346" c:formatCode="yyyy/m/d;@">
                  <c:v>45813</c:v>
                </c:pt>
                <c:pt idx="347" c:formatCode="yyyy/m/d;@">
                  <c:v>45820</c:v>
                </c:pt>
                <c:pt idx="348" c:formatCode="yyyy/m/d;@">
                  <c:v>45827</c:v>
                </c:pt>
                <c:pt idx="349" c:formatCode="yyyy/m/d;@">
                  <c:v>45834</c:v>
                </c:pt>
                <c:pt idx="350" c:formatCode="yyyy/m/d;@">
                  <c:v>45841</c:v>
                </c:pt>
                <c:pt idx="351" c:formatCode="yyyy/m/d;@">
                  <c:v>45848</c:v>
                </c:pt>
                <c:pt idx="352" c:formatCode="yyyy/m/d;@">
                  <c:v>45855</c:v>
                </c:pt>
                <c:pt idx="353" c:formatCode="yyyy/m/d;@">
                  <c:v>45862</c:v>
                </c:pt>
                <c:pt idx="354" c:formatCode="yyyy/m/d;@">
                  <c:v>45869</c:v>
                </c:pt>
                <c:pt idx="355" c:formatCode="yyyy/m/d;@">
                  <c:v>45876</c:v>
                </c:pt>
                <c:pt idx="356" c:formatCode="yyyy/m/d;@">
                  <c:v>45883</c:v>
                </c:pt>
                <c:pt idx="357" c:formatCode="yyyy/m/d;@">
                  <c:v>45890</c:v>
                </c:pt>
                <c:pt idx="358" c:formatCode="yyyy/m/d;@">
                  <c:v>45897</c:v>
                </c:pt>
                <c:pt idx="359" c:formatCode="yyyy/m/d;@">
                  <c:v>45904</c:v>
                </c:pt>
                <c:pt idx="360" c:formatCode="yyyy/m/d;@">
                  <c:v>45911</c:v>
                </c:pt>
                <c:pt idx="361" c:formatCode="yyyy/m/d;@">
                  <c:v>45918</c:v>
                </c:pt>
                <c:pt idx="362" c:formatCode="yyyy/m/d;@">
                  <c:v>45925</c:v>
                </c:pt>
                <c:pt idx="363" c:formatCode="yyyy/m/d;@">
                  <c:v>45939</c:v>
                </c:pt>
                <c:pt idx="364" c:formatCode="yyyy/m/d;@">
                  <c:v>45946</c:v>
                </c:pt>
                <c:pt idx="365" c:formatCode="yyyy/m/d;@">
                  <c:v>45953</c:v>
                </c:pt>
                <c:pt idx="366" c:formatCode="yyyy/m/d;@">
                  <c:v>45960</c:v>
                </c:pt>
                <c:pt idx="367" c:formatCode="yyyy/m/d;@">
                  <c:v>45967</c:v>
                </c:pt>
                <c:pt idx="368" c:formatCode="yyyy/m/d;@">
                  <c:v>45974</c:v>
                </c:pt>
                <c:pt idx="369" c:formatCode="yyyy/m/d;@">
                  <c:v>45981</c:v>
                </c:pt>
                <c:pt idx="370" c:formatCode="yyyy/m/d;@">
                  <c:v>45988</c:v>
                </c:pt>
                <c:pt idx="371" c:formatCode="yyyy/m/d;@">
                  <c:v>45995</c:v>
                </c:pt>
                <c:pt idx="372" c:formatCode="yyyy/m/d;@">
                  <c:v>46002</c:v>
                </c:pt>
                <c:pt idx="373" c:formatCode="yyyy/m/d;@">
                  <c:v>46009</c:v>
                </c:pt>
                <c:pt idx="374" c:formatCode="yyyy/m/d;@">
                  <c:v>46016</c:v>
                </c:pt>
                <c:pt idx="375" c:formatCode="yyyy/m/d;@">
                  <c:v>46023</c:v>
                </c:pt>
                <c:pt idx="376" c:formatCode="yyyy/m/d;@">
                  <c:v>46030</c:v>
                </c:pt>
                <c:pt idx="377" c:formatCode="yyyy/m/d;@">
                  <c:v>46037</c:v>
                </c:pt>
                <c:pt idx="378" c:formatCode="yyyy/m/d;@">
                  <c:v>46044</c:v>
                </c:pt>
                <c:pt idx="379" c:formatCode="yyyy/m/d;@">
                  <c:v>46051</c:v>
                </c:pt>
                <c:pt idx="380" c:formatCode="yyyy/m/d;@">
                  <c:v>46058</c:v>
                </c:pt>
                <c:pt idx="381" c:formatCode="yyyy/m/d;@">
                  <c:v>46065</c:v>
                </c:pt>
                <c:pt idx="382" c:formatCode="yyyy/m/d;@">
                  <c:v>46079</c:v>
                </c:pt>
                <c:pt idx="383" c:formatCode="yyyy/m/d;@">
                  <c:v>46086</c:v>
                </c:pt>
                <c:pt idx="384" c:formatCode="yyyy/m/d;@">
                  <c:v>46093</c:v>
                </c:pt>
                <c:pt idx="385" c:formatCode="yyyy/m/d;@">
                  <c:v>46100</c:v>
                </c:pt>
                <c:pt idx="386" c:formatCode="yyyy/m/d;@">
                  <c:v>46107</c:v>
                </c:pt>
                <c:pt idx="387" c:formatCode="yyyy/m/d;@">
                  <c:v>46114</c:v>
                </c:pt>
                <c:pt idx="388" c:formatCode="yyyy/m/d;@">
                  <c:v>46121</c:v>
                </c:pt>
                <c:pt idx="389" c:formatCode="yyyy/m/d;@">
                  <c:v>46128</c:v>
                </c:pt>
                <c:pt idx="390" c:formatCode="yyyy/m/d;@">
                  <c:v>46135</c:v>
                </c:pt>
                <c:pt idx="391" c:formatCode="yyyy/m/d;@">
                  <c:v>46142</c:v>
                </c:pt>
                <c:pt idx="392" c:formatCode="yyyy/m/d;@">
                  <c:v>46149</c:v>
                </c:pt>
                <c:pt idx="393" c:formatCode="yyyy/m/d;@">
                  <c:v>46156</c:v>
                </c:pt>
                <c:pt idx="394" c:formatCode="yyyy/m/d;@">
                  <c:v>46163</c:v>
                </c:pt>
                <c:pt idx="395" c:formatCode="yyyy/m/d;@">
                  <c:v>46170</c:v>
                </c:pt>
                <c:pt idx="396" c:formatCode="yyyy/m/d;@">
                  <c:v>46177</c:v>
                </c:pt>
                <c:pt idx="397" c:formatCode="yyyy/m/d;@">
                  <c:v>46184</c:v>
                </c:pt>
                <c:pt idx="398" c:formatCode="yyyy/m/d;@">
                  <c:v>46191</c:v>
                </c:pt>
                <c:pt idx="399" c:formatCode="yyyy/m/d;@">
                  <c:v>46198</c:v>
                </c:pt>
                <c:pt idx="400" c:formatCode="yyyy/m/d;@">
                  <c:v>46205</c:v>
                </c:pt>
                <c:pt idx="401" c:formatCode="yyyy/m/d;@">
                  <c:v>46212</c:v>
                </c:pt>
                <c:pt idx="402" c:formatCode="yyyy/m/d;@">
                  <c:v>46219</c:v>
                </c:pt>
                <c:pt idx="403" c:formatCode="yyyy/m/d;@">
                  <c:v>46226</c:v>
                </c:pt>
                <c:pt idx="404" c:formatCode="yyyy/m/d;@">
                  <c:v>46233</c:v>
                </c:pt>
                <c:pt idx="405" c:formatCode="yyyy/m/d;@">
                  <c:v>46240</c:v>
                </c:pt>
                <c:pt idx="406" c:formatCode="yyyy/m/d;@">
                  <c:v>46247</c:v>
                </c:pt>
                <c:pt idx="407" c:formatCode="yyyy/m/d;@">
                  <c:v>46254</c:v>
                </c:pt>
                <c:pt idx="408" c:formatCode="yyyy/m/d;@">
                  <c:v>46261</c:v>
                </c:pt>
                <c:pt idx="409" c:formatCode="yyyy/m/d;@">
                  <c:v>46268</c:v>
                </c:pt>
                <c:pt idx="410" c:formatCode="yyyy/m/d;@">
                  <c:v>46275</c:v>
                </c:pt>
                <c:pt idx="411" c:formatCode="yyyy/m/d;@">
                  <c:v>46282</c:v>
                </c:pt>
                <c:pt idx="412" c:formatCode="yyyy/m/d;@">
                  <c:v>46289</c:v>
                </c:pt>
              </c:numCache>
            </c:numRef>
          </c:cat>
          <c:val>
            <c:numRef>
              <c:f>猪肉价!$B$4:$B$1332</c:f>
              <c:numCache>
                <c:formatCode>0.00_);[Red]\(0.00\)</c:formatCode>
                <c:ptCount val="1329"/>
                <c:pt idx="0">
                  <c:v>17.71</c:v>
                </c:pt>
                <c:pt idx="1">
                  <c:v>18.24</c:v>
                </c:pt>
                <c:pt idx="2">
                  <c:v>18.2</c:v>
                </c:pt>
                <c:pt idx="3">
                  <c:v>18.13</c:v>
                </c:pt>
                <c:pt idx="4">
                  <c:v>18.12</c:v>
                </c:pt>
                <c:pt idx="5">
                  <c:v>18.7</c:v>
                </c:pt>
                <c:pt idx="6">
                  <c:v>19.11</c:v>
                </c:pt>
                <c:pt idx="7">
                  <c:v>19.49</c:v>
                </c:pt>
                <c:pt idx="8">
                  <c:v>19.46</c:v>
                </c:pt>
                <c:pt idx="9">
                  <c:v>19.52</c:v>
                </c:pt>
                <c:pt idx="10">
                  <c:v>19.57</c:v>
                </c:pt>
                <c:pt idx="11">
                  <c:v>19.52</c:v>
                </c:pt>
                <c:pt idx="12">
                  <c:v>19.53</c:v>
                </c:pt>
                <c:pt idx="13">
                  <c:v>19.43</c:v>
                </c:pt>
                <c:pt idx="14">
                  <c:v>19.48</c:v>
                </c:pt>
                <c:pt idx="15">
                  <c:v>19.5</c:v>
                </c:pt>
                <c:pt idx="16">
                  <c:v>19.24</c:v>
                </c:pt>
                <c:pt idx="17">
                  <c:v>19.27</c:v>
                </c:pt>
                <c:pt idx="18">
                  <c:v>19.43</c:v>
                </c:pt>
                <c:pt idx="19">
                  <c:v>19.02</c:v>
                </c:pt>
                <c:pt idx="20">
                  <c:v>18.95</c:v>
                </c:pt>
                <c:pt idx="21">
                  <c:v>18.95</c:v>
                </c:pt>
                <c:pt idx="22">
                  <c:v>18.85</c:v>
                </c:pt>
                <c:pt idx="23">
                  <c:v>18.76</c:v>
                </c:pt>
                <c:pt idx="24">
                  <c:v>16.61</c:v>
                </c:pt>
                <c:pt idx="25">
                  <c:v>15.8</c:v>
                </c:pt>
                <c:pt idx="26">
                  <c:v>15.86</c:v>
                </c:pt>
                <c:pt idx="27">
                  <c:v>16.21</c:v>
                </c:pt>
                <c:pt idx="28">
                  <c:v>16.36</c:v>
                </c:pt>
                <c:pt idx="29">
                  <c:v>16.43</c:v>
                </c:pt>
                <c:pt idx="30">
                  <c:v>15.94</c:v>
                </c:pt>
                <c:pt idx="31">
                  <c:v>17.28</c:v>
                </c:pt>
                <c:pt idx="32">
                  <c:v>18.59</c:v>
                </c:pt>
                <c:pt idx="33">
                  <c:v>19.75</c:v>
                </c:pt>
                <c:pt idx="34">
                  <c:v>19.92</c:v>
                </c:pt>
                <c:pt idx="35">
                  <c:v>20.28</c:v>
                </c:pt>
                <c:pt idx="36">
                  <c:v>20.23</c:v>
                </c:pt>
                <c:pt idx="37">
                  <c:v>20.23</c:v>
                </c:pt>
                <c:pt idx="38">
                  <c:v>20.28</c:v>
                </c:pt>
                <c:pt idx="39">
                  <c:v>20.28</c:v>
                </c:pt>
                <c:pt idx="40">
                  <c:v>20.27</c:v>
                </c:pt>
                <c:pt idx="41">
                  <c:v>19.79</c:v>
                </c:pt>
                <c:pt idx="42">
                  <c:v>19.79</c:v>
                </c:pt>
                <c:pt idx="43">
                  <c:v>19.82</c:v>
                </c:pt>
                <c:pt idx="44">
                  <c:v>19.9</c:v>
                </c:pt>
                <c:pt idx="45">
                  <c:v>19.95</c:v>
                </c:pt>
                <c:pt idx="46">
                  <c:v>20.16</c:v>
                </c:pt>
                <c:pt idx="47">
                  <c:v>22.92</c:v>
                </c:pt>
                <c:pt idx="48">
                  <c:v>23.21</c:v>
                </c:pt>
                <c:pt idx="49">
                  <c:v>24.15</c:v>
                </c:pt>
                <c:pt idx="50">
                  <c:v>25.21</c:v>
                </c:pt>
                <c:pt idx="51">
                  <c:v>25.25</c:v>
                </c:pt>
                <c:pt idx="52">
                  <c:v>25.63</c:v>
                </c:pt>
                <c:pt idx="53">
                  <c:v>27.32</c:v>
                </c:pt>
                <c:pt idx="54">
                  <c:v>29.06</c:v>
                </c:pt>
                <c:pt idx="55">
                  <c:v>33.57</c:v>
                </c:pt>
                <c:pt idx="56">
                  <c:v>36.03</c:v>
                </c:pt>
                <c:pt idx="57">
                  <c:v>36.18</c:v>
                </c:pt>
                <c:pt idx="58">
                  <c:v>36.67</c:v>
                </c:pt>
                <c:pt idx="59">
                  <c:v>37.22</c:v>
                </c:pt>
                <c:pt idx="60">
                  <c:v>37.44</c:v>
                </c:pt>
                <c:pt idx="61">
                  <c:v>45.06</c:v>
                </c:pt>
                <c:pt idx="62">
                  <c:v>47.07</c:v>
                </c:pt>
                <c:pt idx="63">
                  <c:v>53.21</c:v>
                </c:pt>
                <c:pt idx="64">
                  <c:v>54.38</c:v>
                </c:pt>
                <c:pt idx="65">
                  <c:v>52.72</c:v>
                </c:pt>
                <c:pt idx="66">
                  <c:v>47.15</c:v>
                </c:pt>
                <c:pt idx="67">
                  <c:v>42.61</c:v>
                </c:pt>
                <c:pt idx="68">
                  <c:v>40.96</c:v>
                </c:pt>
                <c:pt idx="69">
                  <c:v>44.47</c:v>
                </c:pt>
                <c:pt idx="70">
                  <c:v>43.22</c:v>
                </c:pt>
                <c:pt idx="71">
                  <c:v>43.44</c:v>
                </c:pt>
                <c:pt idx="72">
                  <c:v>43.92</c:v>
                </c:pt>
                <c:pt idx="73">
                  <c:v>46.16</c:v>
                </c:pt>
                <c:pt idx="74">
                  <c:v>46.52</c:v>
                </c:pt>
                <c:pt idx="75">
                  <c:v>46.54</c:v>
                </c:pt>
                <c:pt idx="76">
                  <c:v>52.25</c:v>
                </c:pt>
                <c:pt idx="77">
                  <c:v>52.04</c:v>
                </c:pt>
                <c:pt idx="78">
                  <c:v>51.79</c:v>
                </c:pt>
                <c:pt idx="79">
                  <c:v>49.39</c:v>
                </c:pt>
                <c:pt idx="80">
                  <c:v>49.19</c:v>
                </c:pt>
                <c:pt idx="81">
                  <c:v>47.95</c:v>
                </c:pt>
                <c:pt idx="82">
                  <c:v>47.46</c:v>
                </c:pt>
                <c:pt idx="83">
                  <c:v>46.51</c:v>
                </c:pt>
                <c:pt idx="84">
                  <c:v>45.3</c:v>
                </c:pt>
                <c:pt idx="85">
                  <c:v>43.66</c:v>
                </c:pt>
                <c:pt idx="86">
                  <c:v>43.54</c:v>
                </c:pt>
                <c:pt idx="87">
                  <c:v>42.52</c:v>
                </c:pt>
                <c:pt idx="88">
                  <c:v>41.76</c:v>
                </c:pt>
                <c:pt idx="89">
                  <c:v>40.26</c:v>
                </c:pt>
                <c:pt idx="90">
                  <c:v>36.63</c:v>
                </c:pt>
                <c:pt idx="91">
                  <c:v>36.43</c:v>
                </c:pt>
                <c:pt idx="92">
                  <c:v>38.21</c:v>
                </c:pt>
                <c:pt idx="93">
                  <c:v>41.03</c:v>
                </c:pt>
                <c:pt idx="94">
                  <c:v>41.93</c:v>
                </c:pt>
                <c:pt idx="95">
                  <c:v>44.32</c:v>
                </c:pt>
                <c:pt idx="96">
                  <c:v>45.67</c:v>
                </c:pt>
                <c:pt idx="97">
                  <c:v>46.8</c:v>
                </c:pt>
                <c:pt idx="98">
                  <c:v>49.04</c:v>
                </c:pt>
                <c:pt idx="99">
                  <c:v>49.21</c:v>
                </c:pt>
                <c:pt idx="100">
                  <c:v>47.98</c:v>
                </c:pt>
                <c:pt idx="101">
                  <c:v>48.47</c:v>
                </c:pt>
                <c:pt idx="102">
                  <c:v>48.43</c:v>
                </c:pt>
                <c:pt idx="103">
                  <c:v>47.62</c:v>
                </c:pt>
                <c:pt idx="104">
                  <c:v>47.74</c:v>
                </c:pt>
                <c:pt idx="105">
                  <c:v>47.02</c:v>
                </c:pt>
                <c:pt idx="106">
                  <c:v>46.79</c:v>
                </c:pt>
                <c:pt idx="107">
                  <c:v>46.12</c:v>
                </c:pt>
                <c:pt idx="108">
                  <c:v>44.86</c:v>
                </c:pt>
                <c:pt idx="109">
                  <c:v>42.73</c:v>
                </c:pt>
                <c:pt idx="110">
                  <c:v>43.06</c:v>
                </c:pt>
                <c:pt idx="111">
                  <c:v>41.42</c:v>
                </c:pt>
                <c:pt idx="112">
                  <c:v>38.41</c:v>
                </c:pt>
                <c:pt idx="113">
                  <c:v>36.99</c:v>
                </c:pt>
                <c:pt idx="114">
                  <c:v>35.95</c:v>
                </c:pt>
                <c:pt idx="115">
                  <c:v>36.38</c:v>
                </c:pt>
                <c:pt idx="116">
                  <c:v>36.86</c:v>
                </c:pt>
                <c:pt idx="117">
                  <c:v>37.15</c:v>
                </c:pt>
                <c:pt idx="118">
                  <c:v>37.97</c:v>
                </c:pt>
                <c:pt idx="119">
                  <c:v>41.96</c:v>
                </c:pt>
                <c:pt idx="120">
                  <c:v>41.72</c:v>
                </c:pt>
                <c:pt idx="121">
                  <c:v>43.09</c:v>
                </c:pt>
                <c:pt idx="122">
                  <c:v>43.32</c:v>
                </c:pt>
                <c:pt idx="123">
                  <c:v>45.54</c:v>
                </c:pt>
                <c:pt idx="124">
                  <c:v>46.18</c:v>
                </c:pt>
                <c:pt idx="125">
                  <c:v>46.49</c:v>
                </c:pt>
                <c:pt idx="126">
                  <c:v>44.48</c:v>
                </c:pt>
                <c:pt idx="127">
                  <c:v>42.74</c:v>
                </c:pt>
                <c:pt idx="128">
                  <c:v>40.07</c:v>
                </c:pt>
                <c:pt idx="129">
                  <c:v>37.39</c:v>
                </c:pt>
                <c:pt idx="130">
                  <c:v>33.62</c:v>
                </c:pt>
                <c:pt idx="131">
                  <c:v>35.29</c:v>
                </c:pt>
                <c:pt idx="132">
                  <c:v>35</c:v>
                </c:pt>
                <c:pt idx="133">
                  <c:v>34.27</c:v>
                </c:pt>
                <c:pt idx="134">
                  <c:v>32.93</c:v>
                </c:pt>
                <c:pt idx="135">
                  <c:v>30.49</c:v>
                </c:pt>
                <c:pt idx="136">
                  <c:v>26.42</c:v>
                </c:pt>
                <c:pt idx="137">
                  <c:v>29.98</c:v>
                </c:pt>
                <c:pt idx="138">
                  <c:v>28.87</c:v>
                </c:pt>
                <c:pt idx="139">
                  <c:v>27.11</c:v>
                </c:pt>
                <c:pt idx="140">
                  <c:v>26.18</c:v>
                </c:pt>
                <c:pt idx="141">
                  <c:v>23.94</c:v>
                </c:pt>
                <c:pt idx="142">
                  <c:v>23.15</c:v>
                </c:pt>
                <c:pt idx="143">
                  <c:v>22.37</c:v>
                </c:pt>
                <c:pt idx="144">
                  <c:v>21.18</c:v>
                </c:pt>
                <c:pt idx="145">
                  <c:v>19.79</c:v>
                </c:pt>
                <c:pt idx="146">
                  <c:v>18.62</c:v>
                </c:pt>
                <c:pt idx="147">
                  <c:v>16.67</c:v>
                </c:pt>
                <c:pt idx="148">
                  <c:v>21.71</c:v>
                </c:pt>
                <c:pt idx="149">
                  <c:v>20.83</c:v>
                </c:pt>
                <c:pt idx="150">
                  <c:v>19.91</c:v>
                </c:pt>
                <c:pt idx="151">
                  <c:v>20.77</c:v>
                </c:pt>
                <c:pt idx="152">
                  <c:v>20.13</c:v>
                </c:pt>
                <c:pt idx="153">
                  <c:v>19.64</c:v>
                </c:pt>
                <c:pt idx="154">
                  <c:v>19.03</c:v>
                </c:pt>
                <c:pt idx="155">
                  <c:v>18.9</c:v>
                </c:pt>
                <c:pt idx="156">
                  <c:v>18.39</c:v>
                </c:pt>
                <c:pt idx="157">
                  <c:v>18.14</c:v>
                </c:pt>
                <c:pt idx="158">
                  <c:v>17.52</c:v>
                </c:pt>
                <c:pt idx="159">
                  <c:v>16.61</c:v>
                </c:pt>
                <c:pt idx="160">
                  <c:v>15.7</c:v>
                </c:pt>
                <c:pt idx="161">
                  <c:v>14.23</c:v>
                </c:pt>
                <c:pt idx="162">
                  <c:v>14.04</c:v>
                </c:pt>
                <c:pt idx="163">
                  <c:v>17.88</c:v>
                </c:pt>
                <c:pt idx="164">
                  <c:v>19.1</c:v>
                </c:pt>
                <c:pt idx="165">
                  <c:v>21.88</c:v>
                </c:pt>
                <c:pt idx="166">
                  <c:v>21.68</c:v>
                </c:pt>
                <c:pt idx="167">
                  <c:v>22.97</c:v>
                </c:pt>
                <c:pt idx="168">
                  <c:v>23.26</c:v>
                </c:pt>
                <c:pt idx="169">
                  <c:v>24.17</c:v>
                </c:pt>
                <c:pt idx="170">
                  <c:v>23.92</c:v>
                </c:pt>
                <c:pt idx="171">
                  <c:v>22.78</c:v>
                </c:pt>
                <c:pt idx="172">
                  <c:v>21.57</c:v>
                </c:pt>
                <c:pt idx="173">
                  <c:v>20.73</c:v>
                </c:pt>
                <c:pt idx="174">
                  <c:v>21.49</c:v>
                </c:pt>
                <c:pt idx="175">
                  <c:v>20.01</c:v>
                </c:pt>
                <c:pt idx="176">
                  <c:v>19.01</c:v>
                </c:pt>
                <c:pt idx="177">
                  <c:v>18.9</c:v>
                </c:pt>
                <c:pt idx="178">
                  <c:v>18.79</c:v>
                </c:pt>
                <c:pt idx="179">
                  <c:v>17.02</c:v>
                </c:pt>
                <c:pt idx="180">
                  <c:v>15.81</c:v>
                </c:pt>
                <c:pt idx="181">
                  <c:v>15.99</c:v>
                </c:pt>
                <c:pt idx="182">
                  <c:v>15.94</c:v>
                </c:pt>
                <c:pt idx="183">
                  <c:v>15.74</c:v>
                </c:pt>
                <c:pt idx="184">
                  <c:v>15.48</c:v>
                </c:pt>
                <c:pt idx="185">
                  <c:v>16.19</c:v>
                </c:pt>
                <c:pt idx="186">
                  <c:v>16.62</c:v>
                </c:pt>
                <c:pt idx="187">
                  <c:v>16.93</c:v>
                </c:pt>
                <c:pt idx="188">
                  <c:v>16.72</c:v>
                </c:pt>
                <c:pt idx="189">
                  <c:v>18.45</c:v>
                </c:pt>
                <c:pt idx="190">
                  <c:v>19.38</c:v>
                </c:pt>
                <c:pt idx="191">
                  <c:v>19.79</c:v>
                </c:pt>
                <c:pt idx="192">
                  <c:v>20.12</c:v>
                </c:pt>
                <c:pt idx="193">
                  <c:v>20.57</c:v>
                </c:pt>
                <c:pt idx="194">
                  <c:v>20.6</c:v>
                </c:pt>
                <c:pt idx="195">
                  <c:v>20.71</c:v>
                </c:pt>
                <c:pt idx="196">
                  <c:v>20.61</c:v>
                </c:pt>
                <c:pt idx="197">
                  <c:v>21.11</c:v>
                </c:pt>
                <c:pt idx="198">
                  <c:v>22.63</c:v>
                </c:pt>
                <c:pt idx="199">
                  <c:v>25.07</c:v>
                </c:pt>
                <c:pt idx="200">
                  <c:v>28.86</c:v>
                </c:pt>
                <c:pt idx="201">
                  <c:v>30.33</c:v>
                </c:pt>
                <c:pt idx="202">
                  <c:v>29.27</c:v>
                </c:pt>
                <c:pt idx="203">
                  <c:v>27.72</c:v>
                </c:pt>
                <c:pt idx="204">
                  <c:v>27.83</c:v>
                </c:pt>
                <c:pt idx="205">
                  <c:v>27.42</c:v>
                </c:pt>
                <c:pt idx="206">
                  <c:v>27.13</c:v>
                </c:pt>
                <c:pt idx="207">
                  <c:v>28.24</c:v>
                </c:pt>
                <c:pt idx="208">
                  <c:v>30.37</c:v>
                </c:pt>
                <c:pt idx="209">
                  <c:v>30.31</c:v>
                </c:pt>
                <c:pt idx="210">
                  <c:v>30.23</c:v>
                </c:pt>
                <c:pt idx="211">
                  <c:v>30.62</c:v>
                </c:pt>
                <c:pt idx="212">
                  <c:v>30.88</c:v>
                </c:pt>
                <c:pt idx="213">
                  <c:v>32.82</c:v>
                </c:pt>
                <c:pt idx="214">
                  <c:v>34.36</c:v>
                </c:pt>
                <c:pt idx="215">
                  <c:v>36.09</c:v>
                </c:pt>
                <c:pt idx="216">
                  <c:v>35.11</c:v>
                </c:pt>
                <c:pt idx="217">
                  <c:v>33.7</c:v>
                </c:pt>
                <c:pt idx="218">
                  <c:v>31.99</c:v>
                </c:pt>
                <c:pt idx="219">
                  <c:v>31.02</c:v>
                </c:pt>
                <c:pt idx="220">
                  <c:v>29.46</c:v>
                </c:pt>
                <c:pt idx="221">
                  <c:v>28.6</c:v>
                </c:pt>
                <c:pt idx="222">
                  <c:v>29.06</c:v>
                </c:pt>
                <c:pt idx="223">
                  <c:v>26.21</c:v>
                </c:pt>
                <c:pt idx="224">
                  <c:v>22.82</c:v>
                </c:pt>
                <c:pt idx="225">
                  <c:v>23.1</c:v>
                </c:pt>
                <c:pt idx="226">
                  <c:v>21.42</c:v>
                </c:pt>
                <c:pt idx="227">
                  <c:v>19.95</c:v>
                </c:pt>
                <c:pt idx="228">
                  <c:v>18.98</c:v>
                </c:pt>
                <c:pt idx="229">
                  <c:v>18.23</c:v>
                </c:pt>
                <c:pt idx="230">
                  <c:v>18.69</c:v>
                </c:pt>
                <c:pt idx="231">
                  <c:v>19.73</c:v>
                </c:pt>
                <c:pt idx="232">
                  <c:v>20.13</c:v>
                </c:pt>
                <c:pt idx="233">
                  <c:v>19.94</c:v>
                </c:pt>
                <c:pt idx="234">
                  <c:v>19.39</c:v>
                </c:pt>
                <c:pt idx="235">
                  <c:v>19.22</c:v>
                </c:pt>
                <c:pt idx="236">
                  <c:v>18.84</c:v>
                </c:pt>
                <c:pt idx="237">
                  <c:v>18.44</c:v>
                </c:pt>
                <c:pt idx="238">
                  <c:v>18</c:v>
                </c:pt>
                <c:pt idx="239">
                  <c:v>17.77</c:v>
                </c:pt>
                <c:pt idx="240">
                  <c:v>18.49</c:v>
                </c:pt>
                <c:pt idx="241">
                  <c:v>18.46</c:v>
                </c:pt>
                <c:pt idx="242">
                  <c:v>18.28</c:v>
                </c:pt>
                <c:pt idx="243">
                  <c:v>18.05</c:v>
                </c:pt>
                <c:pt idx="244">
                  <c:v>18.38</c:v>
                </c:pt>
                <c:pt idx="245">
                  <c:v>18.44</c:v>
                </c:pt>
                <c:pt idx="246">
                  <c:v>18.32</c:v>
                </c:pt>
                <c:pt idx="247">
                  <c:v>18.25</c:v>
                </c:pt>
                <c:pt idx="248">
                  <c:v>18.44</c:v>
                </c:pt>
                <c:pt idx="249">
                  <c:v>17.96</c:v>
                </c:pt>
                <c:pt idx="250">
                  <c:v>18.13</c:v>
                </c:pt>
                <c:pt idx="251">
                  <c:v>18.04</c:v>
                </c:pt>
                <c:pt idx="252">
                  <c:v>18.01</c:v>
                </c:pt>
                <c:pt idx="253">
                  <c:v>18.99</c:v>
                </c:pt>
                <c:pt idx="254">
                  <c:v>21.17</c:v>
                </c:pt>
                <c:pt idx="255">
                  <c:v>22.23</c:v>
                </c:pt>
                <c:pt idx="256">
                  <c:v>22.08</c:v>
                </c:pt>
                <c:pt idx="257">
                  <c:v>21.79</c:v>
                </c:pt>
                <c:pt idx="258">
                  <c:v>21.76</c:v>
                </c:pt>
                <c:pt idx="259">
                  <c:v>21.54</c:v>
                </c:pt>
                <c:pt idx="260">
                  <c:v>21.27</c:v>
                </c:pt>
                <c:pt idx="261">
                  <c:v>21.06</c:v>
                </c:pt>
                <c:pt idx="262">
                  <c:v>20.76</c:v>
                </c:pt>
                <c:pt idx="263">
                  <c:v>20.47</c:v>
                </c:pt>
                <c:pt idx="264">
                  <c:v>20.03</c:v>
                </c:pt>
                <c:pt idx="265">
                  <c:v>19.86</c:v>
                </c:pt>
                <c:pt idx="266">
                  <c:v>19.42</c:v>
                </c:pt>
                <c:pt idx="267">
                  <c:v>18.83</c:v>
                </c:pt>
                <c:pt idx="268">
                  <c:v>18.86</c:v>
                </c:pt>
                <c:pt idx="269">
                  <c:v>18.52</c:v>
                </c:pt>
                <c:pt idx="270">
                  <c:v>18.87</c:v>
                </c:pt>
                <c:pt idx="271">
                  <c:v>18.14</c:v>
                </c:pt>
                <c:pt idx="272">
                  <c:v>18.26</c:v>
                </c:pt>
                <c:pt idx="273">
                  <c:v>18.49</c:v>
                </c:pt>
                <c:pt idx="274">
                  <c:v>19.12</c:v>
                </c:pt>
                <c:pt idx="275">
                  <c:v>19.03</c:v>
                </c:pt>
                <c:pt idx="276">
                  <c:v>18.58</c:v>
                </c:pt>
                <c:pt idx="277">
                  <c:v>18.2</c:v>
                </c:pt>
                <c:pt idx="278">
                  <c:v>18.19</c:v>
                </c:pt>
                <c:pt idx="279">
                  <c:v>18.97</c:v>
                </c:pt>
                <c:pt idx="280">
                  <c:v>20.93</c:v>
                </c:pt>
                <c:pt idx="281">
                  <c:v>18.67</c:v>
                </c:pt>
                <c:pt idx="282">
                  <c:v>18.25</c:v>
                </c:pt>
                <c:pt idx="283">
                  <c:v>18.4</c:v>
                </c:pt>
                <c:pt idx="284">
                  <c:v>18.61</c:v>
                </c:pt>
                <c:pt idx="285">
                  <c:v>19.05</c:v>
                </c:pt>
                <c:pt idx="286">
                  <c:v>19.62</c:v>
                </c:pt>
                <c:pt idx="287">
                  <c:v>19.64</c:v>
                </c:pt>
                <c:pt idx="288">
                  <c:v>19.56</c:v>
                </c:pt>
                <c:pt idx="289">
                  <c:v>19.46</c:v>
                </c:pt>
                <c:pt idx="290">
                  <c:v>19.35</c:v>
                </c:pt>
                <c:pt idx="291">
                  <c:v>19.29</c:v>
                </c:pt>
                <c:pt idx="292">
                  <c:v>19.39</c:v>
                </c:pt>
                <c:pt idx="293">
                  <c:v>19.61</c:v>
                </c:pt>
                <c:pt idx="294">
                  <c:v>20.67</c:v>
                </c:pt>
                <c:pt idx="295">
                  <c:v>22.44</c:v>
                </c:pt>
                <c:pt idx="296">
                  <c:v>23.65</c:v>
                </c:pt>
                <c:pt idx="297">
                  <c:v>24.31</c:v>
                </c:pt>
                <c:pt idx="298">
                  <c:v>23.82</c:v>
                </c:pt>
                <c:pt idx="299">
                  <c:v>22.85</c:v>
                </c:pt>
                <c:pt idx="300">
                  <c:v>23.21</c:v>
                </c:pt>
                <c:pt idx="301">
                  <c:v>23.92</c:v>
                </c:pt>
                <c:pt idx="302">
                  <c:v>24.48</c:v>
                </c:pt>
                <c:pt idx="303">
                  <c:v>24.74</c:v>
                </c:pt>
                <c:pt idx="304">
                  <c:v>25.09</c:v>
                </c:pt>
                <c:pt idx="305">
                  <c:v>25.87</c:v>
                </c:pt>
                <c:pt idx="306">
                  <c:v>27.05</c:v>
                </c:pt>
                <c:pt idx="307">
                  <c:v>26.74</c:v>
                </c:pt>
                <c:pt idx="308">
                  <c:v>25.56</c:v>
                </c:pt>
                <c:pt idx="309">
                  <c:v>25.37</c:v>
                </c:pt>
                <c:pt idx="310">
                  <c:v>25.34</c:v>
                </c:pt>
                <c:pt idx="311">
                  <c:v>24.82</c:v>
                </c:pt>
                <c:pt idx="312">
                  <c:v>23.95</c:v>
                </c:pt>
                <c:pt idx="313">
                  <c:v>23.24</c:v>
                </c:pt>
                <c:pt idx="314">
                  <c:v>22.97</c:v>
                </c:pt>
                <c:pt idx="315">
                  <c:v>22.47</c:v>
                </c:pt>
                <c:pt idx="316">
                  <c:v>22.46</c:v>
                </c:pt>
                <c:pt idx="317">
                  <c:v>22.16</c:v>
                </c:pt>
                <c:pt idx="318">
                  <c:v>21.65</c:v>
                </c:pt>
                <c:pt idx="319">
                  <c:v>21.28</c:v>
                </c:pt>
                <c:pt idx="320">
                  <c:v>21.56</c:v>
                </c:pt>
                <c:pt idx="321">
                  <c:v>21.26</c:v>
                </c:pt>
                <c:pt idx="322">
                  <c:v>20.8</c:v>
                </c:pt>
                <c:pt idx="323">
                  <c:v>20.96</c:v>
                </c:pt>
                <c:pt idx="324">
                  <c:v>20.73</c:v>
                </c:pt>
                <c:pt idx="325">
                  <c:v>21.04</c:v>
                </c:pt>
                <c:pt idx="326">
                  <c:v>21.45</c:v>
                </c:pt>
                <c:pt idx="327">
                  <c:v>21.06</c:v>
                </c:pt>
                <c:pt idx="328">
                  <c:v>21.05</c:v>
                </c:pt>
                <c:pt idx="329">
                  <c:v>21.62</c:v>
                </c:pt>
                <c:pt idx="330">
                  <c:v>19.43</c:v>
                </c:pt>
                <c:pt idx="331">
                  <c:v>19.45</c:v>
                </c:pt>
                <c:pt idx="332">
                  <c:v>19.21</c:v>
                </c:pt>
                <c:pt idx="333">
                  <c:v>18.97</c:v>
                </c:pt>
                <c:pt idx="334">
                  <c:v>19.07</c:v>
                </c:pt>
                <c:pt idx="335">
                  <c:v>19.15</c:v>
                </c:pt>
                <c:pt idx="336">
                  <c:v>19.07</c:v>
                </c:pt>
                <c:pt idx="337">
                  <c:v>19.01</c:v>
                </c:pt>
                <c:pt idx="338">
                  <c:v>19</c:v>
                </c:pt>
                <c:pt idx="339">
                  <c:v>19.19</c:v>
                </c:pt>
                <c:pt idx="340">
                  <c:v>19.29</c:v>
                </c:pt>
                <c:pt idx="341">
                  <c:v>19.18</c:v>
                </c:pt>
                <c:pt idx="342">
                  <c:v>19.19</c:v>
                </c:pt>
                <c:pt idx="343">
                  <c:v>19.12</c:v>
                </c:pt>
                <c:pt idx="344">
                  <c:v>18.87</c:v>
                </c:pt>
                <c:pt idx="345">
                  <c:v>18.74</c:v>
                </c:pt>
                <c:pt idx="346">
                  <c:v>18.65</c:v>
                </c:pt>
                <c:pt idx="347">
                  <c:v>18.21</c:v>
                </c:pt>
                <c:pt idx="348">
                  <c:v>18.43</c:v>
                </c:pt>
                <c:pt idx="349">
                  <c:v>18.77</c:v>
                </c:pt>
                <c:pt idx="350">
                  <c:v>19.51</c:v>
                </c:pt>
                <c:pt idx="351">
                  <c:v>19.74</c:v>
                </c:pt>
                <c:pt idx="352">
                  <c:v>19.31</c:v>
                </c:pt>
                <c:pt idx="353">
                  <c:v>18.96</c:v>
                </c:pt>
                <c:pt idx="354">
                  <c:v>18.6</c:v>
                </c:pt>
                <c:pt idx="355">
                  <c:v>18.34</c:v>
                </c:pt>
                <c:pt idx="356">
                  <c:v>17.96</c:v>
                </c:pt>
                <c:pt idx="357">
                  <c:v>17.72</c:v>
                </c:pt>
                <c:pt idx="358">
                  <c:v>17.71</c:v>
                </c:pt>
                <c:pt idx="359">
                  <c:v>17.97</c:v>
                </c:pt>
                <c:pt idx="360">
                  <c:v>17.54</c:v>
                </c:pt>
                <c:pt idx="361">
                  <c:v>17.1</c:v>
                </c:pt>
                <c:pt idx="362">
                  <c:v>16.68</c:v>
                </c:pt>
                <c:pt idx="363">
                  <c:v>15.86</c:v>
                </c:pt>
                <c:pt idx="364">
                  <c:v>14.93</c:v>
                </c:pt>
                <c:pt idx="365">
                  <c:v>15.2</c:v>
                </c:pt>
                <c:pt idx="366">
                  <c:v>16.32</c:v>
                </c:pt>
                <c:pt idx="367">
                  <c:v>16.34</c:v>
                </c:pt>
                <c:pt idx="368">
                  <c:v>15.92</c:v>
                </c:pt>
                <c:pt idx="369">
                  <c:v>15.51</c:v>
                </c:pt>
                <c:pt idx="370">
                  <c:v>15.24</c:v>
                </c:pt>
                <c:pt idx="371">
                  <c:v>14.99</c:v>
                </c:pt>
                <c:pt idx="372">
                  <c:v>14.86</c:v>
                </c:pt>
                <c:pt idx="373">
                  <c:v>15.17</c:v>
                </c:pt>
                <c:pt idx="374">
                  <c:v>15.22</c:v>
                </c:pt>
                <c:pt idx="375">
                  <c:v>16.28</c:v>
                </c:pt>
                <c:pt idx="376">
                  <c:v>16.34</c:v>
                </c:pt>
                <c:pt idx="377">
                  <c:v>16.65</c:v>
                </c:pt>
                <c:pt idx="378">
                  <c:v>17.15</c:v>
                </c:pt>
                <c:pt idx="379">
                  <c:v>16.9</c:v>
                </c:pt>
                <c:pt idx="380">
                  <c:v>16.37</c:v>
                </c:pt>
                <c:pt idx="381">
                  <c:v>15.8</c:v>
                </c:pt>
                <c:pt idx="382">
                  <c:v>15.03</c:v>
                </c:pt>
                <c:pt idx="383">
                  <c:v>13.77</c:v>
                </c:pt>
                <c:pt idx="384">
                  <c:v>13.28</c:v>
                </c:pt>
                <c:pt idx="385">
                  <c:v>13.02</c:v>
                </c:pt>
                <c:pt idx="386">
                  <c:v>12.69</c:v>
                </c:pt>
                <c:pt idx="387">
                  <c:v>12.35</c:v>
                </c:pt>
                <c:pt idx="388">
                  <c:v>11.71</c:v>
                </c:pt>
                <c:pt idx="389">
                  <c:v>11.57</c:v>
                </c:pt>
                <c:pt idx="390">
                  <c:v>12.57</c:v>
                </c:pt>
                <c:pt idx="391">
                  <c:v>12.76</c:v>
                </c:pt>
                <c:pt idx="392">
                  <c:v>12.58</c:v>
                </c:pt>
                <c:pt idx="393">
                  <c:v>12.47</c:v>
                </c:pt>
                <c:pt idx="394">
                  <c:v>12.39</c:v>
                </c:pt>
                <c:pt idx="395">
                  <c:v>12.48</c:v>
                </c:pt>
                <c:pt idx="396" c:formatCode="#,##0.00_ ">
                  <c:v>12.45</c:v>
                </c:pt>
                <c:pt idx="397" c:formatCode="#,##0.00_ ">
                  <c:v>12.4</c:v>
                </c:pt>
                <c:pt idx="398" c:formatCode="#,##0.00_ ">
                  <c:v>12.45</c:v>
                </c:pt>
                <c:pt idx="399" c:formatCode="#,##0.00_ ">
                  <c:v>12.46</c:v>
                </c:pt>
                <c:pt idx="400" c:formatCode="#,##0.00_ ">
                  <c:v>12.95</c:v>
                </c:pt>
                <c:pt idx="401" c:formatCode="#,##0.00_ ">
                  <c:v>14.17</c:v>
                </c:pt>
                <c:pt idx="402" c:formatCode="#,##0.00_ ">
                  <c:v>14.31</c:v>
                </c:pt>
                <c:pt idx="403" c:formatCode="#,##0.00_ ">
                  <c:v>14.01</c:v>
                </c:pt>
                <c:pt idx="404" c:formatCode="#,##0.00_ ">
                  <c:v>13.64</c:v>
                </c:pt>
                <c:pt idx="405" c:formatCode="#,##0.00_ ">
                  <c:v>13.57</c:v>
                </c:pt>
                <c:pt idx="406" c:formatCode="#,##0.00_ ">
                  <c:v>13.85</c:v>
                </c:pt>
                <c:pt idx="407" c:formatCode="#,##0.00_ ">
                  <c:v>14.26</c:v>
                </c:pt>
                <c:pt idx="408" c:formatCode="#,##0.00_ ">
                  <c:v>14.25</c:v>
                </c:pt>
                <c:pt idx="409" c:formatCode="#,##0.00_ ">
                  <c:v>14.24</c:v>
                </c:pt>
                <c:pt idx="410" c:formatCode="#,##0.00_ ">
                  <c:v>14.24</c:v>
                </c:pt>
                <c:pt idx="411" c:formatCode="#,##0.00_ ">
                  <c:v>14.04</c:v>
                </c:pt>
                <c:pt idx="412" c:formatCode="#,##0.00_ ">
                  <c:v>13.91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61016336"/>
        <c:axId val="22556915"/>
      </c:lineChart>
      <c:dateAx>
        <c:axId val="861016336"/>
        <c:scaling>
          <c:orientation val="minMax"/>
          <c:max val="46289"/>
          <c:min val="45620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27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22556915"/>
        <c:crosses val="autoZero"/>
        <c:auto val="1"/>
        <c:lblOffset val="100"/>
        <c:baseTimeUnit val="days"/>
        <c:majorUnit val="2"/>
        <c:majorTimeUnit val="months"/>
      </c:dateAx>
      <c:valAx>
        <c:axId val="22556915"/>
        <c:scaling>
          <c:orientation val="minMax"/>
          <c:max val="23"/>
          <c:min val="10.5"/>
        </c:scaling>
        <c:delete val="0"/>
        <c:axPos val="l"/>
        <c:numFmt formatCode="0.00_);[Red]\(0.00\)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861016336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cdd5d7a-2b91-4d05-844b-da62656dac44}"/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 lang="zh-CN" sz="900">
          <a:solidFill>
            <a:sysClr val="windowText" lastClr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  <a:sym typeface="宋体" panose="02010600030101010101" pitchFamily="7" charset="-122"/>
        </a:defRPr>
      </a:pPr>
    </a:p>
  </c:txPr>
  <c:externalData r:id="rId1">
    <c:autoUpdate val="0"/>
  </c:externalData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r>
              <a:rPr lang="en-US" altLang="zh-CN"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2021-2026</a:t>
            </a:r>
            <a:r>
              <a:rPr altLang="en-US"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年前三级别白条均价走势</a:t>
            </a:r>
            <a:endParaRPr lang="en-US" altLang="zh-CN" b="1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猪肉价季节性!$E$2</c:f>
              <c:strCache>
                <c:ptCount val="1"/>
                <c:pt idx="0">
                  <c:v>2021年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猪肉价季节性!$A$3:$A$53</c:f>
              <c:numCache>
                <c:formatCode>m"月"d"日";@</c:formatCode>
                <c:ptCount val="51"/>
                <c:pt idx="0" c:formatCode="m&quot;月&quot;d&quot;日&quot;;@">
                  <c:v>43466</c:v>
                </c:pt>
                <c:pt idx="1" c:formatCode="m&quot;月&quot;d&quot;日&quot;;@">
                  <c:v>43473</c:v>
                </c:pt>
                <c:pt idx="2" c:formatCode="m&quot;月&quot;d&quot;日&quot;;@">
                  <c:v>43480</c:v>
                </c:pt>
                <c:pt idx="3" c:formatCode="m&quot;月&quot;d&quot;日&quot;;@">
                  <c:v>43488</c:v>
                </c:pt>
                <c:pt idx="4" c:formatCode="m&quot;月&quot;d&quot;日&quot;;@">
                  <c:v>43494</c:v>
                </c:pt>
                <c:pt idx="5" c:formatCode="m&quot;月&quot;d&quot;日&quot;;@">
                  <c:v>43501</c:v>
                </c:pt>
                <c:pt idx="6" c:formatCode="m&quot;月&quot;d&quot;日&quot;;@">
                  <c:v>43508</c:v>
                </c:pt>
                <c:pt idx="7" c:formatCode="m&quot;月&quot;d&quot;日&quot;;@">
                  <c:v>43522</c:v>
                </c:pt>
                <c:pt idx="8" c:formatCode="m&quot;月&quot;d&quot;日&quot;;@">
                  <c:v>43529</c:v>
                </c:pt>
                <c:pt idx="9" c:formatCode="m&quot;月&quot;d&quot;日&quot;;@">
                  <c:v>43536</c:v>
                </c:pt>
                <c:pt idx="10" c:formatCode="m&quot;月&quot;d&quot;日&quot;;@">
                  <c:v>43543</c:v>
                </c:pt>
                <c:pt idx="11" c:formatCode="m&quot;月&quot;d&quot;日&quot;;@">
                  <c:v>43550</c:v>
                </c:pt>
                <c:pt idx="12" c:formatCode="m&quot;月&quot;d&quot;日&quot;;@">
                  <c:v>43557</c:v>
                </c:pt>
                <c:pt idx="13" c:formatCode="m&quot;月&quot;d&quot;日&quot;;@">
                  <c:v>43564</c:v>
                </c:pt>
                <c:pt idx="14" c:formatCode="m&quot;月&quot;d&quot;日&quot;;@">
                  <c:v>43571</c:v>
                </c:pt>
                <c:pt idx="15" c:formatCode="m&quot;月&quot;d&quot;日&quot;;@">
                  <c:v>43578</c:v>
                </c:pt>
                <c:pt idx="16" c:formatCode="m&quot;月&quot;d&quot;日&quot;;@">
                  <c:v>43585</c:v>
                </c:pt>
                <c:pt idx="17" c:formatCode="m&quot;月&quot;d&quot;日&quot;;@">
                  <c:v>43592</c:v>
                </c:pt>
                <c:pt idx="18" c:formatCode="m&quot;月&quot;d&quot;日&quot;;@">
                  <c:v>43599</c:v>
                </c:pt>
                <c:pt idx="19" c:formatCode="m&quot;月&quot;d&quot;日&quot;;@">
                  <c:v>43606</c:v>
                </c:pt>
                <c:pt idx="20" c:formatCode="m&quot;月&quot;d&quot;日&quot;;@">
                  <c:v>43613</c:v>
                </c:pt>
                <c:pt idx="21" c:formatCode="m&quot;月&quot;d&quot;日&quot;;@">
                  <c:v>43620</c:v>
                </c:pt>
                <c:pt idx="22" c:formatCode="m&quot;月&quot;d&quot;日&quot;;@">
                  <c:v>43627</c:v>
                </c:pt>
                <c:pt idx="23" c:formatCode="m&quot;月&quot;d&quot;日&quot;;@">
                  <c:v>43634</c:v>
                </c:pt>
                <c:pt idx="24" c:formatCode="m&quot;月&quot;d&quot;日&quot;;@">
                  <c:v>43641</c:v>
                </c:pt>
                <c:pt idx="25" c:formatCode="m&quot;月&quot;d&quot;日&quot;;@">
                  <c:v>43648</c:v>
                </c:pt>
                <c:pt idx="26" c:formatCode="m&quot;月&quot;d&quot;日&quot;;@">
                  <c:v>43655</c:v>
                </c:pt>
                <c:pt idx="27" c:formatCode="m&quot;月&quot;d&quot;日&quot;;@">
                  <c:v>43662</c:v>
                </c:pt>
                <c:pt idx="28" c:formatCode="m&quot;月&quot;d&quot;日&quot;;@">
                  <c:v>43669</c:v>
                </c:pt>
                <c:pt idx="29" c:formatCode="m&quot;月&quot;d&quot;日&quot;;@">
                  <c:v>43676</c:v>
                </c:pt>
                <c:pt idx="30" c:formatCode="m&quot;月&quot;d&quot;日&quot;;@">
                  <c:v>43683</c:v>
                </c:pt>
                <c:pt idx="31" c:formatCode="m&quot;月&quot;d&quot;日&quot;;@">
                  <c:v>43690</c:v>
                </c:pt>
                <c:pt idx="32" c:formatCode="m&quot;月&quot;d&quot;日&quot;;@">
                  <c:v>43697</c:v>
                </c:pt>
                <c:pt idx="33" c:formatCode="m&quot;月&quot;d&quot;日&quot;;@">
                  <c:v>43704</c:v>
                </c:pt>
                <c:pt idx="34" c:formatCode="m&quot;月&quot;d&quot;日&quot;;@">
                  <c:v>43711</c:v>
                </c:pt>
                <c:pt idx="35" c:formatCode="m&quot;月&quot;d&quot;日&quot;;@">
                  <c:v>43718</c:v>
                </c:pt>
                <c:pt idx="36" c:formatCode="m&quot;月&quot;d&quot;日&quot;;@">
                  <c:v>43725</c:v>
                </c:pt>
                <c:pt idx="37" c:formatCode="m&quot;月&quot;d&quot;日&quot;;@">
                  <c:v>43732</c:v>
                </c:pt>
                <c:pt idx="38" c:formatCode="m&quot;月&quot;d&quot;日&quot;;@">
                  <c:v>43740</c:v>
                </c:pt>
                <c:pt idx="39" c:formatCode="m&quot;月&quot;d&quot;日&quot;;@">
                  <c:v>43747</c:v>
                </c:pt>
                <c:pt idx="40" c:formatCode="m&quot;月&quot;d&quot;日&quot;;@">
                  <c:v>43754</c:v>
                </c:pt>
                <c:pt idx="41" c:formatCode="m&quot;月&quot;d&quot;日&quot;;@">
                  <c:v>43761</c:v>
                </c:pt>
                <c:pt idx="42" c:formatCode="m&quot;月&quot;d&quot;日&quot;;@">
                  <c:v>43768</c:v>
                </c:pt>
                <c:pt idx="43" c:formatCode="m&quot;月&quot;d&quot;日&quot;;@">
                  <c:v>43775</c:v>
                </c:pt>
                <c:pt idx="44" c:formatCode="m&quot;月&quot;d&quot;日&quot;;@">
                  <c:v>43782</c:v>
                </c:pt>
                <c:pt idx="45" c:formatCode="m&quot;月&quot;d&quot;日&quot;;@">
                  <c:v>43789</c:v>
                </c:pt>
                <c:pt idx="46" c:formatCode="m&quot;月&quot;d&quot;日&quot;;@">
                  <c:v>43796</c:v>
                </c:pt>
                <c:pt idx="47" c:formatCode="m&quot;月&quot;d&quot;日&quot;;@">
                  <c:v>43803</c:v>
                </c:pt>
                <c:pt idx="48" c:formatCode="m&quot;月&quot;d&quot;日&quot;;@">
                  <c:v>43810</c:v>
                </c:pt>
                <c:pt idx="49" c:formatCode="m&quot;月&quot;d&quot;日&quot;;@">
                  <c:v>43817</c:v>
                </c:pt>
                <c:pt idx="50" c:formatCode="m&quot;月&quot;d&quot;日&quot;;@">
                  <c:v>43824</c:v>
                </c:pt>
              </c:numCache>
            </c:numRef>
          </c:cat>
          <c:val>
            <c:numRef>
              <c:f>猪肉价季节性!$E$3:$E$53</c:f>
              <c:numCache>
                <c:formatCode>0.00_);[Red]\(0.00\)</c:formatCode>
                <c:ptCount val="51"/>
                <c:pt idx="0">
                  <c:v>46.18</c:v>
                </c:pt>
                <c:pt idx="1">
                  <c:v>46.49</c:v>
                </c:pt>
                <c:pt idx="2">
                  <c:v>44.48</c:v>
                </c:pt>
                <c:pt idx="3">
                  <c:v>42.74</c:v>
                </c:pt>
                <c:pt idx="4">
                  <c:v>40.07</c:v>
                </c:pt>
                <c:pt idx="5">
                  <c:v>37.39</c:v>
                </c:pt>
                <c:pt idx="6">
                  <c:v>33.62</c:v>
                </c:pt>
                <c:pt idx="7">
                  <c:v>35.29</c:v>
                </c:pt>
                <c:pt idx="8">
                  <c:v>35</c:v>
                </c:pt>
                <c:pt idx="9">
                  <c:v>34.27</c:v>
                </c:pt>
                <c:pt idx="10">
                  <c:v>32.93</c:v>
                </c:pt>
                <c:pt idx="11">
                  <c:v>30.49</c:v>
                </c:pt>
                <c:pt idx="12">
                  <c:v>26.42</c:v>
                </c:pt>
                <c:pt idx="13">
                  <c:v>29.98</c:v>
                </c:pt>
                <c:pt idx="14">
                  <c:v>28.87</c:v>
                </c:pt>
                <c:pt idx="15">
                  <c:v>27.11</c:v>
                </c:pt>
                <c:pt idx="16">
                  <c:v>26.18</c:v>
                </c:pt>
                <c:pt idx="17">
                  <c:v>23.94</c:v>
                </c:pt>
                <c:pt idx="18">
                  <c:v>23.15</c:v>
                </c:pt>
                <c:pt idx="19">
                  <c:v>22.37</c:v>
                </c:pt>
                <c:pt idx="20">
                  <c:v>21.18</c:v>
                </c:pt>
                <c:pt idx="21">
                  <c:v>19.79</c:v>
                </c:pt>
                <c:pt idx="22">
                  <c:v>18.62</c:v>
                </c:pt>
                <c:pt idx="23">
                  <c:v>16.67</c:v>
                </c:pt>
                <c:pt idx="24">
                  <c:v>21.71</c:v>
                </c:pt>
                <c:pt idx="25">
                  <c:v>20.83</c:v>
                </c:pt>
                <c:pt idx="26">
                  <c:v>19.91</c:v>
                </c:pt>
                <c:pt idx="27">
                  <c:v>20.77</c:v>
                </c:pt>
                <c:pt idx="28">
                  <c:v>20.13</c:v>
                </c:pt>
                <c:pt idx="29">
                  <c:v>19.64</c:v>
                </c:pt>
                <c:pt idx="30">
                  <c:v>19.03</c:v>
                </c:pt>
                <c:pt idx="31">
                  <c:v>18.9</c:v>
                </c:pt>
                <c:pt idx="32">
                  <c:v>18.39</c:v>
                </c:pt>
                <c:pt idx="33">
                  <c:v>18.14</c:v>
                </c:pt>
                <c:pt idx="34">
                  <c:v>17.52</c:v>
                </c:pt>
                <c:pt idx="35">
                  <c:v>16.61</c:v>
                </c:pt>
                <c:pt idx="36">
                  <c:v>15.7</c:v>
                </c:pt>
                <c:pt idx="37">
                  <c:v>14.23</c:v>
                </c:pt>
                <c:pt idx="38">
                  <c:v>14.04</c:v>
                </c:pt>
                <c:pt idx="39">
                  <c:v>17.88</c:v>
                </c:pt>
                <c:pt idx="40">
                  <c:v>19.1</c:v>
                </c:pt>
                <c:pt idx="41">
                  <c:v>21.88</c:v>
                </c:pt>
                <c:pt idx="42">
                  <c:v>21.68</c:v>
                </c:pt>
                <c:pt idx="43">
                  <c:v>22.97</c:v>
                </c:pt>
                <c:pt idx="44">
                  <c:v>23.26</c:v>
                </c:pt>
                <c:pt idx="45">
                  <c:v>24.17</c:v>
                </c:pt>
                <c:pt idx="46">
                  <c:v>23.92</c:v>
                </c:pt>
                <c:pt idx="47">
                  <c:v>22.78</c:v>
                </c:pt>
                <c:pt idx="48">
                  <c:v>21.57</c:v>
                </c:pt>
                <c:pt idx="49">
                  <c:v>20.73</c:v>
                </c:pt>
                <c:pt idx="50">
                  <c:v>21.49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猪肉价季节性!$F$2</c:f>
              <c:strCache>
                <c:ptCount val="1"/>
                <c:pt idx="0">
                  <c:v>2022年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猪肉价季节性!$A$3:$A$53</c:f>
              <c:numCache>
                <c:formatCode>m"月"d"日";@</c:formatCode>
                <c:ptCount val="51"/>
                <c:pt idx="0" c:formatCode="m&quot;月&quot;d&quot;日&quot;;@">
                  <c:v>43466</c:v>
                </c:pt>
                <c:pt idx="1" c:formatCode="m&quot;月&quot;d&quot;日&quot;;@">
                  <c:v>43473</c:v>
                </c:pt>
                <c:pt idx="2" c:formatCode="m&quot;月&quot;d&quot;日&quot;;@">
                  <c:v>43480</c:v>
                </c:pt>
                <c:pt idx="3" c:formatCode="m&quot;月&quot;d&quot;日&quot;;@">
                  <c:v>43488</c:v>
                </c:pt>
                <c:pt idx="4" c:formatCode="m&quot;月&quot;d&quot;日&quot;;@">
                  <c:v>43494</c:v>
                </c:pt>
                <c:pt idx="5" c:formatCode="m&quot;月&quot;d&quot;日&quot;;@">
                  <c:v>43501</c:v>
                </c:pt>
                <c:pt idx="6" c:formatCode="m&quot;月&quot;d&quot;日&quot;;@">
                  <c:v>43508</c:v>
                </c:pt>
                <c:pt idx="7" c:formatCode="m&quot;月&quot;d&quot;日&quot;;@">
                  <c:v>43522</c:v>
                </c:pt>
                <c:pt idx="8" c:formatCode="m&quot;月&quot;d&quot;日&quot;;@">
                  <c:v>43529</c:v>
                </c:pt>
                <c:pt idx="9" c:formatCode="m&quot;月&quot;d&quot;日&quot;;@">
                  <c:v>43536</c:v>
                </c:pt>
                <c:pt idx="10" c:formatCode="m&quot;月&quot;d&quot;日&quot;;@">
                  <c:v>43543</c:v>
                </c:pt>
                <c:pt idx="11" c:formatCode="m&quot;月&quot;d&quot;日&quot;;@">
                  <c:v>43550</c:v>
                </c:pt>
                <c:pt idx="12" c:formatCode="m&quot;月&quot;d&quot;日&quot;;@">
                  <c:v>43557</c:v>
                </c:pt>
                <c:pt idx="13" c:formatCode="m&quot;月&quot;d&quot;日&quot;;@">
                  <c:v>43564</c:v>
                </c:pt>
                <c:pt idx="14" c:formatCode="m&quot;月&quot;d&quot;日&quot;;@">
                  <c:v>43571</c:v>
                </c:pt>
                <c:pt idx="15" c:formatCode="m&quot;月&quot;d&quot;日&quot;;@">
                  <c:v>43578</c:v>
                </c:pt>
                <c:pt idx="16" c:formatCode="m&quot;月&quot;d&quot;日&quot;;@">
                  <c:v>43585</c:v>
                </c:pt>
                <c:pt idx="17" c:formatCode="m&quot;月&quot;d&quot;日&quot;;@">
                  <c:v>43592</c:v>
                </c:pt>
                <c:pt idx="18" c:formatCode="m&quot;月&quot;d&quot;日&quot;;@">
                  <c:v>43599</c:v>
                </c:pt>
                <c:pt idx="19" c:formatCode="m&quot;月&quot;d&quot;日&quot;;@">
                  <c:v>43606</c:v>
                </c:pt>
                <c:pt idx="20" c:formatCode="m&quot;月&quot;d&quot;日&quot;;@">
                  <c:v>43613</c:v>
                </c:pt>
                <c:pt idx="21" c:formatCode="m&quot;月&quot;d&quot;日&quot;;@">
                  <c:v>43620</c:v>
                </c:pt>
                <c:pt idx="22" c:formatCode="m&quot;月&quot;d&quot;日&quot;;@">
                  <c:v>43627</c:v>
                </c:pt>
                <c:pt idx="23" c:formatCode="m&quot;月&quot;d&quot;日&quot;;@">
                  <c:v>43634</c:v>
                </c:pt>
                <c:pt idx="24" c:formatCode="m&quot;月&quot;d&quot;日&quot;;@">
                  <c:v>43641</c:v>
                </c:pt>
                <c:pt idx="25" c:formatCode="m&quot;月&quot;d&quot;日&quot;;@">
                  <c:v>43648</c:v>
                </c:pt>
                <c:pt idx="26" c:formatCode="m&quot;月&quot;d&quot;日&quot;;@">
                  <c:v>43655</c:v>
                </c:pt>
                <c:pt idx="27" c:formatCode="m&quot;月&quot;d&quot;日&quot;;@">
                  <c:v>43662</c:v>
                </c:pt>
                <c:pt idx="28" c:formatCode="m&quot;月&quot;d&quot;日&quot;;@">
                  <c:v>43669</c:v>
                </c:pt>
                <c:pt idx="29" c:formatCode="m&quot;月&quot;d&quot;日&quot;;@">
                  <c:v>43676</c:v>
                </c:pt>
                <c:pt idx="30" c:formatCode="m&quot;月&quot;d&quot;日&quot;;@">
                  <c:v>43683</c:v>
                </c:pt>
                <c:pt idx="31" c:formatCode="m&quot;月&quot;d&quot;日&quot;;@">
                  <c:v>43690</c:v>
                </c:pt>
                <c:pt idx="32" c:formatCode="m&quot;月&quot;d&quot;日&quot;;@">
                  <c:v>43697</c:v>
                </c:pt>
                <c:pt idx="33" c:formatCode="m&quot;月&quot;d&quot;日&quot;;@">
                  <c:v>43704</c:v>
                </c:pt>
                <c:pt idx="34" c:formatCode="m&quot;月&quot;d&quot;日&quot;;@">
                  <c:v>43711</c:v>
                </c:pt>
                <c:pt idx="35" c:formatCode="m&quot;月&quot;d&quot;日&quot;;@">
                  <c:v>43718</c:v>
                </c:pt>
                <c:pt idx="36" c:formatCode="m&quot;月&quot;d&quot;日&quot;;@">
                  <c:v>43725</c:v>
                </c:pt>
                <c:pt idx="37" c:formatCode="m&quot;月&quot;d&quot;日&quot;;@">
                  <c:v>43732</c:v>
                </c:pt>
                <c:pt idx="38" c:formatCode="m&quot;月&quot;d&quot;日&quot;;@">
                  <c:v>43740</c:v>
                </c:pt>
                <c:pt idx="39" c:formatCode="m&quot;月&quot;d&quot;日&quot;;@">
                  <c:v>43747</c:v>
                </c:pt>
                <c:pt idx="40" c:formatCode="m&quot;月&quot;d&quot;日&quot;;@">
                  <c:v>43754</c:v>
                </c:pt>
                <c:pt idx="41" c:formatCode="m&quot;月&quot;d&quot;日&quot;;@">
                  <c:v>43761</c:v>
                </c:pt>
                <c:pt idx="42" c:formatCode="m&quot;月&quot;d&quot;日&quot;;@">
                  <c:v>43768</c:v>
                </c:pt>
                <c:pt idx="43" c:formatCode="m&quot;月&quot;d&quot;日&quot;;@">
                  <c:v>43775</c:v>
                </c:pt>
                <c:pt idx="44" c:formatCode="m&quot;月&quot;d&quot;日&quot;;@">
                  <c:v>43782</c:v>
                </c:pt>
                <c:pt idx="45" c:formatCode="m&quot;月&quot;d&quot;日&quot;;@">
                  <c:v>43789</c:v>
                </c:pt>
                <c:pt idx="46" c:formatCode="m&quot;月&quot;d&quot;日&quot;;@">
                  <c:v>43796</c:v>
                </c:pt>
                <c:pt idx="47" c:formatCode="m&quot;月&quot;d&quot;日&quot;;@">
                  <c:v>43803</c:v>
                </c:pt>
                <c:pt idx="48" c:formatCode="m&quot;月&quot;d&quot;日&quot;;@">
                  <c:v>43810</c:v>
                </c:pt>
                <c:pt idx="49" c:formatCode="m&quot;月&quot;d&quot;日&quot;;@">
                  <c:v>43817</c:v>
                </c:pt>
                <c:pt idx="50" c:formatCode="m&quot;月&quot;d&quot;日&quot;;@">
                  <c:v>43824</c:v>
                </c:pt>
              </c:numCache>
            </c:numRef>
          </c:cat>
          <c:val>
            <c:numRef>
              <c:f>猪肉价季节性!$F$3:$F$53</c:f>
              <c:numCache>
                <c:formatCode>0.00_);[Red]\(0.00\)</c:formatCode>
                <c:ptCount val="51"/>
                <c:pt idx="0">
                  <c:v>20.01</c:v>
                </c:pt>
                <c:pt idx="1">
                  <c:v>19.01</c:v>
                </c:pt>
                <c:pt idx="2">
                  <c:v>18.9</c:v>
                </c:pt>
                <c:pt idx="3">
                  <c:v>18.79</c:v>
                </c:pt>
                <c:pt idx="4">
                  <c:v>17.02</c:v>
                </c:pt>
                <c:pt idx="5">
                  <c:v>15.81</c:v>
                </c:pt>
                <c:pt idx="6">
                  <c:v>15.99</c:v>
                </c:pt>
                <c:pt idx="7">
                  <c:v>15.94</c:v>
                </c:pt>
                <c:pt idx="8">
                  <c:v>15.74</c:v>
                </c:pt>
                <c:pt idx="9">
                  <c:v>15.48</c:v>
                </c:pt>
                <c:pt idx="10">
                  <c:v>16.19</c:v>
                </c:pt>
                <c:pt idx="11">
                  <c:v>16.62</c:v>
                </c:pt>
                <c:pt idx="12">
                  <c:v>16.93</c:v>
                </c:pt>
                <c:pt idx="13">
                  <c:v>16.72</c:v>
                </c:pt>
                <c:pt idx="14">
                  <c:v>18.45</c:v>
                </c:pt>
                <c:pt idx="15">
                  <c:v>19.38</c:v>
                </c:pt>
                <c:pt idx="16">
                  <c:v>19.79</c:v>
                </c:pt>
                <c:pt idx="17">
                  <c:v>20.12</c:v>
                </c:pt>
                <c:pt idx="18">
                  <c:v>20.57</c:v>
                </c:pt>
                <c:pt idx="19">
                  <c:v>20.6</c:v>
                </c:pt>
                <c:pt idx="20">
                  <c:v>20.71</c:v>
                </c:pt>
                <c:pt idx="21">
                  <c:v>20.61</c:v>
                </c:pt>
                <c:pt idx="22">
                  <c:v>21.11</c:v>
                </c:pt>
                <c:pt idx="23">
                  <c:v>22.63</c:v>
                </c:pt>
                <c:pt idx="24">
                  <c:v>25.07</c:v>
                </c:pt>
                <c:pt idx="25">
                  <c:v>28.86</c:v>
                </c:pt>
                <c:pt idx="26">
                  <c:v>30.33</c:v>
                </c:pt>
                <c:pt idx="27">
                  <c:v>29.27</c:v>
                </c:pt>
                <c:pt idx="28">
                  <c:v>27.72</c:v>
                </c:pt>
                <c:pt idx="29">
                  <c:v>27.83</c:v>
                </c:pt>
                <c:pt idx="30">
                  <c:v>27.42</c:v>
                </c:pt>
                <c:pt idx="31">
                  <c:v>27.13</c:v>
                </c:pt>
                <c:pt idx="32">
                  <c:v>28.24</c:v>
                </c:pt>
                <c:pt idx="33">
                  <c:v>30.37</c:v>
                </c:pt>
                <c:pt idx="34">
                  <c:v>30.31</c:v>
                </c:pt>
                <c:pt idx="35">
                  <c:v>30.23</c:v>
                </c:pt>
                <c:pt idx="36">
                  <c:v>30.62</c:v>
                </c:pt>
                <c:pt idx="37">
                  <c:v>30.88</c:v>
                </c:pt>
                <c:pt idx="38">
                  <c:v>32.82</c:v>
                </c:pt>
                <c:pt idx="39">
                  <c:v>34.36</c:v>
                </c:pt>
                <c:pt idx="40">
                  <c:v>36.09</c:v>
                </c:pt>
                <c:pt idx="41">
                  <c:v>35.11</c:v>
                </c:pt>
                <c:pt idx="42">
                  <c:v>33.7</c:v>
                </c:pt>
                <c:pt idx="43">
                  <c:v>31.99</c:v>
                </c:pt>
                <c:pt idx="44">
                  <c:v>31.02</c:v>
                </c:pt>
                <c:pt idx="45">
                  <c:v>29.46</c:v>
                </c:pt>
                <c:pt idx="46">
                  <c:v>28.6</c:v>
                </c:pt>
                <c:pt idx="47">
                  <c:v>29.06</c:v>
                </c:pt>
                <c:pt idx="48">
                  <c:v>26.21</c:v>
                </c:pt>
                <c:pt idx="49">
                  <c:v>22.82</c:v>
                </c:pt>
                <c:pt idx="50">
                  <c:v>23.1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猪肉价季节性!$G$2</c:f>
              <c:strCache>
                <c:ptCount val="1"/>
                <c:pt idx="0">
                  <c:v>2023年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猪肉价季节性!$A$3:$A$53</c:f>
              <c:numCache>
                <c:formatCode>m"月"d"日";@</c:formatCode>
                <c:ptCount val="51"/>
                <c:pt idx="0" c:formatCode="m&quot;月&quot;d&quot;日&quot;;@">
                  <c:v>43466</c:v>
                </c:pt>
                <c:pt idx="1" c:formatCode="m&quot;月&quot;d&quot;日&quot;;@">
                  <c:v>43473</c:v>
                </c:pt>
                <c:pt idx="2" c:formatCode="m&quot;月&quot;d&quot;日&quot;;@">
                  <c:v>43480</c:v>
                </c:pt>
                <c:pt idx="3" c:formatCode="m&quot;月&quot;d&quot;日&quot;;@">
                  <c:v>43488</c:v>
                </c:pt>
                <c:pt idx="4" c:formatCode="m&quot;月&quot;d&quot;日&quot;;@">
                  <c:v>43494</c:v>
                </c:pt>
                <c:pt idx="5" c:formatCode="m&quot;月&quot;d&quot;日&quot;;@">
                  <c:v>43501</c:v>
                </c:pt>
                <c:pt idx="6" c:formatCode="m&quot;月&quot;d&quot;日&quot;;@">
                  <c:v>43508</c:v>
                </c:pt>
                <c:pt idx="7" c:formatCode="m&quot;月&quot;d&quot;日&quot;;@">
                  <c:v>43522</c:v>
                </c:pt>
                <c:pt idx="8" c:formatCode="m&quot;月&quot;d&quot;日&quot;;@">
                  <c:v>43529</c:v>
                </c:pt>
                <c:pt idx="9" c:formatCode="m&quot;月&quot;d&quot;日&quot;;@">
                  <c:v>43536</c:v>
                </c:pt>
                <c:pt idx="10" c:formatCode="m&quot;月&quot;d&quot;日&quot;;@">
                  <c:v>43543</c:v>
                </c:pt>
                <c:pt idx="11" c:formatCode="m&quot;月&quot;d&quot;日&quot;;@">
                  <c:v>43550</c:v>
                </c:pt>
                <c:pt idx="12" c:formatCode="m&quot;月&quot;d&quot;日&quot;;@">
                  <c:v>43557</c:v>
                </c:pt>
                <c:pt idx="13" c:formatCode="m&quot;月&quot;d&quot;日&quot;;@">
                  <c:v>43564</c:v>
                </c:pt>
                <c:pt idx="14" c:formatCode="m&quot;月&quot;d&quot;日&quot;;@">
                  <c:v>43571</c:v>
                </c:pt>
                <c:pt idx="15" c:formatCode="m&quot;月&quot;d&quot;日&quot;;@">
                  <c:v>43578</c:v>
                </c:pt>
                <c:pt idx="16" c:formatCode="m&quot;月&quot;d&quot;日&quot;;@">
                  <c:v>43585</c:v>
                </c:pt>
                <c:pt idx="17" c:formatCode="m&quot;月&quot;d&quot;日&quot;;@">
                  <c:v>43592</c:v>
                </c:pt>
                <c:pt idx="18" c:formatCode="m&quot;月&quot;d&quot;日&quot;;@">
                  <c:v>43599</c:v>
                </c:pt>
                <c:pt idx="19" c:formatCode="m&quot;月&quot;d&quot;日&quot;;@">
                  <c:v>43606</c:v>
                </c:pt>
                <c:pt idx="20" c:formatCode="m&quot;月&quot;d&quot;日&quot;;@">
                  <c:v>43613</c:v>
                </c:pt>
                <c:pt idx="21" c:formatCode="m&quot;月&quot;d&quot;日&quot;;@">
                  <c:v>43620</c:v>
                </c:pt>
                <c:pt idx="22" c:formatCode="m&quot;月&quot;d&quot;日&quot;;@">
                  <c:v>43627</c:v>
                </c:pt>
                <c:pt idx="23" c:formatCode="m&quot;月&quot;d&quot;日&quot;;@">
                  <c:v>43634</c:v>
                </c:pt>
                <c:pt idx="24" c:formatCode="m&quot;月&quot;d&quot;日&quot;;@">
                  <c:v>43641</c:v>
                </c:pt>
                <c:pt idx="25" c:formatCode="m&quot;月&quot;d&quot;日&quot;;@">
                  <c:v>43648</c:v>
                </c:pt>
                <c:pt idx="26" c:formatCode="m&quot;月&quot;d&quot;日&quot;;@">
                  <c:v>43655</c:v>
                </c:pt>
                <c:pt idx="27" c:formatCode="m&quot;月&quot;d&quot;日&quot;;@">
                  <c:v>43662</c:v>
                </c:pt>
                <c:pt idx="28" c:formatCode="m&quot;月&quot;d&quot;日&quot;;@">
                  <c:v>43669</c:v>
                </c:pt>
                <c:pt idx="29" c:formatCode="m&quot;月&quot;d&quot;日&quot;;@">
                  <c:v>43676</c:v>
                </c:pt>
                <c:pt idx="30" c:formatCode="m&quot;月&quot;d&quot;日&quot;;@">
                  <c:v>43683</c:v>
                </c:pt>
                <c:pt idx="31" c:formatCode="m&quot;月&quot;d&quot;日&quot;;@">
                  <c:v>43690</c:v>
                </c:pt>
                <c:pt idx="32" c:formatCode="m&quot;月&quot;d&quot;日&quot;;@">
                  <c:v>43697</c:v>
                </c:pt>
                <c:pt idx="33" c:formatCode="m&quot;月&quot;d&quot;日&quot;;@">
                  <c:v>43704</c:v>
                </c:pt>
                <c:pt idx="34" c:formatCode="m&quot;月&quot;d&quot;日&quot;;@">
                  <c:v>43711</c:v>
                </c:pt>
                <c:pt idx="35" c:formatCode="m&quot;月&quot;d&quot;日&quot;;@">
                  <c:v>43718</c:v>
                </c:pt>
                <c:pt idx="36" c:formatCode="m&quot;月&quot;d&quot;日&quot;;@">
                  <c:v>43725</c:v>
                </c:pt>
                <c:pt idx="37" c:formatCode="m&quot;月&quot;d&quot;日&quot;;@">
                  <c:v>43732</c:v>
                </c:pt>
                <c:pt idx="38" c:formatCode="m&quot;月&quot;d&quot;日&quot;;@">
                  <c:v>43740</c:v>
                </c:pt>
                <c:pt idx="39" c:formatCode="m&quot;月&quot;d&quot;日&quot;;@">
                  <c:v>43747</c:v>
                </c:pt>
                <c:pt idx="40" c:formatCode="m&quot;月&quot;d&quot;日&quot;;@">
                  <c:v>43754</c:v>
                </c:pt>
                <c:pt idx="41" c:formatCode="m&quot;月&quot;d&quot;日&quot;;@">
                  <c:v>43761</c:v>
                </c:pt>
                <c:pt idx="42" c:formatCode="m&quot;月&quot;d&quot;日&quot;;@">
                  <c:v>43768</c:v>
                </c:pt>
                <c:pt idx="43" c:formatCode="m&quot;月&quot;d&quot;日&quot;;@">
                  <c:v>43775</c:v>
                </c:pt>
                <c:pt idx="44" c:formatCode="m&quot;月&quot;d&quot;日&quot;;@">
                  <c:v>43782</c:v>
                </c:pt>
                <c:pt idx="45" c:formatCode="m&quot;月&quot;d&quot;日&quot;;@">
                  <c:v>43789</c:v>
                </c:pt>
                <c:pt idx="46" c:formatCode="m&quot;月&quot;d&quot;日&quot;;@">
                  <c:v>43796</c:v>
                </c:pt>
                <c:pt idx="47" c:formatCode="m&quot;月&quot;d&quot;日&quot;;@">
                  <c:v>43803</c:v>
                </c:pt>
                <c:pt idx="48" c:formatCode="m&quot;月&quot;d&quot;日&quot;;@">
                  <c:v>43810</c:v>
                </c:pt>
                <c:pt idx="49" c:formatCode="m&quot;月&quot;d&quot;日&quot;;@">
                  <c:v>43817</c:v>
                </c:pt>
                <c:pt idx="50" c:formatCode="m&quot;月&quot;d&quot;日&quot;;@">
                  <c:v>43824</c:v>
                </c:pt>
              </c:numCache>
            </c:numRef>
          </c:cat>
          <c:val>
            <c:numRef>
              <c:f>猪肉价季节性!$G$3:$G$53</c:f>
              <c:numCache>
                <c:formatCode>0.00_);[Red]\(0.00\)</c:formatCode>
                <c:ptCount val="51"/>
                <c:pt idx="0">
                  <c:v>21.42</c:v>
                </c:pt>
                <c:pt idx="1">
                  <c:v>19.95</c:v>
                </c:pt>
                <c:pt idx="2">
                  <c:v>18.98</c:v>
                </c:pt>
                <c:pt idx="3">
                  <c:v>18.23</c:v>
                </c:pt>
                <c:pt idx="4">
                  <c:v>18.69</c:v>
                </c:pt>
                <c:pt idx="5">
                  <c:v>19.73</c:v>
                </c:pt>
                <c:pt idx="6">
                  <c:v>20.13</c:v>
                </c:pt>
                <c:pt idx="7">
                  <c:v>19.94</c:v>
                </c:pt>
                <c:pt idx="8">
                  <c:v>19.39</c:v>
                </c:pt>
                <c:pt idx="9">
                  <c:v>19.22</c:v>
                </c:pt>
                <c:pt idx="10">
                  <c:v>18.84</c:v>
                </c:pt>
                <c:pt idx="11">
                  <c:v>18.44</c:v>
                </c:pt>
                <c:pt idx="12">
                  <c:v>18</c:v>
                </c:pt>
                <c:pt idx="13">
                  <c:v>17.77</c:v>
                </c:pt>
                <c:pt idx="14">
                  <c:v>18.49</c:v>
                </c:pt>
                <c:pt idx="15">
                  <c:v>18.46</c:v>
                </c:pt>
                <c:pt idx="16">
                  <c:v>18.28</c:v>
                </c:pt>
                <c:pt idx="17">
                  <c:v>18.05</c:v>
                </c:pt>
                <c:pt idx="18">
                  <c:v>18.38</c:v>
                </c:pt>
                <c:pt idx="19">
                  <c:v>18.44</c:v>
                </c:pt>
                <c:pt idx="20">
                  <c:v>18.32</c:v>
                </c:pt>
                <c:pt idx="21">
                  <c:v>18.25</c:v>
                </c:pt>
                <c:pt idx="22">
                  <c:v>18.44</c:v>
                </c:pt>
                <c:pt idx="23">
                  <c:v>17.96</c:v>
                </c:pt>
                <c:pt idx="24">
                  <c:v>18.13</c:v>
                </c:pt>
                <c:pt idx="25">
                  <c:v>18.04</c:v>
                </c:pt>
                <c:pt idx="26">
                  <c:v>18.01</c:v>
                </c:pt>
                <c:pt idx="27">
                  <c:v>18.99</c:v>
                </c:pt>
                <c:pt idx="28">
                  <c:v>21.17</c:v>
                </c:pt>
                <c:pt idx="29">
                  <c:v>22.23</c:v>
                </c:pt>
                <c:pt idx="30">
                  <c:v>22.08</c:v>
                </c:pt>
                <c:pt idx="31">
                  <c:v>21.79</c:v>
                </c:pt>
                <c:pt idx="32">
                  <c:v>21.76</c:v>
                </c:pt>
                <c:pt idx="33">
                  <c:v>21.54</c:v>
                </c:pt>
                <c:pt idx="34">
                  <c:v>21.27</c:v>
                </c:pt>
                <c:pt idx="35">
                  <c:v>21.06</c:v>
                </c:pt>
                <c:pt idx="36">
                  <c:v>20.76</c:v>
                </c:pt>
                <c:pt idx="37">
                  <c:v>20.47</c:v>
                </c:pt>
                <c:pt idx="39">
                  <c:v>20.03</c:v>
                </c:pt>
                <c:pt idx="40">
                  <c:v>19.86</c:v>
                </c:pt>
                <c:pt idx="41">
                  <c:v>19.42</c:v>
                </c:pt>
                <c:pt idx="42">
                  <c:v>18.83</c:v>
                </c:pt>
                <c:pt idx="43">
                  <c:v>18.86</c:v>
                </c:pt>
                <c:pt idx="44">
                  <c:v>18.52</c:v>
                </c:pt>
                <c:pt idx="45">
                  <c:v>18.87</c:v>
                </c:pt>
                <c:pt idx="46">
                  <c:v>18.14</c:v>
                </c:pt>
                <c:pt idx="47">
                  <c:v>18.26</c:v>
                </c:pt>
                <c:pt idx="48">
                  <c:v>18.49</c:v>
                </c:pt>
                <c:pt idx="49" c:formatCode="0.00_ ">
                  <c:v>19.12</c:v>
                </c:pt>
                <c:pt idx="50" c:formatCode="0.00_ ">
                  <c:v>19.03</c:v>
                </c:pt>
              </c:numCache>
            </c:numRef>
          </c:val>
          <c:smooth val="0"/>
        </c:ser>
        <c:ser>
          <c:idx val="4"/>
          <c:order val="3"/>
          <c:tx>
            <c:strRef>
              <c:f>猪肉价季节性!$H$2</c:f>
              <c:strCache>
                <c:ptCount val="1"/>
                <c:pt idx="0">
                  <c:v>2024年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猪肉价季节性!$A$3:$A$53</c:f>
              <c:numCache>
                <c:formatCode>m"月"d"日";@</c:formatCode>
                <c:ptCount val="51"/>
                <c:pt idx="0" c:formatCode="m&quot;月&quot;d&quot;日&quot;;@">
                  <c:v>43466</c:v>
                </c:pt>
                <c:pt idx="1" c:formatCode="m&quot;月&quot;d&quot;日&quot;;@">
                  <c:v>43473</c:v>
                </c:pt>
                <c:pt idx="2" c:formatCode="m&quot;月&quot;d&quot;日&quot;;@">
                  <c:v>43480</c:v>
                </c:pt>
                <c:pt idx="3" c:formatCode="m&quot;月&quot;d&quot;日&quot;;@">
                  <c:v>43488</c:v>
                </c:pt>
                <c:pt idx="4" c:formatCode="m&quot;月&quot;d&quot;日&quot;;@">
                  <c:v>43494</c:v>
                </c:pt>
                <c:pt idx="5" c:formatCode="m&quot;月&quot;d&quot;日&quot;;@">
                  <c:v>43501</c:v>
                </c:pt>
                <c:pt idx="6" c:formatCode="m&quot;月&quot;d&quot;日&quot;;@">
                  <c:v>43508</c:v>
                </c:pt>
                <c:pt idx="7" c:formatCode="m&quot;月&quot;d&quot;日&quot;;@">
                  <c:v>43522</c:v>
                </c:pt>
                <c:pt idx="8" c:formatCode="m&quot;月&quot;d&quot;日&quot;;@">
                  <c:v>43529</c:v>
                </c:pt>
                <c:pt idx="9" c:formatCode="m&quot;月&quot;d&quot;日&quot;;@">
                  <c:v>43536</c:v>
                </c:pt>
                <c:pt idx="10" c:formatCode="m&quot;月&quot;d&quot;日&quot;;@">
                  <c:v>43543</c:v>
                </c:pt>
                <c:pt idx="11" c:formatCode="m&quot;月&quot;d&quot;日&quot;;@">
                  <c:v>43550</c:v>
                </c:pt>
                <c:pt idx="12" c:formatCode="m&quot;月&quot;d&quot;日&quot;;@">
                  <c:v>43557</c:v>
                </c:pt>
                <c:pt idx="13" c:formatCode="m&quot;月&quot;d&quot;日&quot;;@">
                  <c:v>43564</c:v>
                </c:pt>
                <c:pt idx="14" c:formatCode="m&quot;月&quot;d&quot;日&quot;;@">
                  <c:v>43571</c:v>
                </c:pt>
                <c:pt idx="15" c:formatCode="m&quot;月&quot;d&quot;日&quot;;@">
                  <c:v>43578</c:v>
                </c:pt>
                <c:pt idx="16" c:formatCode="m&quot;月&quot;d&quot;日&quot;;@">
                  <c:v>43585</c:v>
                </c:pt>
                <c:pt idx="17" c:formatCode="m&quot;月&quot;d&quot;日&quot;;@">
                  <c:v>43592</c:v>
                </c:pt>
                <c:pt idx="18" c:formatCode="m&quot;月&quot;d&quot;日&quot;;@">
                  <c:v>43599</c:v>
                </c:pt>
                <c:pt idx="19" c:formatCode="m&quot;月&quot;d&quot;日&quot;;@">
                  <c:v>43606</c:v>
                </c:pt>
                <c:pt idx="20" c:formatCode="m&quot;月&quot;d&quot;日&quot;;@">
                  <c:v>43613</c:v>
                </c:pt>
                <c:pt idx="21" c:formatCode="m&quot;月&quot;d&quot;日&quot;;@">
                  <c:v>43620</c:v>
                </c:pt>
                <c:pt idx="22" c:formatCode="m&quot;月&quot;d&quot;日&quot;;@">
                  <c:v>43627</c:v>
                </c:pt>
                <c:pt idx="23" c:formatCode="m&quot;月&quot;d&quot;日&quot;;@">
                  <c:v>43634</c:v>
                </c:pt>
                <c:pt idx="24" c:formatCode="m&quot;月&quot;d&quot;日&quot;;@">
                  <c:v>43641</c:v>
                </c:pt>
                <c:pt idx="25" c:formatCode="m&quot;月&quot;d&quot;日&quot;;@">
                  <c:v>43648</c:v>
                </c:pt>
                <c:pt idx="26" c:formatCode="m&quot;月&quot;d&quot;日&quot;;@">
                  <c:v>43655</c:v>
                </c:pt>
                <c:pt idx="27" c:formatCode="m&quot;月&quot;d&quot;日&quot;;@">
                  <c:v>43662</c:v>
                </c:pt>
                <c:pt idx="28" c:formatCode="m&quot;月&quot;d&quot;日&quot;;@">
                  <c:v>43669</c:v>
                </c:pt>
                <c:pt idx="29" c:formatCode="m&quot;月&quot;d&quot;日&quot;;@">
                  <c:v>43676</c:v>
                </c:pt>
                <c:pt idx="30" c:formatCode="m&quot;月&quot;d&quot;日&quot;;@">
                  <c:v>43683</c:v>
                </c:pt>
                <c:pt idx="31" c:formatCode="m&quot;月&quot;d&quot;日&quot;;@">
                  <c:v>43690</c:v>
                </c:pt>
                <c:pt idx="32" c:formatCode="m&quot;月&quot;d&quot;日&quot;;@">
                  <c:v>43697</c:v>
                </c:pt>
                <c:pt idx="33" c:formatCode="m&quot;月&quot;d&quot;日&quot;;@">
                  <c:v>43704</c:v>
                </c:pt>
                <c:pt idx="34" c:formatCode="m&quot;月&quot;d&quot;日&quot;;@">
                  <c:v>43711</c:v>
                </c:pt>
                <c:pt idx="35" c:formatCode="m&quot;月&quot;d&quot;日&quot;;@">
                  <c:v>43718</c:v>
                </c:pt>
                <c:pt idx="36" c:formatCode="m&quot;月&quot;d&quot;日&quot;;@">
                  <c:v>43725</c:v>
                </c:pt>
                <c:pt idx="37" c:formatCode="m&quot;月&quot;d&quot;日&quot;;@">
                  <c:v>43732</c:v>
                </c:pt>
                <c:pt idx="38" c:formatCode="m&quot;月&quot;d&quot;日&quot;;@">
                  <c:v>43740</c:v>
                </c:pt>
                <c:pt idx="39" c:formatCode="m&quot;月&quot;d&quot;日&quot;;@">
                  <c:v>43747</c:v>
                </c:pt>
                <c:pt idx="40" c:formatCode="m&quot;月&quot;d&quot;日&quot;;@">
                  <c:v>43754</c:v>
                </c:pt>
                <c:pt idx="41" c:formatCode="m&quot;月&quot;d&quot;日&quot;;@">
                  <c:v>43761</c:v>
                </c:pt>
                <c:pt idx="42" c:formatCode="m&quot;月&quot;d&quot;日&quot;;@">
                  <c:v>43768</c:v>
                </c:pt>
                <c:pt idx="43" c:formatCode="m&quot;月&quot;d&quot;日&quot;;@">
                  <c:v>43775</c:v>
                </c:pt>
                <c:pt idx="44" c:formatCode="m&quot;月&quot;d&quot;日&quot;;@">
                  <c:v>43782</c:v>
                </c:pt>
                <c:pt idx="45" c:formatCode="m&quot;月&quot;d&quot;日&quot;;@">
                  <c:v>43789</c:v>
                </c:pt>
                <c:pt idx="46" c:formatCode="m&quot;月&quot;d&quot;日&quot;;@">
                  <c:v>43796</c:v>
                </c:pt>
                <c:pt idx="47" c:formatCode="m&quot;月&quot;d&quot;日&quot;;@">
                  <c:v>43803</c:v>
                </c:pt>
                <c:pt idx="48" c:formatCode="m&quot;月&quot;d&quot;日&quot;;@">
                  <c:v>43810</c:v>
                </c:pt>
                <c:pt idx="49" c:formatCode="m&quot;月&quot;d&quot;日&quot;;@">
                  <c:v>43817</c:v>
                </c:pt>
                <c:pt idx="50" c:formatCode="m&quot;月&quot;d&quot;日&quot;;@">
                  <c:v>43824</c:v>
                </c:pt>
              </c:numCache>
            </c:numRef>
          </c:cat>
          <c:val>
            <c:numRef>
              <c:f>猪肉价季节性!$H$3:$H$53</c:f>
              <c:numCache>
                <c:formatCode>0.00_);[Red]\(0.00\)</c:formatCode>
                <c:ptCount val="51"/>
                <c:pt idx="0">
                  <c:v>18.58</c:v>
                </c:pt>
                <c:pt idx="1">
                  <c:v>18.2</c:v>
                </c:pt>
                <c:pt idx="2">
                  <c:v>18.19</c:v>
                </c:pt>
                <c:pt idx="3">
                  <c:v>18.97</c:v>
                </c:pt>
                <c:pt idx="4">
                  <c:v>20.93</c:v>
                </c:pt>
                <c:pt idx="6">
                  <c:v>18.67</c:v>
                </c:pt>
                <c:pt idx="7">
                  <c:v>18.25</c:v>
                </c:pt>
                <c:pt idx="8">
                  <c:v>18.4</c:v>
                </c:pt>
                <c:pt idx="9">
                  <c:v>18.61</c:v>
                </c:pt>
                <c:pt idx="10">
                  <c:v>19.05</c:v>
                </c:pt>
                <c:pt idx="11">
                  <c:v>19.62</c:v>
                </c:pt>
                <c:pt idx="12">
                  <c:v>19.64</c:v>
                </c:pt>
                <c:pt idx="13">
                  <c:v>19.56</c:v>
                </c:pt>
                <c:pt idx="14">
                  <c:v>19.46</c:v>
                </c:pt>
                <c:pt idx="15">
                  <c:v>19.35</c:v>
                </c:pt>
                <c:pt idx="16">
                  <c:v>19.29</c:v>
                </c:pt>
                <c:pt idx="17">
                  <c:v>19.39</c:v>
                </c:pt>
                <c:pt idx="18">
                  <c:v>19.61</c:v>
                </c:pt>
                <c:pt idx="19">
                  <c:v>20.67</c:v>
                </c:pt>
                <c:pt idx="20">
                  <c:v>22.44</c:v>
                </c:pt>
                <c:pt idx="21">
                  <c:v>23.65</c:v>
                </c:pt>
                <c:pt idx="22">
                  <c:v>24.31</c:v>
                </c:pt>
                <c:pt idx="23">
                  <c:v>23.82</c:v>
                </c:pt>
                <c:pt idx="24">
                  <c:v>22.85</c:v>
                </c:pt>
                <c:pt idx="25">
                  <c:v>23.21</c:v>
                </c:pt>
                <c:pt idx="26">
                  <c:v>23.92</c:v>
                </c:pt>
                <c:pt idx="27">
                  <c:v>24.48</c:v>
                </c:pt>
                <c:pt idx="28">
                  <c:v>24.74</c:v>
                </c:pt>
                <c:pt idx="29">
                  <c:v>25.09</c:v>
                </c:pt>
                <c:pt idx="30">
                  <c:v>25.87</c:v>
                </c:pt>
                <c:pt idx="31">
                  <c:v>27.05</c:v>
                </c:pt>
                <c:pt idx="32">
                  <c:v>26.74</c:v>
                </c:pt>
                <c:pt idx="33">
                  <c:v>25.56</c:v>
                </c:pt>
                <c:pt idx="34">
                  <c:v>25.37</c:v>
                </c:pt>
                <c:pt idx="35">
                  <c:v>25.34</c:v>
                </c:pt>
                <c:pt idx="36">
                  <c:v>24.82</c:v>
                </c:pt>
                <c:pt idx="37">
                  <c:v>23.95</c:v>
                </c:pt>
                <c:pt idx="39">
                  <c:v>23.24</c:v>
                </c:pt>
                <c:pt idx="40">
                  <c:v>22.97</c:v>
                </c:pt>
                <c:pt idx="41">
                  <c:v>22.47</c:v>
                </c:pt>
                <c:pt idx="42">
                  <c:v>22.46</c:v>
                </c:pt>
                <c:pt idx="43">
                  <c:v>22.16</c:v>
                </c:pt>
                <c:pt idx="44">
                  <c:v>21.65</c:v>
                </c:pt>
                <c:pt idx="45">
                  <c:v>21.28</c:v>
                </c:pt>
                <c:pt idx="46">
                  <c:v>21.56</c:v>
                </c:pt>
                <c:pt idx="47">
                  <c:v>21.26</c:v>
                </c:pt>
                <c:pt idx="48">
                  <c:v>20.8</c:v>
                </c:pt>
                <c:pt idx="49">
                  <c:v>20.96</c:v>
                </c:pt>
                <c:pt idx="50" c:formatCode="0.00_ ">
                  <c:v>20.73</c:v>
                </c:pt>
              </c:numCache>
            </c:numRef>
          </c:val>
          <c:smooth val="0"/>
        </c:ser>
        <c:ser>
          <c:idx val="5"/>
          <c:order val="4"/>
          <c:tx>
            <c:strRef>
              <c:f>猪肉价季节性!$I$2</c:f>
              <c:strCache>
                <c:ptCount val="1"/>
                <c:pt idx="0">
                  <c:v>2025年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猪肉价季节性!$A$3:$A$53</c:f>
              <c:numCache>
                <c:formatCode>m"月"d"日";@</c:formatCode>
                <c:ptCount val="51"/>
                <c:pt idx="0" c:formatCode="m&quot;月&quot;d&quot;日&quot;;@">
                  <c:v>43466</c:v>
                </c:pt>
                <c:pt idx="1" c:formatCode="m&quot;月&quot;d&quot;日&quot;;@">
                  <c:v>43473</c:v>
                </c:pt>
                <c:pt idx="2" c:formatCode="m&quot;月&quot;d&quot;日&quot;;@">
                  <c:v>43480</c:v>
                </c:pt>
                <c:pt idx="3" c:formatCode="m&quot;月&quot;d&quot;日&quot;;@">
                  <c:v>43488</c:v>
                </c:pt>
                <c:pt idx="4" c:formatCode="m&quot;月&quot;d&quot;日&quot;;@">
                  <c:v>43494</c:v>
                </c:pt>
                <c:pt idx="5" c:formatCode="m&quot;月&quot;d&quot;日&quot;;@">
                  <c:v>43501</c:v>
                </c:pt>
                <c:pt idx="6" c:formatCode="m&quot;月&quot;d&quot;日&quot;;@">
                  <c:v>43508</c:v>
                </c:pt>
                <c:pt idx="7" c:formatCode="m&quot;月&quot;d&quot;日&quot;;@">
                  <c:v>43522</c:v>
                </c:pt>
                <c:pt idx="8" c:formatCode="m&quot;月&quot;d&quot;日&quot;;@">
                  <c:v>43529</c:v>
                </c:pt>
                <c:pt idx="9" c:formatCode="m&quot;月&quot;d&quot;日&quot;;@">
                  <c:v>43536</c:v>
                </c:pt>
                <c:pt idx="10" c:formatCode="m&quot;月&quot;d&quot;日&quot;;@">
                  <c:v>43543</c:v>
                </c:pt>
                <c:pt idx="11" c:formatCode="m&quot;月&quot;d&quot;日&quot;;@">
                  <c:v>43550</c:v>
                </c:pt>
                <c:pt idx="12" c:formatCode="m&quot;月&quot;d&quot;日&quot;;@">
                  <c:v>43557</c:v>
                </c:pt>
                <c:pt idx="13" c:formatCode="m&quot;月&quot;d&quot;日&quot;;@">
                  <c:v>43564</c:v>
                </c:pt>
                <c:pt idx="14" c:formatCode="m&quot;月&quot;d&quot;日&quot;;@">
                  <c:v>43571</c:v>
                </c:pt>
                <c:pt idx="15" c:formatCode="m&quot;月&quot;d&quot;日&quot;;@">
                  <c:v>43578</c:v>
                </c:pt>
                <c:pt idx="16" c:formatCode="m&quot;月&quot;d&quot;日&quot;;@">
                  <c:v>43585</c:v>
                </c:pt>
                <c:pt idx="17" c:formatCode="m&quot;月&quot;d&quot;日&quot;;@">
                  <c:v>43592</c:v>
                </c:pt>
                <c:pt idx="18" c:formatCode="m&quot;月&quot;d&quot;日&quot;;@">
                  <c:v>43599</c:v>
                </c:pt>
                <c:pt idx="19" c:formatCode="m&quot;月&quot;d&quot;日&quot;;@">
                  <c:v>43606</c:v>
                </c:pt>
                <c:pt idx="20" c:formatCode="m&quot;月&quot;d&quot;日&quot;;@">
                  <c:v>43613</c:v>
                </c:pt>
                <c:pt idx="21" c:formatCode="m&quot;月&quot;d&quot;日&quot;;@">
                  <c:v>43620</c:v>
                </c:pt>
                <c:pt idx="22" c:formatCode="m&quot;月&quot;d&quot;日&quot;;@">
                  <c:v>43627</c:v>
                </c:pt>
                <c:pt idx="23" c:formatCode="m&quot;月&quot;d&quot;日&quot;;@">
                  <c:v>43634</c:v>
                </c:pt>
                <c:pt idx="24" c:formatCode="m&quot;月&quot;d&quot;日&quot;;@">
                  <c:v>43641</c:v>
                </c:pt>
                <c:pt idx="25" c:formatCode="m&quot;月&quot;d&quot;日&quot;;@">
                  <c:v>43648</c:v>
                </c:pt>
                <c:pt idx="26" c:formatCode="m&quot;月&quot;d&quot;日&quot;;@">
                  <c:v>43655</c:v>
                </c:pt>
                <c:pt idx="27" c:formatCode="m&quot;月&quot;d&quot;日&quot;;@">
                  <c:v>43662</c:v>
                </c:pt>
                <c:pt idx="28" c:formatCode="m&quot;月&quot;d&quot;日&quot;;@">
                  <c:v>43669</c:v>
                </c:pt>
                <c:pt idx="29" c:formatCode="m&quot;月&quot;d&quot;日&quot;;@">
                  <c:v>43676</c:v>
                </c:pt>
                <c:pt idx="30" c:formatCode="m&quot;月&quot;d&quot;日&quot;;@">
                  <c:v>43683</c:v>
                </c:pt>
                <c:pt idx="31" c:formatCode="m&quot;月&quot;d&quot;日&quot;;@">
                  <c:v>43690</c:v>
                </c:pt>
                <c:pt idx="32" c:formatCode="m&quot;月&quot;d&quot;日&quot;;@">
                  <c:v>43697</c:v>
                </c:pt>
                <c:pt idx="33" c:formatCode="m&quot;月&quot;d&quot;日&quot;;@">
                  <c:v>43704</c:v>
                </c:pt>
                <c:pt idx="34" c:formatCode="m&quot;月&quot;d&quot;日&quot;;@">
                  <c:v>43711</c:v>
                </c:pt>
                <c:pt idx="35" c:formatCode="m&quot;月&quot;d&quot;日&quot;;@">
                  <c:v>43718</c:v>
                </c:pt>
                <c:pt idx="36" c:formatCode="m&quot;月&quot;d&quot;日&quot;;@">
                  <c:v>43725</c:v>
                </c:pt>
                <c:pt idx="37" c:formatCode="m&quot;月&quot;d&quot;日&quot;;@">
                  <c:v>43732</c:v>
                </c:pt>
                <c:pt idx="38" c:formatCode="m&quot;月&quot;d&quot;日&quot;;@">
                  <c:v>43740</c:v>
                </c:pt>
                <c:pt idx="39" c:formatCode="m&quot;月&quot;d&quot;日&quot;;@">
                  <c:v>43747</c:v>
                </c:pt>
                <c:pt idx="40" c:formatCode="m&quot;月&quot;d&quot;日&quot;;@">
                  <c:v>43754</c:v>
                </c:pt>
                <c:pt idx="41" c:formatCode="m&quot;月&quot;d&quot;日&quot;;@">
                  <c:v>43761</c:v>
                </c:pt>
                <c:pt idx="42" c:formatCode="m&quot;月&quot;d&quot;日&quot;;@">
                  <c:v>43768</c:v>
                </c:pt>
                <c:pt idx="43" c:formatCode="m&quot;月&quot;d&quot;日&quot;;@">
                  <c:v>43775</c:v>
                </c:pt>
                <c:pt idx="44" c:formatCode="m&quot;月&quot;d&quot;日&quot;;@">
                  <c:v>43782</c:v>
                </c:pt>
                <c:pt idx="45" c:formatCode="m&quot;月&quot;d&quot;日&quot;;@">
                  <c:v>43789</c:v>
                </c:pt>
                <c:pt idx="46" c:formatCode="m&quot;月&quot;d&quot;日&quot;;@">
                  <c:v>43796</c:v>
                </c:pt>
                <c:pt idx="47" c:formatCode="m&quot;月&quot;d&quot;日&quot;;@">
                  <c:v>43803</c:v>
                </c:pt>
                <c:pt idx="48" c:formatCode="m&quot;月&quot;d&quot;日&quot;;@">
                  <c:v>43810</c:v>
                </c:pt>
                <c:pt idx="49" c:formatCode="m&quot;月&quot;d&quot;日&quot;;@">
                  <c:v>43817</c:v>
                </c:pt>
                <c:pt idx="50" c:formatCode="m&quot;月&quot;d&quot;日&quot;;@">
                  <c:v>43824</c:v>
                </c:pt>
              </c:numCache>
            </c:numRef>
          </c:cat>
          <c:val>
            <c:numRef>
              <c:f>猪肉价季节性!$I$3:$I$53</c:f>
              <c:numCache>
                <c:formatCode>0.00_);[Red]\(0.00\)</c:formatCode>
                <c:ptCount val="51"/>
                <c:pt idx="0">
                  <c:v>21.04</c:v>
                </c:pt>
                <c:pt idx="1">
                  <c:v>21.45</c:v>
                </c:pt>
                <c:pt idx="2">
                  <c:v>21.06</c:v>
                </c:pt>
                <c:pt idx="3">
                  <c:v>21.05</c:v>
                </c:pt>
                <c:pt idx="4">
                  <c:v>21.62</c:v>
                </c:pt>
                <c:pt idx="5">
                  <c:v>19.43</c:v>
                </c:pt>
                <c:pt idx="6">
                  <c:v>19.45</c:v>
                </c:pt>
                <c:pt idx="7">
                  <c:v>19.21</c:v>
                </c:pt>
                <c:pt idx="8">
                  <c:v>18.97</c:v>
                </c:pt>
                <c:pt idx="9">
                  <c:v>19.07</c:v>
                </c:pt>
                <c:pt idx="10">
                  <c:v>19.15</c:v>
                </c:pt>
                <c:pt idx="11">
                  <c:v>19.07</c:v>
                </c:pt>
                <c:pt idx="12">
                  <c:v>19.01</c:v>
                </c:pt>
                <c:pt idx="13">
                  <c:v>19</c:v>
                </c:pt>
                <c:pt idx="14">
                  <c:v>19.19</c:v>
                </c:pt>
                <c:pt idx="15">
                  <c:v>19.29</c:v>
                </c:pt>
                <c:pt idx="16">
                  <c:v>19.18</c:v>
                </c:pt>
                <c:pt idx="17">
                  <c:v>19.19</c:v>
                </c:pt>
                <c:pt idx="18">
                  <c:v>19.12</c:v>
                </c:pt>
                <c:pt idx="19">
                  <c:v>18.87</c:v>
                </c:pt>
                <c:pt idx="20">
                  <c:v>18.74</c:v>
                </c:pt>
                <c:pt idx="21">
                  <c:v>18.65</c:v>
                </c:pt>
                <c:pt idx="22">
                  <c:v>18.21</c:v>
                </c:pt>
                <c:pt idx="23">
                  <c:v>18.43</c:v>
                </c:pt>
                <c:pt idx="24">
                  <c:v>18.77</c:v>
                </c:pt>
                <c:pt idx="25">
                  <c:v>19.51</c:v>
                </c:pt>
                <c:pt idx="26">
                  <c:v>19.74</c:v>
                </c:pt>
                <c:pt idx="27">
                  <c:v>19.31</c:v>
                </c:pt>
                <c:pt idx="28">
                  <c:v>18.96</c:v>
                </c:pt>
                <c:pt idx="29">
                  <c:v>18.6</c:v>
                </c:pt>
                <c:pt idx="30">
                  <c:v>18.34</c:v>
                </c:pt>
                <c:pt idx="31">
                  <c:v>17.96</c:v>
                </c:pt>
                <c:pt idx="32">
                  <c:v>17.72</c:v>
                </c:pt>
                <c:pt idx="33">
                  <c:v>17.71</c:v>
                </c:pt>
                <c:pt idx="34">
                  <c:v>17.97</c:v>
                </c:pt>
                <c:pt idx="35">
                  <c:v>17.54</c:v>
                </c:pt>
                <c:pt idx="36">
                  <c:v>17.1</c:v>
                </c:pt>
                <c:pt idx="37">
                  <c:v>16.68</c:v>
                </c:pt>
                <c:pt idx="39">
                  <c:v>15.86</c:v>
                </c:pt>
                <c:pt idx="40">
                  <c:v>14.93</c:v>
                </c:pt>
                <c:pt idx="41">
                  <c:v>15.2</c:v>
                </c:pt>
                <c:pt idx="42">
                  <c:v>16.32</c:v>
                </c:pt>
                <c:pt idx="43">
                  <c:v>16.34</c:v>
                </c:pt>
                <c:pt idx="44">
                  <c:v>15.92</c:v>
                </c:pt>
                <c:pt idx="45">
                  <c:v>15.51</c:v>
                </c:pt>
                <c:pt idx="46">
                  <c:v>15.24</c:v>
                </c:pt>
                <c:pt idx="47">
                  <c:v>14.99</c:v>
                </c:pt>
                <c:pt idx="48">
                  <c:v>14.86</c:v>
                </c:pt>
                <c:pt idx="49">
                  <c:v>15.17</c:v>
                </c:pt>
                <c:pt idx="50">
                  <c:v>15.22</c:v>
                </c:pt>
              </c:numCache>
            </c:numRef>
          </c:val>
          <c:smooth val="0"/>
        </c:ser>
        <c:ser>
          <c:idx val="6"/>
          <c:order val="5"/>
          <c:tx>
            <c:strRef>
              <c:f>猪肉价季节性!$J$2</c:f>
              <c:strCache>
                <c:ptCount val="1"/>
                <c:pt idx="0">
                  <c:v>2026年</c:v>
                </c:pt>
              </c:strCache>
            </c:strRef>
          </c:tx>
          <c:spPr>
            <a:ln w="28575" cap="rnd">
              <a:solidFill>
                <a:srgbClr val="FF4D4E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猪肉价季节性!$A$3:$A$53</c:f>
              <c:numCache>
                <c:formatCode>m"月"d"日";@</c:formatCode>
                <c:ptCount val="51"/>
                <c:pt idx="0" c:formatCode="m&quot;月&quot;d&quot;日&quot;;@">
                  <c:v>43466</c:v>
                </c:pt>
                <c:pt idx="1" c:formatCode="m&quot;月&quot;d&quot;日&quot;;@">
                  <c:v>43473</c:v>
                </c:pt>
                <c:pt idx="2" c:formatCode="m&quot;月&quot;d&quot;日&quot;;@">
                  <c:v>43480</c:v>
                </c:pt>
                <c:pt idx="3" c:formatCode="m&quot;月&quot;d&quot;日&quot;;@">
                  <c:v>43488</c:v>
                </c:pt>
                <c:pt idx="4" c:formatCode="m&quot;月&quot;d&quot;日&quot;;@">
                  <c:v>43494</c:v>
                </c:pt>
                <c:pt idx="5" c:formatCode="m&quot;月&quot;d&quot;日&quot;;@">
                  <c:v>43501</c:v>
                </c:pt>
                <c:pt idx="6" c:formatCode="m&quot;月&quot;d&quot;日&quot;;@">
                  <c:v>43508</c:v>
                </c:pt>
                <c:pt idx="7" c:formatCode="m&quot;月&quot;d&quot;日&quot;;@">
                  <c:v>43522</c:v>
                </c:pt>
                <c:pt idx="8" c:formatCode="m&quot;月&quot;d&quot;日&quot;;@">
                  <c:v>43529</c:v>
                </c:pt>
                <c:pt idx="9" c:formatCode="m&quot;月&quot;d&quot;日&quot;;@">
                  <c:v>43536</c:v>
                </c:pt>
                <c:pt idx="10" c:formatCode="m&quot;月&quot;d&quot;日&quot;;@">
                  <c:v>43543</c:v>
                </c:pt>
                <c:pt idx="11" c:formatCode="m&quot;月&quot;d&quot;日&quot;;@">
                  <c:v>43550</c:v>
                </c:pt>
                <c:pt idx="12" c:formatCode="m&quot;月&quot;d&quot;日&quot;;@">
                  <c:v>43557</c:v>
                </c:pt>
                <c:pt idx="13" c:formatCode="m&quot;月&quot;d&quot;日&quot;;@">
                  <c:v>43564</c:v>
                </c:pt>
                <c:pt idx="14" c:formatCode="m&quot;月&quot;d&quot;日&quot;;@">
                  <c:v>43571</c:v>
                </c:pt>
                <c:pt idx="15" c:formatCode="m&quot;月&quot;d&quot;日&quot;;@">
                  <c:v>43578</c:v>
                </c:pt>
                <c:pt idx="16" c:formatCode="m&quot;月&quot;d&quot;日&quot;;@">
                  <c:v>43585</c:v>
                </c:pt>
                <c:pt idx="17" c:formatCode="m&quot;月&quot;d&quot;日&quot;;@">
                  <c:v>43592</c:v>
                </c:pt>
                <c:pt idx="18" c:formatCode="m&quot;月&quot;d&quot;日&quot;;@">
                  <c:v>43599</c:v>
                </c:pt>
                <c:pt idx="19" c:formatCode="m&quot;月&quot;d&quot;日&quot;;@">
                  <c:v>43606</c:v>
                </c:pt>
                <c:pt idx="20" c:formatCode="m&quot;月&quot;d&quot;日&quot;;@">
                  <c:v>43613</c:v>
                </c:pt>
                <c:pt idx="21" c:formatCode="m&quot;月&quot;d&quot;日&quot;;@">
                  <c:v>43620</c:v>
                </c:pt>
                <c:pt idx="22" c:formatCode="m&quot;月&quot;d&quot;日&quot;;@">
                  <c:v>43627</c:v>
                </c:pt>
                <c:pt idx="23" c:formatCode="m&quot;月&quot;d&quot;日&quot;;@">
                  <c:v>43634</c:v>
                </c:pt>
                <c:pt idx="24" c:formatCode="m&quot;月&quot;d&quot;日&quot;;@">
                  <c:v>43641</c:v>
                </c:pt>
                <c:pt idx="25" c:formatCode="m&quot;月&quot;d&quot;日&quot;;@">
                  <c:v>43648</c:v>
                </c:pt>
                <c:pt idx="26" c:formatCode="m&quot;月&quot;d&quot;日&quot;;@">
                  <c:v>43655</c:v>
                </c:pt>
                <c:pt idx="27" c:formatCode="m&quot;月&quot;d&quot;日&quot;;@">
                  <c:v>43662</c:v>
                </c:pt>
                <c:pt idx="28" c:formatCode="m&quot;月&quot;d&quot;日&quot;;@">
                  <c:v>43669</c:v>
                </c:pt>
                <c:pt idx="29" c:formatCode="m&quot;月&quot;d&quot;日&quot;;@">
                  <c:v>43676</c:v>
                </c:pt>
                <c:pt idx="30" c:formatCode="m&quot;月&quot;d&quot;日&quot;;@">
                  <c:v>43683</c:v>
                </c:pt>
                <c:pt idx="31" c:formatCode="m&quot;月&quot;d&quot;日&quot;;@">
                  <c:v>43690</c:v>
                </c:pt>
                <c:pt idx="32" c:formatCode="m&quot;月&quot;d&quot;日&quot;;@">
                  <c:v>43697</c:v>
                </c:pt>
                <c:pt idx="33" c:formatCode="m&quot;月&quot;d&quot;日&quot;;@">
                  <c:v>43704</c:v>
                </c:pt>
                <c:pt idx="34" c:formatCode="m&quot;月&quot;d&quot;日&quot;;@">
                  <c:v>43711</c:v>
                </c:pt>
                <c:pt idx="35" c:formatCode="m&quot;月&quot;d&quot;日&quot;;@">
                  <c:v>43718</c:v>
                </c:pt>
                <c:pt idx="36" c:formatCode="m&quot;月&quot;d&quot;日&quot;;@">
                  <c:v>43725</c:v>
                </c:pt>
                <c:pt idx="37" c:formatCode="m&quot;月&quot;d&quot;日&quot;;@">
                  <c:v>43732</c:v>
                </c:pt>
                <c:pt idx="38" c:formatCode="m&quot;月&quot;d&quot;日&quot;;@">
                  <c:v>43740</c:v>
                </c:pt>
                <c:pt idx="39" c:formatCode="m&quot;月&quot;d&quot;日&quot;;@">
                  <c:v>43747</c:v>
                </c:pt>
                <c:pt idx="40" c:formatCode="m&quot;月&quot;d&quot;日&quot;;@">
                  <c:v>43754</c:v>
                </c:pt>
                <c:pt idx="41" c:formatCode="m&quot;月&quot;d&quot;日&quot;;@">
                  <c:v>43761</c:v>
                </c:pt>
                <c:pt idx="42" c:formatCode="m&quot;月&quot;d&quot;日&quot;;@">
                  <c:v>43768</c:v>
                </c:pt>
                <c:pt idx="43" c:formatCode="m&quot;月&quot;d&quot;日&quot;;@">
                  <c:v>43775</c:v>
                </c:pt>
                <c:pt idx="44" c:formatCode="m&quot;月&quot;d&quot;日&quot;;@">
                  <c:v>43782</c:v>
                </c:pt>
                <c:pt idx="45" c:formatCode="m&quot;月&quot;d&quot;日&quot;;@">
                  <c:v>43789</c:v>
                </c:pt>
                <c:pt idx="46" c:formatCode="m&quot;月&quot;d&quot;日&quot;;@">
                  <c:v>43796</c:v>
                </c:pt>
                <c:pt idx="47" c:formatCode="m&quot;月&quot;d&quot;日&quot;;@">
                  <c:v>43803</c:v>
                </c:pt>
                <c:pt idx="48" c:formatCode="m&quot;月&quot;d&quot;日&quot;;@">
                  <c:v>43810</c:v>
                </c:pt>
                <c:pt idx="49" c:formatCode="m&quot;月&quot;d&quot;日&quot;;@">
                  <c:v>43817</c:v>
                </c:pt>
                <c:pt idx="50" c:formatCode="m&quot;月&quot;d&quot;日&quot;;@">
                  <c:v>43824</c:v>
                </c:pt>
              </c:numCache>
            </c:numRef>
          </c:cat>
          <c:val>
            <c:numRef>
              <c:f>猪肉价季节性!$J$3:$J$53</c:f>
              <c:numCache>
                <c:formatCode>0.00_);[Red]\(0.00\)</c:formatCode>
                <c:ptCount val="51"/>
                <c:pt idx="0">
                  <c:v>16.28</c:v>
                </c:pt>
                <c:pt idx="1">
                  <c:v>16.34</c:v>
                </c:pt>
                <c:pt idx="2">
                  <c:v>16.65</c:v>
                </c:pt>
                <c:pt idx="3">
                  <c:v>17.15</c:v>
                </c:pt>
                <c:pt idx="4">
                  <c:v>16.9</c:v>
                </c:pt>
                <c:pt idx="5">
                  <c:v>16.37</c:v>
                </c:pt>
                <c:pt idx="6">
                  <c:v>15.8</c:v>
                </c:pt>
                <c:pt idx="7">
                  <c:v>15.03</c:v>
                </c:pt>
                <c:pt idx="8">
                  <c:v>13.77</c:v>
                </c:pt>
                <c:pt idx="9">
                  <c:v>13.28</c:v>
                </c:pt>
                <c:pt idx="10">
                  <c:v>13.02</c:v>
                </c:pt>
                <c:pt idx="11">
                  <c:v>12.69</c:v>
                </c:pt>
                <c:pt idx="12">
                  <c:v>12.35</c:v>
                </c:pt>
                <c:pt idx="13">
                  <c:v>11.71</c:v>
                </c:pt>
                <c:pt idx="14">
                  <c:v>11.57</c:v>
                </c:pt>
                <c:pt idx="15">
                  <c:v>12.57</c:v>
                </c:pt>
                <c:pt idx="16">
                  <c:v>12.76</c:v>
                </c:pt>
                <c:pt idx="17">
                  <c:v>12.58</c:v>
                </c:pt>
                <c:pt idx="18">
                  <c:v>12.47</c:v>
                </c:pt>
                <c:pt idx="19">
                  <c:v>12.39</c:v>
                </c:pt>
                <c:pt idx="20">
                  <c:v>12.48</c:v>
                </c:pt>
                <c:pt idx="21">
                  <c:v>12.45</c:v>
                </c:pt>
                <c:pt idx="22">
                  <c:v>12.4</c:v>
                </c:pt>
                <c:pt idx="23">
                  <c:v>12.45</c:v>
                </c:pt>
                <c:pt idx="24">
                  <c:v>12.46</c:v>
                </c:pt>
                <c:pt idx="25">
                  <c:v>12.95</c:v>
                </c:pt>
                <c:pt idx="26">
                  <c:v>14.17</c:v>
                </c:pt>
                <c:pt idx="27">
                  <c:v>14.31</c:v>
                </c:pt>
                <c:pt idx="28">
                  <c:v>14.01</c:v>
                </c:pt>
                <c:pt idx="29">
                  <c:v>13.64</c:v>
                </c:pt>
                <c:pt idx="30">
                  <c:v>13.57</c:v>
                </c:pt>
                <c:pt idx="31">
                  <c:v>13.85</c:v>
                </c:pt>
                <c:pt idx="32">
                  <c:v>14.26</c:v>
                </c:pt>
                <c:pt idx="33">
                  <c:v>14.25</c:v>
                </c:pt>
                <c:pt idx="34">
                  <c:v>14.24</c:v>
                </c:pt>
                <c:pt idx="35">
                  <c:v>14.24</c:v>
                </c:pt>
                <c:pt idx="36">
                  <c:v>14.04</c:v>
                </c:pt>
                <c:pt idx="37">
                  <c:v>13.91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85408661"/>
        <c:axId val="652332708"/>
      </c:lineChart>
      <c:dateAx>
        <c:axId val="585408661"/>
        <c:scaling>
          <c:orientation val="minMax"/>
          <c:max val="43830"/>
          <c:min val="43466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652332708"/>
        <c:crosses val="autoZero"/>
        <c:auto val="1"/>
        <c:lblOffset val="100"/>
        <c:baseTimeUnit val="days"/>
        <c:majorUnit val="28"/>
        <c:majorTimeUnit val="days"/>
      </c:dateAx>
      <c:valAx>
        <c:axId val="652332708"/>
        <c:scaling>
          <c:orientation val="minMax"/>
          <c:max val="55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585408661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defRPr>
          </a:pPr>
        </a:p>
      </c:txPr>
    </c:legend>
    <c:plotVisOnly val="1"/>
    <c:dispBlanksAs val="span"/>
    <c:showDLblsOverMax val="0"/>
    <c:extLst>
      <c:ext uri="{0b15fc19-7d7d-44ad-8c2d-2c3a37ce22c3}">
        <chartProps xmlns="https://web.wps.cn/et/2018/main" chartId="{b17f67e3-a8dc-45c5-8b77-d945011d317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  <a:sym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r>
              <a:rPr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猪肉月度均价走势图</a:t>
            </a:r>
            <a:endParaRPr b="1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74913422911761"/>
          <c:y val="0.245344506517691"/>
          <c:w val="0.876077018977698"/>
          <c:h val="0.579934823091248"/>
        </c:manualLayout>
      </c:layout>
      <c:lineChart>
        <c:grouping val="standard"/>
        <c:varyColors val="0"/>
        <c:ser>
          <c:idx val="0"/>
          <c:order val="0"/>
          <c:tx>
            <c:strRef>
              <c:f>猪肉月均价!$E$2</c:f>
              <c:strCache>
                <c:ptCount val="1"/>
                <c:pt idx="0">
                  <c:v>2021年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猪肉月均价!$A$3:$A$14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猪肉月均价!$E$3:$E$14</c:f>
              <c:numCache>
                <c:formatCode>0.00_);[Red]\(0.00\)</c:formatCode>
                <c:ptCount val="12"/>
                <c:pt idx="0">
                  <c:v>44.9725</c:v>
                </c:pt>
                <c:pt idx="1">
                  <c:v>36.274</c:v>
                </c:pt>
                <c:pt idx="2">
                  <c:v>31.0275</c:v>
                </c:pt>
                <c:pt idx="3">
                  <c:v>28.6533333333333</c:v>
                </c:pt>
                <c:pt idx="4">
                  <c:v>23.364</c:v>
                </c:pt>
                <c:pt idx="5">
                  <c:v>19.1975</c:v>
                </c:pt>
                <c:pt idx="6">
                  <c:v>20.41</c:v>
                </c:pt>
                <c:pt idx="7">
                  <c:v>18.99</c:v>
                </c:pt>
                <c:pt idx="8">
                  <c:v>16.44</c:v>
                </c:pt>
                <c:pt idx="9">
                  <c:v>18.916</c:v>
                </c:pt>
                <c:pt idx="10">
                  <c:v>23.58</c:v>
                </c:pt>
                <c:pt idx="11">
                  <c:v>21.6425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猪肉月均价!$F$2</c:f>
              <c:strCache>
                <c:ptCount val="1"/>
                <c:pt idx="0">
                  <c:v>2022年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猪肉月均价!$A$3:$A$14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猪肉月均价!$F$3:$F$14</c:f>
              <c:numCache>
                <c:formatCode>0.00_);[Red]\(0.00\)</c:formatCode>
                <c:ptCount val="12"/>
                <c:pt idx="0">
                  <c:v>19.1775</c:v>
                </c:pt>
                <c:pt idx="1">
                  <c:v>16.1</c:v>
                </c:pt>
                <c:pt idx="2">
                  <c:v>16.305</c:v>
                </c:pt>
                <c:pt idx="3">
                  <c:v>18.1833333333333</c:v>
                </c:pt>
                <c:pt idx="4">
                  <c:v>20.358</c:v>
                </c:pt>
                <c:pt idx="5">
                  <c:v>22.355</c:v>
                </c:pt>
                <c:pt idx="6">
                  <c:v>29.045</c:v>
                </c:pt>
                <c:pt idx="7">
                  <c:v>27.655</c:v>
                </c:pt>
                <c:pt idx="8">
                  <c:v>30.482</c:v>
                </c:pt>
                <c:pt idx="9">
                  <c:v>34.416</c:v>
                </c:pt>
                <c:pt idx="10">
                  <c:v>30.2675</c:v>
                </c:pt>
                <c:pt idx="11">
                  <c:v>25.2975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猪肉月均价!$G$2</c:f>
              <c:strCache>
                <c:ptCount val="1"/>
                <c:pt idx="0">
                  <c:v>2023年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猪肉月均价!$A$3:$A$14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猪肉月均价!$G$3:$G$14</c:f>
              <c:numCache>
                <c:formatCode>0.00_);[Red]\(0.00\)</c:formatCode>
                <c:ptCount val="12"/>
                <c:pt idx="0">
                  <c:v>20.685</c:v>
                </c:pt>
                <c:pt idx="1">
                  <c:v>19.152</c:v>
                </c:pt>
                <c:pt idx="2">
                  <c:v>19.35</c:v>
                </c:pt>
                <c:pt idx="3">
                  <c:v>18.18</c:v>
                </c:pt>
                <c:pt idx="4">
                  <c:v>18.29</c:v>
                </c:pt>
                <c:pt idx="5">
                  <c:v>18.28</c:v>
                </c:pt>
                <c:pt idx="6">
                  <c:v>18.29</c:v>
                </c:pt>
                <c:pt idx="7">
                  <c:v>21.81</c:v>
                </c:pt>
                <c:pt idx="8">
                  <c:v>21.16</c:v>
                </c:pt>
                <c:pt idx="9">
                  <c:v>19.95</c:v>
                </c:pt>
                <c:pt idx="10">
                  <c:v>18.64</c:v>
                </c:pt>
                <c:pt idx="11">
                  <c:v>18.73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猪肉月均价!$H$2</c:f>
              <c:strCache>
                <c:ptCount val="1"/>
                <c:pt idx="0">
                  <c:v>2024年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猪肉月均价!$A$3:$A$14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猪肉月均价!$H$3:$H$14</c:f>
              <c:numCache>
                <c:formatCode>0.00_);[Red]\(0.00\)</c:formatCode>
                <c:ptCount val="12"/>
                <c:pt idx="0">
                  <c:v>18.49</c:v>
                </c:pt>
                <c:pt idx="1">
                  <c:v>19.28</c:v>
                </c:pt>
                <c:pt idx="2">
                  <c:v>18.92</c:v>
                </c:pt>
                <c:pt idx="3">
                  <c:v>19.5</c:v>
                </c:pt>
                <c:pt idx="4">
                  <c:v>19.74</c:v>
                </c:pt>
                <c:pt idx="5">
                  <c:v>23.66</c:v>
                </c:pt>
                <c:pt idx="6">
                  <c:v>24.09</c:v>
                </c:pt>
                <c:pt idx="7">
                  <c:v>26.06</c:v>
                </c:pt>
                <c:pt idx="8">
                  <c:v>24.87</c:v>
                </c:pt>
                <c:pt idx="9">
                  <c:v>22.79</c:v>
                </c:pt>
                <c:pt idx="10">
                  <c:v>21.66</c:v>
                </c:pt>
                <c:pt idx="11">
                  <c:v>20.94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猪肉月均价!$I$2</c:f>
              <c:strCache>
                <c:ptCount val="1"/>
                <c:pt idx="0">
                  <c:v>2025年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猪肉月均价!$A$3:$A$14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猪肉月均价!$I$3:$I$14</c:f>
              <c:numCache>
                <c:formatCode>0.00_);[Red]\(0.00\)</c:formatCode>
                <c:ptCount val="12"/>
                <c:pt idx="0">
                  <c:v>21.15</c:v>
                </c:pt>
                <c:pt idx="1">
                  <c:v>19.93</c:v>
                </c:pt>
                <c:pt idx="2">
                  <c:v>19.07</c:v>
                </c:pt>
                <c:pt idx="3">
                  <c:v>19.12</c:v>
                </c:pt>
                <c:pt idx="4">
                  <c:v>18.98</c:v>
                </c:pt>
                <c:pt idx="5">
                  <c:v>18.52</c:v>
                </c:pt>
                <c:pt idx="6">
                  <c:v>19.23</c:v>
                </c:pt>
                <c:pt idx="7">
                  <c:v>17.93</c:v>
                </c:pt>
                <c:pt idx="8">
                  <c:v>17.32</c:v>
                </c:pt>
                <c:pt idx="9">
                  <c:v>15.58</c:v>
                </c:pt>
                <c:pt idx="10">
                  <c:v>15.75</c:v>
                </c:pt>
                <c:pt idx="11">
                  <c:v>15.06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猪肉月均价!$J$2</c:f>
              <c:strCache>
                <c:ptCount val="1"/>
                <c:pt idx="0">
                  <c:v>2026年</c:v>
                </c:pt>
              </c:strCache>
            </c:strRef>
          </c:tx>
          <c:spPr>
            <a:ln w="28575" cap="rnd">
              <a:solidFill>
                <a:srgbClr val="FF4D4E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猪肉月均价!$A$3:$A$14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猪肉月均价!$J$3:$J$14</c:f>
              <c:numCache>
                <c:formatCode>0.00_);[Red]\(0.00\)</c:formatCode>
                <c:ptCount val="12"/>
                <c:pt idx="0">
                  <c:v>16.66</c:v>
                </c:pt>
                <c:pt idx="1">
                  <c:v>15.73</c:v>
                </c:pt>
                <c:pt idx="2">
                  <c:v>13.19</c:v>
                </c:pt>
                <c:pt idx="3">
                  <c:v>12.19</c:v>
                </c:pt>
                <c:pt idx="4">
                  <c:v>12.48</c:v>
                </c:pt>
                <c:pt idx="5">
                  <c:v>12.44</c:v>
                </c:pt>
                <c:pt idx="6">
                  <c:v>13.82</c:v>
                </c:pt>
                <c:pt idx="7">
                  <c:v>13.98</c:v>
                </c:pt>
                <c:pt idx="8">
                  <c:v>14.11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46774695"/>
        <c:axId val="533833257"/>
      </c:lineChart>
      <c:catAx>
        <c:axId val="54677469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ysClr val="windowText" lastClr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  <a:sym typeface="宋体" panose="02010600030101010101" pitchFamily="7" charset="-122"/>
                  </a:defRPr>
                </a:pPr>
                <a:r>
                  <a:rPr altLang="en-US" b="1">
                    <a:solidFill>
                      <a:sysClr val="windowText" lastClr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  <a:sym typeface="宋体" panose="02010600030101010101" pitchFamily="7" charset="-122"/>
                  </a:rPr>
                  <a:t>元</a:t>
                </a:r>
                <a:r>
                  <a:rPr lang="en-US" altLang="zh-CN" sz="1200" b="1">
                    <a:solidFill>
                      <a:sysClr val="windowText" lastClr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  <a:sym typeface="宋体" panose="02010600030101010101" pitchFamily="7" charset="-122"/>
                  </a:rPr>
                  <a:t>/kg</a:t>
                </a:r>
                <a:endParaRPr lang="en-US" altLang="zh-CN" sz="1200" b="1">
                  <a:solidFill>
                    <a:sysClr val="windowText" lastClr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416666666666667"/>
              <c:y val="0.125659528243327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533833257"/>
        <c:crosses val="autoZero"/>
        <c:auto val="1"/>
        <c:lblAlgn val="ctr"/>
        <c:lblOffset val="100"/>
        <c:noMultiLvlLbl val="0"/>
      </c:catAx>
      <c:valAx>
        <c:axId val="533833257"/>
        <c:scaling>
          <c:orientation val="minMax"/>
          <c:max val="5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546774695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118298933370273"/>
          <c:y val="0.180400372439479"/>
          <c:w val="0.731541764787367"/>
          <c:h val="0.077979515828677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7b649c-c7cf-440f-8ef1-b86b31d87ac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  <a:sym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r>
              <a:rPr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冻品库存率（多样本）</a:t>
            </a:r>
            <a:endParaRPr b="1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6286348949919"/>
          <c:y val="0.172916666666667"/>
          <c:w val="0.855241428827859"/>
          <c:h val="0.59268518518518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冻品库存多样本!$A$3:$A$1511</c:f>
              <c:numCache>
                <c:formatCode>yyyy/m/d;@</c:formatCode>
                <c:ptCount val="1509"/>
                <c:pt idx="0" c:formatCode="yyyy/m/d;@">
                  <c:v>41501</c:v>
                </c:pt>
                <c:pt idx="1" c:formatCode="yyyy/m/d;@">
                  <c:v>41517</c:v>
                </c:pt>
                <c:pt idx="2" c:formatCode="yyyy/m/d;@">
                  <c:v>41532</c:v>
                </c:pt>
                <c:pt idx="3" c:formatCode="yyyy/m/d;@">
                  <c:v>41547</c:v>
                </c:pt>
                <c:pt idx="4" c:formatCode="yyyy/m/d;@">
                  <c:v>41562</c:v>
                </c:pt>
                <c:pt idx="5" c:formatCode="yyyy/m/d;@">
                  <c:v>41578</c:v>
                </c:pt>
                <c:pt idx="6" c:formatCode="yyyy/m/d;@">
                  <c:v>41593</c:v>
                </c:pt>
                <c:pt idx="7" c:formatCode="yyyy/m/d;@">
                  <c:v>41608</c:v>
                </c:pt>
                <c:pt idx="8" c:formatCode="yyyy/m/d;@">
                  <c:v>41623</c:v>
                </c:pt>
                <c:pt idx="9" c:formatCode="yyyy/m/d;@">
                  <c:v>41639</c:v>
                </c:pt>
                <c:pt idx="10" c:formatCode="yyyy/m/d;@">
                  <c:v>41654</c:v>
                </c:pt>
                <c:pt idx="11" c:formatCode="yyyy/m/d;@">
                  <c:v>41669</c:v>
                </c:pt>
                <c:pt idx="12" c:formatCode="yyyy/m/d;@">
                  <c:v>41685</c:v>
                </c:pt>
                <c:pt idx="13" c:formatCode="yyyy/m/d;@">
                  <c:v>41698</c:v>
                </c:pt>
                <c:pt idx="14" c:formatCode="yyyy/m/d;@">
                  <c:v>41713</c:v>
                </c:pt>
                <c:pt idx="15" c:formatCode="yyyy/m/d;@">
                  <c:v>41729</c:v>
                </c:pt>
                <c:pt idx="16" c:formatCode="yyyy/m/d;@">
                  <c:v>41744</c:v>
                </c:pt>
                <c:pt idx="17" c:formatCode="yyyy/m/d;@">
                  <c:v>41759</c:v>
                </c:pt>
                <c:pt idx="18" c:formatCode="yyyy/m/d;@">
                  <c:v>41774</c:v>
                </c:pt>
                <c:pt idx="19" c:formatCode="yyyy/m/d;@">
                  <c:v>41789</c:v>
                </c:pt>
                <c:pt idx="20" c:formatCode="yyyy/m/d;@">
                  <c:v>41805</c:v>
                </c:pt>
                <c:pt idx="21" c:formatCode="yyyy/m/d;@">
                  <c:v>41820</c:v>
                </c:pt>
                <c:pt idx="22" c:formatCode="yyyy/m/d;@">
                  <c:v>41835</c:v>
                </c:pt>
                <c:pt idx="23" c:formatCode="yyyy/m/d;@">
                  <c:v>41851</c:v>
                </c:pt>
                <c:pt idx="24" c:formatCode="yyyy/m/d;@">
                  <c:v>41866</c:v>
                </c:pt>
                <c:pt idx="25" c:formatCode="yyyy/m/d;@">
                  <c:v>41882</c:v>
                </c:pt>
                <c:pt idx="26" c:formatCode="yyyy/m/d;@">
                  <c:v>41897</c:v>
                </c:pt>
                <c:pt idx="27" c:formatCode="yyyy/m/d;@">
                  <c:v>41912</c:v>
                </c:pt>
                <c:pt idx="28" c:formatCode="yyyy/m/d;@">
                  <c:v>41927</c:v>
                </c:pt>
                <c:pt idx="29" c:formatCode="yyyy/m/d;@">
                  <c:v>41942</c:v>
                </c:pt>
                <c:pt idx="30" c:formatCode="yyyy/m/d;@">
                  <c:v>41958</c:v>
                </c:pt>
                <c:pt idx="31" c:formatCode="yyyy/m/d;@">
                  <c:v>41973</c:v>
                </c:pt>
                <c:pt idx="32" c:formatCode="yyyy/m/d;@">
                  <c:v>41988</c:v>
                </c:pt>
                <c:pt idx="33" c:formatCode="yyyy/m/d;@">
                  <c:v>42368</c:v>
                </c:pt>
                <c:pt idx="34" c:formatCode="yyyy/m/d;@">
                  <c:v>42019</c:v>
                </c:pt>
                <c:pt idx="35" c:formatCode="yyyy/m/d;@">
                  <c:v>42063</c:v>
                </c:pt>
                <c:pt idx="36" c:formatCode="yyyy/m/d;@">
                  <c:v>42078</c:v>
                </c:pt>
                <c:pt idx="37" c:formatCode="yyyy/m/d;@">
                  <c:v>42094</c:v>
                </c:pt>
                <c:pt idx="38" c:formatCode="yyyy/m/d;@">
                  <c:v>42109</c:v>
                </c:pt>
                <c:pt idx="39" c:formatCode="yyyy/m/d;@">
                  <c:v>42124</c:v>
                </c:pt>
                <c:pt idx="40" c:formatCode="yyyy/m/d;@">
                  <c:v>42139</c:v>
                </c:pt>
                <c:pt idx="41" c:formatCode="yyyy/m/d;@">
                  <c:v>42154</c:v>
                </c:pt>
                <c:pt idx="42" c:formatCode="yyyy/m/d;@">
                  <c:v>42170</c:v>
                </c:pt>
                <c:pt idx="43" c:formatCode="yyyy/m/d;@">
                  <c:v>42185</c:v>
                </c:pt>
                <c:pt idx="44" c:formatCode="yyyy/m/d;@">
                  <c:v>42200</c:v>
                </c:pt>
                <c:pt idx="45" c:formatCode="yyyy/m/d;@">
                  <c:v>42215</c:v>
                </c:pt>
                <c:pt idx="46" c:formatCode="yyyy/m/d;@">
                  <c:v>42231</c:v>
                </c:pt>
                <c:pt idx="47" c:formatCode="yyyy/m/d;@">
                  <c:v>42247</c:v>
                </c:pt>
                <c:pt idx="48" c:formatCode="yyyy/m/d;@">
                  <c:v>42277</c:v>
                </c:pt>
                <c:pt idx="49" c:formatCode="yyyy/m/d;@">
                  <c:v>42307</c:v>
                </c:pt>
                <c:pt idx="50" c:formatCode="yyyy/m/d;@">
                  <c:v>42338</c:v>
                </c:pt>
                <c:pt idx="51" c:formatCode="yyyy/m/d;@">
                  <c:v>42369</c:v>
                </c:pt>
                <c:pt idx="52" c:formatCode="yyyy/m/d;@">
                  <c:v>42400</c:v>
                </c:pt>
                <c:pt idx="53" c:formatCode="yyyy/m/d;@">
                  <c:v>42429</c:v>
                </c:pt>
                <c:pt idx="54" c:formatCode="yyyy/m/d;@">
                  <c:v>42444</c:v>
                </c:pt>
                <c:pt idx="55" c:formatCode="yyyy/m/d;@">
                  <c:v>42460</c:v>
                </c:pt>
                <c:pt idx="56" c:formatCode="yyyy/m/d;@">
                  <c:v>42475</c:v>
                </c:pt>
                <c:pt idx="57" c:formatCode="yyyy/m/d;@">
                  <c:v>42490</c:v>
                </c:pt>
                <c:pt idx="58" c:formatCode="yyyy/m/d;@">
                  <c:v>42505</c:v>
                </c:pt>
                <c:pt idx="59" c:formatCode="yyyy/m/d;@">
                  <c:v>42521</c:v>
                </c:pt>
                <c:pt idx="60" c:formatCode="yyyy/m/d;@">
                  <c:v>42536</c:v>
                </c:pt>
                <c:pt idx="61" c:formatCode="yyyy/m/d;@">
                  <c:v>42551</c:v>
                </c:pt>
                <c:pt idx="62" c:formatCode="yyyy/m/d;@">
                  <c:v>42566</c:v>
                </c:pt>
                <c:pt idx="63" c:formatCode="yyyy/m/d;@">
                  <c:v>42582</c:v>
                </c:pt>
                <c:pt idx="64" c:formatCode="yyyy/m/d;@">
                  <c:v>42597</c:v>
                </c:pt>
                <c:pt idx="65" c:formatCode="yyyy/m/d;@">
                  <c:v>42613</c:v>
                </c:pt>
                <c:pt idx="66" c:formatCode="yyyy/m/d;@">
                  <c:v>42628</c:v>
                </c:pt>
                <c:pt idx="67" c:formatCode="yyyy/m/d;@">
                  <c:v>42643</c:v>
                </c:pt>
                <c:pt idx="68" c:formatCode="yyyy/m/d;@">
                  <c:v>42658</c:v>
                </c:pt>
                <c:pt idx="69" c:formatCode="yyyy/m/d;@">
                  <c:v>42674</c:v>
                </c:pt>
                <c:pt idx="70" c:formatCode="yyyy/m/d;@">
                  <c:v>42689</c:v>
                </c:pt>
                <c:pt idx="71" c:formatCode="yyyy/m/d;@">
                  <c:v>42704</c:v>
                </c:pt>
                <c:pt idx="72" c:formatCode="yyyy/m/d;@">
                  <c:v>42719</c:v>
                </c:pt>
                <c:pt idx="73" c:formatCode="yyyy/m/d;@">
                  <c:v>42734</c:v>
                </c:pt>
                <c:pt idx="74" c:formatCode="yyyy/m/d;@">
                  <c:v>42750</c:v>
                </c:pt>
                <c:pt idx="75" c:formatCode="yyyy/m/d;@">
                  <c:v>42758</c:v>
                </c:pt>
                <c:pt idx="76" c:formatCode="yyyy/m/d;@">
                  <c:v>42781</c:v>
                </c:pt>
                <c:pt idx="77" c:formatCode="yyyy/m/d;@">
                  <c:v>42794</c:v>
                </c:pt>
                <c:pt idx="78" c:formatCode="yyyy/m/d;@">
                  <c:v>42809</c:v>
                </c:pt>
                <c:pt idx="79" c:formatCode="yyyy/m/d;@">
                  <c:v>42825</c:v>
                </c:pt>
                <c:pt idx="80" c:formatCode="yyyy/m/d;@">
                  <c:v>42840</c:v>
                </c:pt>
                <c:pt idx="81" c:formatCode="yyyy/m/d;@">
                  <c:v>42853</c:v>
                </c:pt>
                <c:pt idx="82" c:formatCode="yyyy/m/d;@">
                  <c:v>42870</c:v>
                </c:pt>
                <c:pt idx="83" c:formatCode="yyyy/m/d;@">
                  <c:v>42886</c:v>
                </c:pt>
                <c:pt idx="84" c:formatCode="yyyy/m/d;@">
                  <c:v>42901</c:v>
                </c:pt>
                <c:pt idx="85" c:formatCode="yyyy/m/d;@">
                  <c:v>42916</c:v>
                </c:pt>
                <c:pt idx="86" c:formatCode="yyyy/m/d;@">
                  <c:v>42931</c:v>
                </c:pt>
                <c:pt idx="87" c:formatCode="yyyy/m/d;@">
                  <c:v>42946</c:v>
                </c:pt>
                <c:pt idx="88" c:formatCode="yyyy/m/d;@">
                  <c:v>42962</c:v>
                </c:pt>
                <c:pt idx="89" c:formatCode="yyyy/m/d;@">
                  <c:v>42978</c:v>
                </c:pt>
                <c:pt idx="90" c:formatCode="yyyy/m/d;@">
                  <c:v>42993</c:v>
                </c:pt>
                <c:pt idx="91" c:formatCode="yyyy/m/d;@">
                  <c:v>43008</c:v>
                </c:pt>
                <c:pt idx="92" c:formatCode="yyyy/m/d;@">
                  <c:v>43023</c:v>
                </c:pt>
                <c:pt idx="93" c:formatCode="yyyy/m/d;@">
                  <c:v>43039</c:v>
                </c:pt>
                <c:pt idx="94" c:formatCode="yyyy/m/d;@">
                  <c:v>43054</c:v>
                </c:pt>
                <c:pt idx="95" c:formatCode="yyyy/m/d;@">
                  <c:v>43069</c:v>
                </c:pt>
                <c:pt idx="96" c:formatCode="yyyy/m/d;@">
                  <c:v>43084</c:v>
                </c:pt>
                <c:pt idx="97" c:formatCode="yyyy/m/d;@">
                  <c:v>43099</c:v>
                </c:pt>
                <c:pt idx="98" c:formatCode="yyyy/m/d;@">
                  <c:v>43115</c:v>
                </c:pt>
                <c:pt idx="99" c:formatCode="yyyy/m/d;@">
                  <c:v>43131</c:v>
                </c:pt>
                <c:pt idx="100" c:formatCode="yyyy/m/d;@">
                  <c:v>43146</c:v>
                </c:pt>
                <c:pt idx="101" c:formatCode="yyyy/m/d;@">
                  <c:v>43159</c:v>
                </c:pt>
                <c:pt idx="102" c:formatCode="yyyy/m/d;@">
                  <c:v>43174</c:v>
                </c:pt>
                <c:pt idx="103" c:formatCode="yyyy/m/d;@">
                  <c:v>43189</c:v>
                </c:pt>
                <c:pt idx="104" c:formatCode="yyyy/m/d;@">
                  <c:v>43205</c:v>
                </c:pt>
                <c:pt idx="105" c:formatCode="yyyy/m/d;@">
                  <c:v>43220</c:v>
                </c:pt>
                <c:pt idx="106" c:formatCode="yyyy/m/d;@">
                  <c:v>43235</c:v>
                </c:pt>
                <c:pt idx="107" c:formatCode="yyyy/m/d;@">
                  <c:v>43250</c:v>
                </c:pt>
                <c:pt idx="108" c:formatCode="yyyy/m/d;@">
                  <c:v>43266</c:v>
                </c:pt>
                <c:pt idx="109" c:formatCode="yyyy/m/d;@">
                  <c:v>43281</c:v>
                </c:pt>
                <c:pt idx="110" c:formatCode="yyyy/m/d;@">
                  <c:v>43296</c:v>
                </c:pt>
                <c:pt idx="111" c:formatCode="yyyy/m/d;@">
                  <c:v>43311</c:v>
                </c:pt>
                <c:pt idx="112" c:formatCode="yyyy/m/d;@">
                  <c:v>43327</c:v>
                </c:pt>
                <c:pt idx="113" c:formatCode="yyyy/m/d;@">
                  <c:v>43342</c:v>
                </c:pt>
                <c:pt idx="114" c:formatCode="yyyy/m/d;@">
                  <c:v>43358</c:v>
                </c:pt>
                <c:pt idx="115" c:formatCode="yyyy/m/d;@">
                  <c:v>43373</c:v>
                </c:pt>
                <c:pt idx="116" c:formatCode="yyyy/m/d;@">
                  <c:v>43388</c:v>
                </c:pt>
                <c:pt idx="117" c:formatCode="yyyy/m/d;@">
                  <c:v>43403</c:v>
                </c:pt>
                <c:pt idx="118" c:formatCode="yyyy/m/d;@">
                  <c:v>43419</c:v>
                </c:pt>
                <c:pt idx="119" c:formatCode="yyyy/m/d;@">
                  <c:v>43434</c:v>
                </c:pt>
                <c:pt idx="120" c:formatCode="yyyy/m/d;@">
                  <c:v>43449</c:v>
                </c:pt>
                <c:pt idx="121" c:formatCode="yyyy/m/d;@">
                  <c:v>43464</c:v>
                </c:pt>
                <c:pt idx="122" c:formatCode="yyyy/m/d;@">
                  <c:v>43480</c:v>
                </c:pt>
                <c:pt idx="123" c:formatCode="yyyy/m/d;@">
                  <c:v>43496</c:v>
                </c:pt>
                <c:pt idx="124" c:formatCode="yyyy/m/d;@">
                  <c:v>43510</c:v>
                </c:pt>
                <c:pt idx="125" c:formatCode="yyyy/m/d;@">
                  <c:v>43524</c:v>
                </c:pt>
                <c:pt idx="126" c:formatCode="yyyy/m/d;@">
                  <c:v>43531</c:v>
                </c:pt>
                <c:pt idx="127" c:formatCode="yyyy/m/d;@">
                  <c:v>43538</c:v>
                </c:pt>
                <c:pt idx="128" c:formatCode="yyyy/m/d;@">
                  <c:v>43545</c:v>
                </c:pt>
                <c:pt idx="129" c:formatCode="yyyy/m/d;@">
                  <c:v>43552</c:v>
                </c:pt>
                <c:pt idx="130" c:formatCode="yyyy/m/d;@">
                  <c:v>43559</c:v>
                </c:pt>
                <c:pt idx="131" c:formatCode="yyyy/m/d;@">
                  <c:v>43566</c:v>
                </c:pt>
                <c:pt idx="132" c:formatCode="yyyy/m/d;@">
                  <c:v>43573</c:v>
                </c:pt>
                <c:pt idx="133" c:formatCode="yyyy/m/d;@">
                  <c:v>43580</c:v>
                </c:pt>
                <c:pt idx="134" c:formatCode="yyyy/m/d;@">
                  <c:v>43594</c:v>
                </c:pt>
                <c:pt idx="135" c:formatCode="yyyy/m/d;@">
                  <c:v>43601</c:v>
                </c:pt>
                <c:pt idx="136" c:formatCode="yyyy/m/d;@">
                  <c:v>43608</c:v>
                </c:pt>
                <c:pt idx="137" c:formatCode="yyyy/m/d;@">
                  <c:v>43615</c:v>
                </c:pt>
                <c:pt idx="138" c:formatCode="yyyy/m/d;@">
                  <c:v>43622</c:v>
                </c:pt>
                <c:pt idx="139" c:formatCode="yyyy/m/d;@">
                  <c:v>43629</c:v>
                </c:pt>
                <c:pt idx="140" c:formatCode="yyyy/m/d;@">
                  <c:v>43636</c:v>
                </c:pt>
                <c:pt idx="141" c:formatCode="yyyy/m/d;@">
                  <c:v>43643</c:v>
                </c:pt>
                <c:pt idx="142" c:formatCode="yyyy/m/d;@">
                  <c:v>43650</c:v>
                </c:pt>
                <c:pt idx="143" c:formatCode="yyyy/m/d;@">
                  <c:v>43657</c:v>
                </c:pt>
                <c:pt idx="144" c:formatCode="yyyy/m/d;@">
                  <c:v>43664</c:v>
                </c:pt>
                <c:pt idx="145" c:formatCode="yyyy/m/d;@">
                  <c:v>43671</c:v>
                </c:pt>
                <c:pt idx="146" c:formatCode="yyyy/m/d;@">
                  <c:v>43678</c:v>
                </c:pt>
                <c:pt idx="147" c:formatCode="yyyy/m/d;@">
                  <c:v>43685</c:v>
                </c:pt>
                <c:pt idx="148" c:formatCode="yyyy/m/d;@">
                  <c:v>43692</c:v>
                </c:pt>
                <c:pt idx="149" c:formatCode="yyyy/m/d;@">
                  <c:v>43699</c:v>
                </c:pt>
                <c:pt idx="150" c:formatCode="yyyy/m/d;@">
                  <c:v>43706</c:v>
                </c:pt>
                <c:pt idx="151" c:formatCode="yyyy/m/d;@">
                  <c:v>43714</c:v>
                </c:pt>
                <c:pt idx="152" c:formatCode="yyyy/m/d;@">
                  <c:v>43720</c:v>
                </c:pt>
                <c:pt idx="153" c:formatCode="yyyy/m/d;@">
                  <c:v>43727</c:v>
                </c:pt>
                <c:pt idx="154" c:formatCode="yyyy/m/d;@">
                  <c:v>43734</c:v>
                </c:pt>
                <c:pt idx="155" c:formatCode="yyyy/m/d;@">
                  <c:v>43748</c:v>
                </c:pt>
                <c:pt idx="156" c:formatCode="yyyy/m/d;@">
                  <c:v>43755</c:v>
                </c:pt>
                <c:pt idx="157" c:formatCode="yyyy/m/d;@">
                  <c:v>43762</c:v>
                </c:pt>
                <c:pt idx="158" c:formatCode="yyyy/m/d;@">
                  <c:v>43769</c:v>
                </c:pt>
                <c:pt idx="159" c:formatCode="yyyy/m/d;@">
                  <c:v>43776</c:v>
                </c:pt>
                <c:pt idx="160" c:formatCode="yyyy/m/d;@">
                  <c:v>43783</c:v>
                </c:pt>
                <c:pt idx="161" c:formatCode="yyyy/m/d;@">
                  <c:v>43790</c:v>
                </c:pt>
                <c:pt idx="162" c:formatCode="yyyy/m/d;@">
                  <c:v>43797</c:v>
                </c:pt>
                <c:pt idx="163" c:formatCode="yyyy/m/d;@">
                  <c:v>43804</c:v>
                </c:pt>
                <c:pt idx="164" c:formatCode="yyyy/m/d;@">
                  <c:v>43811</c:v>
                </c:pt>
                <c:pt idx="165" c:formatCode="yyyy/m/d;@">
                  <c:v>43818</c:v>
                </c:pt>
                <c:pt idx="166" c:formatCode="yyyy/m/d;@">
                  <c:v>43825</c:v>
                </c:pt>
                <c:pt idx="167" c:formatCode="yyyy/m/d;@">
                  <c:v>43832</c:v>
                </c:pt>
                <c:pt idx="168" c:formatCode="yyyy/m/d;@">
                  <c:v>43839</c:v>
                </c:pt>
                <c:pt idx="169" c:formatCode="yyyy/m/d;@">
                  <c:v>43846</c:v>
                </c:pt>
                <c:pt idx="170" c:formatCode="yyyy/m/d;@">
                  <c:v>43867</c:v>
                </c:pt>
                <c:pt idx="171" c:formatCode="yyyy/m/d;@">
                  <c:v>43874</c:v>
                </c:pt>
                <c:pt idx="172" c:formatCode="yyyy/m/d;@">
                  <c:v>43881</c:v>
                </c:pt>
                <c:pt idx="173" c:formatCode="yyyy/m/d;@">
                  <c:v>43888</c:v>
                </c:pt>
                <c:pt idx="174" c:formatCode="yyyy/m/d;@">
                  <c:v>43895</c:v>
                </c:pt>
                <c:pt idx="175" c:formatCode="yyyy/m/d;@">
                  <c:v>43902</c:v>
                </c:pt>
                <c:pt idx="176" c:formatCode="yyyy/m/d;@">
                  <c:v>43909</c:v>
                </c:pt>
                <c:pt idx="177" c:formatCode="yyyy/m/d;@">
                  <c:v>43916</c:v>
                </c:pt>
                <c:pt idx="178" c:formatCode="yyyy/m/d;@">
                  <c:v>43923</c:v>
                </c:pt>
                <c:pt idx="179" c:formatCode="yyyy/m/d;@">
                  <c:v>43930</c:v>
                </c:pt>
                <c:pt idx="180" c:formatCode="yyyy/m/d;@">
                  <c:v>43937</c:v>
                </c:pt>
                <c:pt idx="181" c:formatCode="yyyy/m/d;@">
                  <c:v>43944</c:v>
                </c:pt>
                <c:pt idx="182" c:formatCode="yyyy/m/d;@">
                  <c:v>43951</c:v>
                </c:pt>
                <c:pt idx="183" c:formatCode="yyyy/m/d;@">
                  <c:v>43958</c:v>
                </c:pt>
                <c:pt idx="184" c:formatCode="yyyy/m/d;@">
                  <c:v>43965</c:v>
                </c:pt>
                <c:pt idx="185" c:formatCode="yyyy/m/d;@">
                  <c:v>43972</c:v>
                </c:pt>
                <c:pt idx="186" c:formatCode="yyyy/m/d;@">
                  <c:v>43979</c:v>
                </c:pt>
                <c:pt idx="187" c:formatCode="yyyy/m/d;@">
                  <c:v>43986</c:v>
                </c:pt>
                <c:pt idx="188" c:formatCode="yyyy/m/d;@">
                  <c:v>43993</c:v>
                </c:pt>
                <c:pt idx="189" c:formatCode="yyyy/m/d;@">
                  <c:v>44000</c:v>
                </c:pt>
                <c:pt idx="190" c:formatCode="yyyy/m/d;@">
                  <c:v>44007</c:v>
                </c:pt>
                <c:pt idx="191" c:formatCode="yyyy/m/d;@">
                  <c:v>44014</c:v>
                </c:pt>
                <c:pt idx="192" c:formatCode="yyyy/m/d;@">
                  <c:v>44021</c:v>
                </c:pt>
                <c:pt idx="193" c:formatCode="yyyy/m/d;@">
                  <c:v>44028</c:v>
                </c:pt>
                <c:pt idx="194" c:formatCode="yyyy/m/d;@">
                  <c:v>44035</c:v>
                </c:pt>
                <c:pt idx="195" c:formatCode="yyyy/m/d;@">
                  <c:v>44042</c:v>
                </c:pt>
                <c:pt idx="196" c:formatCode="yyyy/m/d;@">
                  <c:v>44049</c:v>
                </c:pt>
                <c:pt idx="197" c:formatCode="yyyy/m/d;@">
                  <c:v>44056</c:v>
                </c:pt>
                <c:pt idx="198" c:formatCode="yyyy/m/d;@">
                  <c:v>44063</c:v>
                </c:pt>
                <c:pt idx="199" c:formatCode="yyyy/m/d;@">
                  <c:v>44070</c:v>
                </c:pt>
                <c:pt idx="200" c:formatCode="yyyy/m/d;@">
                  <c:v>44077</c:v>
                </c:pt>
                <c:pt idx="201" c:formatCode="yyyy/m/d;@">
                  <c:v>44084</c:v>
                </c:pt>
                <c:pt idx="202" c:formatCode="yyyy/m/d;@">
                  <c:v>44091</c:v>
                </c:pt>
                <c:pt idx="203" c:formatCode="yyyy/m/d;@">
                  <c:v>44098</c:v>
                </c:pt>
                <c:pt idx="204" c:formatCode="yyyy/m/d;@">
                  <c:v>44104</c:v>
                </c:pt>
                <c:pt idx="205" c:formatCode="yyyy/m/d;@">
                  <c:v>44112</c:v>
                </c:pt>
                <c:pt idx="206" c:formatCode="yyyy/m/d;@">
                  <c:v>44119</c:v>
                </c:pt>
                <c:pt idx="207" c:formatCode="yyyy/m/d;@">
                  <c:v>44126</c:v>
                </c:pt>
                <c:pt idx="208" c:formatCode="yyyy/m/d;@">
                  <c:v>44133</c:v>
                </c:pt>
                <c:pt idx="209" c:formatCode="yyyy/m/d;@">
                  <c:v>44140</c:v>
                </c:pt>
                <c:pt idx="210" c:formatCode="yyyy/m/d;@">
                  <c:v>44147</c:v>
                </c:pt>
                <c:pt idx="211" c:formatCode="yyyy/m/d;@">
                  <c:v>44154</c:v>
                </c:pt>
                <c:pt idx="212" c:formatCode="yyyy/m/d;@">
                  <c:v>44161</c:v>
                </c:pt>
                <c:pt idx="213" c:formatCode="yyyy/m/d;@">
                  <c:v>44168</c:v>
                </c:pt>
                <c:pt idx="214" c:formatCode="yyyy/m/d;@">
                  <c:v>44175</c:v>
                </c:pt>
                <c:pt idx="215" c:formatCode="yyyy/m/d;@">
                  <c:v>44182</c:v>
                </c:pt>
                <c:pt idx="216" c:formatCode="yyyy/m/d;@">
                  <c:v>44189</c:v>
                </c:pt>
                <c:pt idx="217" c:formatCode="yyyy/m/d;@">
                  <c:v>44196</c:v>
                </c:pt>
                <c:pt idx="218" c:formatCode="yyyy/m/d;@">
                  <c:v>44203</c:v>
                </c:pt>
                <c:pt idx="219" c:formatCode="yyyy/m/d;@">
                  <c:v>44210</c:v>
                </c:pt>
                <c:pt idx="220" c:formatCode="yyyy/m/d;@">
                  <c:v>44217</c:v>
                </c:pt>
                <c:pt idx="221" c:formatCode="yyyy/m/d;@">
                  <c:v>44224</c:v>
                </c:pt>
                <c:pt idx="222" c:formatCode="yyyy/m/d;@">
                  <c:v>44231</c:v>
                </c:pt>
                <c:pt idx="223" c:formatCode="yyyy/m/d;@">
                  <c:v>44245</c:v>
                </c:pt>
                <c:pt idx="224" c:formatCode="yyyy/m/d;@">
                  <c:v>44252</c:v>
                </c:pt>
                <c:pt idx="225" c:formatCode="yyyy/m/d;@">
                  <c:v>44259</c:v>
                </c:pt>
                <c:pt idx="226" c:formatCode="yyyy/m/d;@">
                  <c:v>44266</c:v>
                </c:pt>
                <c:pt idx="227" c:formatCode="yyyy/m/d;@">
                  <c:v>44273</c:v>
                </c:pt>
                <c:pt idx="228" c:formatCode="yyyy/m/d;@">
                  <c:v>44280</c:v>
                </c:pt>
                <c:pt idx="229" c:formatCode="yyyy/m/d;@">
                  <c:v>44287</c:v>
                </c:pt>
                <c:pt idx="230" c:formatCode="yyyy/m/d;@">
                  <c:v>44294</c:v>
                </c:pt>
                <c:pt idx="231" c:formatCode="yyyy/m/d;@">
                  <c:v>44301</c:v>
                </c:pt>
                <c:pt idx="232" c:formatCode="yyyy/m/d;@">
                  <c:v>44308</c:v>
                </c:pt>
                <c:pt idx="233" c:formatCode="yyyy/m/d;@">
                  <c:v>44315</c:v>
                </c:pt>
                <c:pt idx="234" c:formatCode="yyyy/m/d;@">
                  <c:v>44322</c:v>
                </c:pt>
                <c:pt idx="235" c:formatCode="yyyy/m/d;@">
                  <c:v>44329</c:v>
                </c:pt>
                <c:pt idx="236" c:formatCode="yyyy/m/d;@">
                  <c:v>44336</c:v>
                </c:pt>
                <c:pt idx="237" c:formatCode="yyyy/m/d;@">
                  <c:v>44343</c:v>
                </c:pt>
                <c:pt idx="238" c:formatCode="yyyy/m/d;@">
                  <c:v>44350</c:v>
                </c:pt>
                <c:pt idx="239" c:formatCode="yyyy/m/d;@">
                  <c:v>44357</c:v>
                </c:pt>
                <c:pt idx="240" c:formatCode="yyyy/m/d;@">
                  <c:v>44364</c:v>
                </c:pt>
                <c:pt idx="241" c:formatCode="yyyy/m/d;@">
                  <c:v>44371</c:v>
                </c:pt>
                <c:pt idx="242" c:formatCode="yyyy/m/d;@">
                  <c:v>44378</c:v>
                </c:pt>
                <c:pt idx="243" c:formatCode="yyyy/m/d;@">
                  <c:v>44385</c:v>
                </c:pt>
                <c:pt idx="244" c:formatCode="yyyy/m/d;@">
                  <c:v>44392</c:v>
                </c:pt>
                <c:pt idx="245" c:formatCode="yyyy/m/d;@">
                  <c:v>44399</c:v>
                </c:pt>
                <c:pt idx="246" c:formatCode="yyyy/m/d;@">
                  <c:v>44406</c:v>
                </c:pt>
                <c:pt idx="247" c:formatCode="yyyy/m/d;@">
                  <c:v>44413</c:v>
                </c:pt>
                <c:pt idx="248" c:formatCode="yyyy/m/d;@">
                  <c:v>44420</c:v>
                </c:pt>
                <c:pt idx="249" c:formatCode="yyyy/m/d;@">
                  <c:v>44427</c:v>
                </c:pt>
                <c:pt idx="250" c:formatCode="yyyy/m/d;@">
                  <c:v>44434</c:v>
                </c:pt>
                <c:pt idx="251" c:formatCode="yyyy/m/d;@">
                  <c:v>44441</c:v>
                </c:pt>
                <c:pt idx="252" c:formatCode="yyyy/m/d;@">
                  <c:v>44448</c:v>
                </c:pt>
                <c:pt idx="253" c:formatCode="yyyy/m/d;@">
                  <c:v>44455</c:v>
                </c:pt>
                <c:pt idx="254" c:formatCode="yyyy/m/d;@">
                  <c:v>44462</c:v>
                </c:pt>
                <c:pt idx="255" c:formatCode="yyyy/m/d;@">
                  <c:v>44469</c:v>
                </c:pt>
                <c:pt idx="256" c:formatCode="yyyy/m/d;@">
                  <c:v>44477</c:v>
                </c:pt>
                <c:pt idx="257" c:formatCode="yyyy/m/d;@">
                  <c:v>44483</c:v>
                </c:pt>
                <c:pt idx="258" c:formatCode="yyyy/m/d;@">
                  <c:v>44491</c:v>
                </c:pt>
                <c:pt idx="259" c:formatCode="yyyy/m/d;@">
                  <c:v>44497</c:v>
                </c:pt>
                <c:pt idx="260" c:formatCode="yyyy/m/d;@">
                  <c:v>44504</c:v>
                </c:pt>
                <c:pt idx="261" c:formatCode="yyyy/m/d;@">
                  <c:v>44511</c:v>
                </c:pt>
                <c:pt idx="262" c:formatCode="yyyy/m/d;@">
                  <c:v>44518</c:v>
                </c:pt>
                <c:pt idx="263" c:formatCode="yyyy/m/d;@">
                  <c:v>44525</c:v>
                </c:pt>
                <c:pt idx="264" c:formatCode="yyyy/m/d;@">
                  <c:v>44532</c:v>
                </c:pt>
                <c:pt idx="265" c:formatCode="yyyy/m/d;@">
                  <c:v>44539</c:v>
                </c:pt>
                <c:pt idx="266" c:formatCode="yyyy/m/d;@">
                  <c:v>44546</c:v>
                </c:pt>
                <c:pt idx="267" c:formatCode="yyyy/m/d;@">
                  <c:v>44553</c:v>
                </c:pt>
                <c:pt idx="268" c:formatCode="yyyy/m/d;@">
                  <c:v>44560</c:v>
                </c:pt>
                <c:pt idx="269" c:formatCode="yyyy/m/d;@">
                  <c:v>44567</c:v>
                </c:pt>
                <c:pt idx="270" c:formatCode="yyyy/m/d;@">
                  <c:v>44574</c:v>
                </c:pt>
                <c:pt idx="271" c:formatCode="yyyy/m/d;@">
                  <c:v>44581</c:v>
                </c:pt>
                <c:pt idx="272" c:formatCode="yyyy/m/d;@">
                  <c:v>44587</c:v>
                </c:pt>
                <c:pt idx="273" c:formatCode="yyyy/m/d;@">
                  <c:v>44602</c:v>
                </c:pt>
                <c:pt idx="274" c:formatCode="yyyy/m/d;@">
                  <c:v>44609</c:v>
                </c:pt>
                <c:pt idx="275" c:formatCode="yyyy/m/d;@">
                  <c:v>44616</c:v>
                </c:pt>
                <c:pt idx="276" c:formatCode="yyyy/m/d;@">
                  <c:v>44623</c:v>
                </c:pt>
                <c:pt idx="277" c:formatCode="yyyy/m/d;@">
                  <c:v>44630</c:v>
                </c:pt>
                <c:pt idx="278" c:formatCode="yyyy/m/d;@">
                  <c:v>44637</c:v>
                </c:pt>
                <c:pt idx="279" c:formatCode="yyyy/m/d;@">
                  <c:v>44644</c:v>
                </c:pt>
                <c:pt idx="280" c:formatCode="yyyy/m/d;@">
                  <c:v>44651</c:v>
                </c:pt>
                <c:pt idx="281" c:formatCode="yyyy/m/d;@">
                  <c:v>44658</c:v>
                </c:pt>
                <c:pt idx="282" c:formatCode="yyyy/m/d;@">
                  <c:v>44665</c:v>
                </c:pt>
                <c:pt idx="283" c:formatCode="yyyy/m/d;@">
                  <c:v>44672</c:v>
                </c:pt>
                <c:pt idx="284" c:formatCode="yyyy/m/d;@">
                  <c:v>44679</c:v>
                </c:pt>
                <c:pt idx="285" c:formatCode="yyyy/m/d;@">
                  <c:v>44686</c:v>
                </c:pt>
                <c:pt idx="286" c:formatCode="yyyy/m/d;@">
                  <c:v>44693</c:v>
                </c:pt>
                <c:pt idx="287" c:formatCode="yyyy/m/d;@">
                  <c:v>44700</c:v>
                </c:pt>
                <c:pt idx="288" c:formatCode="yyyy/m/d;@">
                  <c:v>44707</c:v>
                </c:pt>
                <c:pt idx="289" c:formatCode="yyyy/m/d;@">
                  <c:v>44714</c:v>
                </c:pt>
                <c:pt idx="290" c:formatCode="yyyy/m/d;@">
                  <c:v>44721</c:v>
                </c:pt>
                <c:pt idx="291" c:formatCode="yyyy/m/d;@">
                  <c:v>44728</c:v>
                </c:pt>
                <c:pt idx="292" c:formatCode="yyyy/m/d;@">
                  <c:v>44735</c:v>
                </c:pt>
                <c:pt idx="293" c:formatCode="yyyy/m/d;@">
                  <c:v>44742</c:v>
                </c:pt>
                <c:pt idx="294" c:formatCode="yyyy/m/d;@">
                  <c:v>44749</c:v>
                </c:pt>
                <c:pt idx="295" c:formatCode="yyyy/m/d;@">
                  <c:v>44756</c:v>
                </c:pt>
                <c:pt idx="296" c:formatCode="yyyy/m/d;@">
                  <c:v>44763</c:v>
                </c:pt>
                <c:pt idx="297" c:formatCode="yyyy/m/d;@">
                  <c:v>44770</c:v>
                </c:pt>
                <c:pt idx="298" c:formatCode="yyyy/m/d;@">
                  <c:v>44777</c:v>
                </c:pt>
                <c:pt idx="299" c:formatCode="yyyy/m/d;@">
                  <c:v>44784</c:v>
                </c:pt>
                <c:pt idx="300" c:formatCode="yyyy/m/d;@">
                  <c:v>44791</c:v>
                </c:pt>
                <c:pt idx="301" c:formatCode="yyyy/m/d;@">
                  <c:v>44798</c:v>
                </c:pt>
                <c:pt idx="302" c:formatCode="yyyy/m/d;@">
                  <c:v>44805</c:v>
                </c:pt>
                <c:pt idx="303" c:formatCode="yyyy/m/d;@">
                  <c:v>44812</c:v>
                </c:pt>
                <c:pt idx="304" c:formatCode="yyyy/m/d;@">
                  <c:v>44819</c:v>
                </c:pt>
                <c:pt idx="305" c:formatCode="yyyy/m/d;@">
                  <c:v>44826</c:v>
                </c:pt>
                <c:pt idx="306" c:formatCode="yyyy/m/d;@">
                  <c:v>44833</c:v>
                </c:pt>
                <c:pt idx="307" c:formatCode="yyyy/m/d;@">
                  <c:v>44842</c:v>
                </c:pt>
                <c:pt idx="308" c:formatCode="yyyy/m/d;@">
                  <c:v>44847</c:v>
                </c:pt>
                <c:pt idx="309" c:formatCode="yyyy/m/d;@">
                  <c:v>44854</c:v>
                </c:pt>
                <c:pt idx="310" c:formatCode="yyyy/m/d;@">
                  <c:v>44861</c:v>
                </c:pt>
                <c:pt idx="311" c:formatCode="yyyy/m/d;@">
                  <c:v>44868</c:v>
                </c:pt>
                <c:pt idx="312" c:formatCode="yyyy/m/d;@">
                  <c:v>44875</c:v>
                </c:pt>
                <c:pt idx="313" c:formatCode="yyyy/m/d;@">
                  <c:v>44882</c:v>
                </c:pt>
                <c:pt idx="314" c:formatCode="yyyy/m/d;@">
                  <c:v>44889</c:v>
                </c:pt>
                <c:pt idx="315" c:formatCode="yyyy/m/d;@">
                  <c:v>44896</c:v>
                </c:pt>
                <c:pt idx="316" c:formatCode="yyyy/m/d;@">
                  <c:v>44903</c:v>
                </c:pt>
                <c:pt idx="317" c:formatCode="yyyy/m/d;@">
                  <c:v>44910</c:v>
                </c:pt>
                <c:pt idx="318" c:formatCode="yyyy/m/d;@">
                  <c:v>44917</c:v>
                </c:pt>
                <c:pt idx="319" c:formatCode="yyyy/m/d;@">
                  <c:v>44924</c:v>
                </c:pt>
                <c:pt idx="320" c:formatCode="yyyy/m/d;@">
                  <c:v>44931</c:v>
                </c:pt>
                <c:pt idx="321" c:formatCode="yyyy/m/d;@">
                  <c:v>44938</c:v>
                </c:pt>
                <c:pt idx="322" c:formatCode="yyyy/m/d;@">
                  <c:v>44959</c:v>
                </c:pt>
                <c:pt idx="323" c:formatCode="yyyy/m/d;@">
                  <c:v>44966</c:v>
                </c:pt>
                <c:pt idx="324" c:formatCode="yyyy/m/d;@">
                  <c:v>44973</c:v>
                </c:pt>
                <c:pt idx="325" c:formatCode="yyyy/m/d;@">
                  <c:v>44980</c:v>
                </c:pt>
                <c:pt idx="326" c:formatCode="yyyy/m/d;@">
                  <c:v>44987</c:v>
                </c:pt>
                <c:pt idx="327" c:formatCode="yyyy/m/d;@">
                  <c:v>44994</c:v>
                </c:pt>
                <c:pt idx="328" c:formatCode="yyyy/m/d;@">
                  <c:v>45001</c:v>
                </c:pt>
                <c:pt idx="329" c:formatCode="yyyy/m/d;@">
                  <c:v>45008</c:v>
                </c:pt>
                <c:pt idx="330" c:formatCode="yyyy/m/d;@">
                  <c:v>45015</c:v>
                </c:pt>
                <c:pt idx="331" c:formatCode="yyyy/m/d;@">
                  <c:v>45022</c:v>
                </c:pt>
                <c:pt idx="332" c:formatCode="yyyy/m/d;@">
                  <c:v>45029</c:v>
                </c:pt>
                <c:pt idx="333" c:formatCode="yyyy/m/d;@">
                  <c:v>45036</c:v>
                </c:pt>
                <c:pt idx="334" c:formatCode="yyyy/m/d;@">
                  <c:v>45043</c:v>
                </c:pt>
                <c:pt idx="335" c:formatCode="yyyy/m/d;@">
                  <c:v>45050</c:v>
                </c:pt>
                <c:pt idx="336" c:formatCode="yyyy/m/d;@">
                  <c:v>45057</c:v>
                </c:pt>
                <c:pt idx="337" c:formatCode="yyyy/m/d;@">
                  <c:v>45064</c:v>
                </c:pt>
                <c:pt idx="338" c:formatCode="yyyy/m/d;@">
                  <c:v>45071</c:v>
                </c:pt>
                <c:pt idx="339" c:formatCode="yyyy/m/d;@">
                  <c:v>45078</c:v>
                </c:pt>
                <c:pt idx="340" c:formatCode="yyyy/m/d;@">
                  <c:v>45085</c:v>
                </c:pt>
                <c:pt idx="341" c:formatCode="yyyy/m/d;@">
                  <c:v>45092</c:v>
                </c:pt>
                <c:pt idx="342" c:formatCode="yyyy/m/d;@">
                  <c:v>45098</c:v>
                </c:pt>
                <c:pt idx="343" c:formatCode="yyyy/m/d;@">
                  <c:v>45106</c:v>
                </c:pt>
                <c:pt idx="344" c:formatCode="yyyy/m/d;@">
                  <c:v>45113</c:v>
                </c:pt>
                <c:pt idx="345" c:formatCode="yyyy/m/d;@">
                  <c:v>45120</c:v>
                </c:pt>
                <c:pt idx="346" c:formatCode="yyyy/m/d;@">
                  <c:v>45127</c:v>
                </c:pt>
                <c:pt idx="347" c:formatCode="yyyy/m/d;@">
                  <c:v>45134</c:v>
                </c:pt>
                <c:pt idx="348" c:formatCode="yyyy/m/d;@">
                  <c:v>45141</c:v>
                </c:pt>
                <c:pt idx="349" c:formatCode="yyyy/m/d;@">
                  <c:v>45148</c:v>
                </c:pt>
                <c:pt idx="350" c:formatCode="yyyy/m/d;@">
                  <c:v>45155</c:v>
                </c:pt>
                <c:pt idx="351" c:formatCode="yyyy/m/d;@">
                  <c:v>45162</c:v>
                </c:pt>
                <c:pt idx="352" c:formatCode="yyyy/m/d;@">
                  <c:v>45169</c:v>
                </c:pt>
                <c:pt idx="353" c:formatCode="yyyy/m/d;@">
                  <c:v>45176</c:v>
                </c:pt>
                <c:pt idx="354" c:formatCode="yyyy/m/d;@">
                  <c:v>45183</c:v>
                </c:pt>
                <c:pt idx="355" c:formatCode="yyyy/m/d;@">
                  <c:v>45190</c:v>
                </c:pt>
                <c:pt idx="356" c:formatCode="yyyy/m/d;@">
                  <c:v>45197</c:v>
                </c:pt>
                <c:pt idx="357" c:formatCode="yyyy/m/d;@">
                  <c:v>45205</c:v>
                </c:pt>
                <c:pt idx="358" c:formatCode="yyyy/m/d;@">
                  <c:v>45211</c:v>
                </c:pt>
                <c:pt idx="359" c:formatCode="yyyy/m/d;@">
                  <c:v>45218</c:v>
                </c:pt>
                <c:pt idx="360" c:formatCode="yyyy/m/d;@">
                  <c:v>45225</c:v>
                </c:pt>
                <c:pt idx="361" c:formatCode="yyyy/m/d;@">
                  <c:v>45232</c:v>
                </c:pt>
                <c:pt idx="362" c:formatCode="yyyy/m/d;@">
                  <c:v>45239</c:v>
                </c:pt>
                <c:pt idx="363" c:formatCode="yyyy/m/d;@">
                  <c:v>45246</c:v>
                </c:pt>
                <c:pt idx="364" c:formatCode="yyyy/m/d;@">
                  <c:v>45253</c:v>
                </c:pt>
                <c:pt idx="365" c:formatCode="yyyy/m/d;@">
                  <c:v>45260</c:v>
                </c:pt>
                <c:pt idx="366" c:formatCode="yyyy/m/d;@">
                  <c:v>45267</c:v>
                </c:pt>
                <c:pt idx="367" c:formatCode="yyyy/m/d;@">
                  <c:v>45274</c:v>
                </c:pt>
                <c:pt idx="368" c:formatCode="yyyy/m/d;@">
                  <c:v>45281</c:v>
                </c:pt>
                <c:pt idx="369" c:formatCode="yyyy/m/d;@">
                  <c:v>45288</c:v>
                </c:pt>
                <c:pt idx="370" c:formatCode="yyyy/m/d;@">
                  <c:v>45295</c:v>
                </c:pt>
                <c:pt idx="371" c:formatCode="yyyy/m/d;@">
                  <c:v>45302</c:v>
                </c:pt>
                <c:pt idx="372" c:formatCode="yyyy/m/d;@">
                  <c:v>45309</c:v>
                </c:pt>
                <c:pt idx="373" c:formatCode="yyyy/m/d;@">
                  <c:v>45316</c:v>
                </c:pt>
                <c:pt idx="374" c:formatCode="yyyy/m/d;@">
                  <c:v>45323</c:v>
                </c:pt>
                <c:pt idx="375" c:formatCode="yyyy/m/d;@">
                  <c:v>45344</c:v>
                </c:pt>
                <c:pt idx="376" c:formatCode="yyyy/m/d;@">
                  <c:v>45351</c:v>
                </c:pt>
                <c:pt idx="377" c:formatCode="yyyy/m/d;@">
                  <c:v>45358</c:v>
                </c:pt>
                <c:pt idx="378" c:formatCode="yyyy/m/d;@">
                  <c:v>45365</c:v>
                </c:pt>
                <c:pt idx="379" c:formatCode="yyyy/m/d;@">
                  <c:v>45372</c:v>
                </c:pt>
                <c:pt idx="380" c:formatCode="yyyy/m/d;@">
                  <c:v>45379</c:v>
                </c:pt>
                <c:pt idx="381" c:formatCode="yyyy/m/d;@">
                  <c:v>45385</c:v>
                </c:pt>
                <c:pt idx="382" c:formatCode="yyyy/m/d;@">
                  <c:v>45393</c:v>
                </c:pt>
                <c:pt idx="383" c:formatCode="yyyy/m/d;@">
                  <c:v>45400</c:v>
                </c:pt>
                <c:pt idx="384" c:formatCode="yyyy/m/d;@">
                  <c:v>45407</c:v>
                </c:pt>
                <c:pt idx="385" c:formatCode="yyyy/m/d;@">
                  <c:v>45414</c:v>
                </c:pt>
                <c:pt idx="386" c:formatCode="yyyy/m/d;@">
                  <c:v>45421</c:v>
                </c:pt>
                <c:pt idx="387" c:formatCode="yyyy/m/d;@">
                  <c:v>45428</c:v>
                </c:pt>
                <c:pt idx="388" c:formatCode="yyyy/m/d;@">
                  <c:v>45435</c:v>
                </c:pt>
                <c:pt idx="389" c:formatCode="yyyy/m/d;@">
                  <c:v>45442</c:v>
                </c:pt>
                <c:pt idx="390" c:formatCode="yyyy/m/d;@">
                  <c:v>45449</c:v>
                </c:pt>
                <c:pt idx="391" c:formatCode="yyyy/m/d;@">
                  <c:v>45456</c:v>
                </c:pt>
                <c:pt idx="392" c:formatCode="yyyy/m/d;@">
                  <c:v>45463</c:v>
                </c:pt>
                <c:pt idx="393" c:formatCode="yyyy/m/d;@">
                  <c:v>45470</c:v>
                </c:pt>
                <c:pt idx="394" c:formatCode="yyyy/m/d;@">
                  <c:v>45477</c:v>
                </c:pt>
                <c:pt idx="395" c:formatCode="yyyy/m/d;@">
                  <c:v>45484</c:v>
                </c:pt>
                <c:pt idx="396" c:formatCode="yyyy/m/d;@">
                  <c:v>45491</c:v>
                </c:pt>
                <c:pt idx="397" c:formatCode="yyyy/m/d;@">
                  <c:v>45498</c:v>
                </c:pt>
                <c:pt idx="398" c:formatCode="yyyy/m/d;@">
                  <c:v>45505</c:v>
                </c:pt>
                <c:pt idx="399" c:formatCode="yyyy/m/d;@">
                  <c:v>45512</c:v>
                </c:pt>
                <c:pt idx="400" c:formatCode="yyyy/m/d;@">
                  <c:v>45519</c:v>
                </c:pt>
                <c:pt idx="401" c:formatCode="yyyy/m/d;@">
                  <c:v>45526</c:v>
                </c:pt>
                <c:pt idx="402" c:formatCode="yyyy/m/d;@">
                  <c:v>45533</c:v>
                </c:pt>
                <c:pt idx="403" c:formatCode="yyyy/m/d;@">
                  <c:v>45540</c:v>
                </c:pt>
                <c:pt idx="404" c:formatCode="yyyy/m/d;@">
                  <c:v>45547</c:v>
                </c:pt>
                <c:pt idx="405" c:formatCode="yyyy/m/d;@">
                  <c:v>45554</c:v>
                </c:pt>
                <c:pt idx="406" c:formatCode="yyyy/m/d;@">
                  <c:v>45561</c:v>
                </c:pt>
                <c:pt idx="407" c:formatCode="yyyy/m/d;@">
                  <c:v>45575</c:v>
                </c:pt>
                <c:pt idx="408" c:formatCode="yyyy/m/d;@">
                  <c:v>45582</c:v>
                </c:pt>
                <c:pt idx="409" c:formatCode="yyyy/m/d;@">
                  <c:v>45589</c:v>
                </c:pt>
                <c:pt idx="410" c:formatCode="yyyy/m/d;@">
                  <c:v>45596</c:v>
                </c:pt>
                <c:pt idx="411" c:formatCode="yyyy/m/d;@">
                  <c:v>45603</c:v>
                </c:pt>
                <c:pt idx="412" c:formatCode="yyyy/m/d;@">
                  <c:v>45610</c:v>
                </c:pt>
                <c:pt idx="413" c:formatCode="yyyy/m/d;@">
                  <c:v>45617</c:v>
                </c:pt>
                <c:pt idx="414" c:formatCode="yyyy/m/d;@">
                  <c:v>45624</c:v>
                </c:pt>
                <c:pt idx="415" c:formatCode="yyyy/m/d;@">
                  <c:v>45631</c:v>
                </c:pt>
                <c:pt idx="416" c:formatCode="yyyy/m/d;@">
                  <c:v>45638</c:v>
                </c:pt>
                <c:pt idx="417" c:formatCode="yyyy/m/d;@">
                  <c:v>45645</c:v>
                </c:pt>
                <c:pt idx="418" c:formatCode="yyyy/m/d;@">
                  <c:v>45652</c:v>
                </c:pt>
                <c:pt idx="419" c:formatCode="yyyy/m/d;@">
                  <c:v>45659</c:v>
                </c:pt>
                <c:pt idx="420" c:formatCode="yyyy/m/d;@">
                  <c:v>45666</c:v>
                </c:pt>
                <c:pt idx="421" c:formatCode="yyyy/m/d;@">
                  <c:v>45673</c:v>
                </c:pt>
                <c:pt idx="422" c:formatCode="yyyy/m/d;@">
                  <c:v>45680</c:v>
                </c:pt>
                <c:pt idx="423" c:formatCode="yyyy/m/d;@">
                  <c:v>45694</c:v>
                </c:pt>
                <c:pt idx="424" c:formatCode="yyyy/m/d;@">
                  <c:v>45701</c:v>
                </c:pt>
                <c:pt idx="425" c:formatCode="yyyy/m/d;@">
                  <c:v>45708</c:v>
                </c:pt>
                <c:pt idx="426" c:formatCode="yyyy/m/d;@">
                  <c:v>45715</c:v>
                </c:pt>
                <c:pt idx="427" c:formatCode="yyyy/m/d;@">
                  <c:v>45722</c:v>
                </c:pt>
                <c:pt idx="428" c:formatCode="yyyy/m/d;@">
                  <c:v>45729</c:v>
                </c:pt>
                <c:pt idx="429" c:formatCode="yyyy/m/d;@">
                  <c:v>45736</c:v>
                </c:pt>
                <c:pt idx="430" c:formatCode="yyyy/m/d;@">
                  <c:v>45743</c:v>
                </c:pt>
                <c:pt idx="431" c:formatCode="yyyy/m/d;@">
                  <c:v>45750</c:v>
                </c:pt>
                <c:pt idx="432" c:formatCode="yyyy/m/d;@">
                  <c:v>45757</c:v>
                </c:pt>
                <c:pt idx="433" c:formatCode="yyyy/m/d;@">
                  <c:v>45764</c:v>
                </c:pt>
                <c:pt idx="434" c:formatCode="yyyy/m/d;@">
                  <c:v>45771</c:v>
                </c:pt>
                <c:pt idx="435" c:formatCode="yyyy/m/d;@">
                  <c:v>45777</c:v>
                </c:pt>
                <c:pt idx="436" c:formatCode="yyyy/m/d;@">
                  <c:v>45785</c:v>
                </c:pt>
                <c:pt idx="437" c:formatCode="yyyy/m/d;@">
                  <c:v>45792</c:v>
                </c:pt>
                <c:pt idx="438" c:formatCode="yyyy/m/d;@">
                  <c:v>45799</c:v>
                </c:pt>
                <c:pt idx="439" c:formatCode="yyyy/m/d;@">
                  <c:v>45806</c:v>
                </c:pt>
                <c:pt idx="440" c:formatCode="yyyy/m/d;@">
                  <c:v>45813</c:v>
                </c:pt>
                <c:pt idx="441" c:formatCode="yyyy/m/d;@">
                  <c:v>45820</c:v>
                </c:pt>
                <c:pt idx="442" c:formatCode="yyyy/m/d;@">
                  <c:v>45827</c:v>
                </c:pt>
                <c:pt idx="443" c:formatCode="yyyy/m/d;@">
                  <c:v>45834</c:v>
                </c:pt>
                <c:pt idx="444" c:formatCode="yyyy/m/d;@">
                  <c:v>45841</c:v>
                </c:pt>
                <c:pt idx="445" c:formatCode="yyyy/m/d;@">
                  <c:v>45848</c:v>
                </c:pt>
                <c:pt idx="446" c:formatCode="yyyy/m/d;@">
                  <c:v>45855</c:v>
                </c:pt>
                <c:pt idx="447" c:formatCode="yyyy/m/d;@">
                  <c:v>45862</c:v>
                </c:pt>
                <c:pt idx="448" c:formatCode="yyyy/m/d;@">
                  <c:v>45869</c:v>
                </c:pt>
                <c:pt idx="449" c:formatCode="yyyy/m/d;@">
                  <c:v>45876</c:v>
                </c:pt>
                <c:pt idx="450" c:formatCode="yyyy/m/d;@">
                  <c:v>45883</c:v>
                </c:pt>
                <c:pt idx="451" c:formatCode="yyyy/m/d;@">
                  <c:v>45890</c:v>
                </c:pt>
                <c:pt idx="452" c:formatCode="yyyy/m/d;@">
                  <c:v>45897</c:v>
                </c:pt>
                <c:pt idx="453" c:formatCode="yyyy/m/d;@">
                  <c:v>45904</c:v>
                </c:pt>
                <c:pt idx="454" c:formatCode="yyyy/m/d;@">
                  <c:v>45911</c:v>
                </c:pt>
                <c:pt idx="455" c:formatCode="yyyy/m/d;@">
                  <c:v>45918</c:v>
                </c:pt>
                <c:pt idx="456" c:formatCode="yyyy/m/d;@">
                  <c:v>45925</c:v>
                </c:pt>
                <c:pt idx="457" c:formatCode="yyyy/m/d;@">
                  <c:v>45939</c:v>
                </c:pt>
                <c:pt idx="458" c:formatCode="yyyy/m/d;@">
                  <c:v>45946</c:v>
                </c:pt>
                <c:pt idx="459" c:formatCode="yyyy/m/d;@">
                  <c:v>45953</c:v>
                </c:pt>
                <c:pt idx="460" c:formatCode="yyyy/m/d;@">
                  <c:v>45960</c:v>
                </c:pt>
                <c:pt idx="461" c:formatCode="yyyy/m/d;@">
                  <c:v>45967</c:v>
                </c:pt>
                <c:pt idx="462" c:formatCode="yyyy/m/d;@">
                  <c:v>45974</c:v>
                </c:pt>
                <c:pt idx="463" c:formatCode="yyyy/m/d;@">
                  <c:v>45981</c:v>
                </c:pt>
                <c:pt idx="464" c:formatCode="yyyy/m/d;@">
                  <c:v>45988</c:v>
                </c:pt>
                <c:pt idx="465" c:formatCode="yyyy/m/d;@">
                  <c:v>45995</c:v>
                </c:pt>
                <c:pt idx="466" c:formatCode="yyyy/m/d;@">
                  <c:v>46002</c:v>
                </c:pt>
                <c:pt idx="467" c:formatCode="yyyy/m/d;@">
                  <c:v>46009</c:v>
                </c:pt>
                <c:pt idx="468" c:formatCode="yyyy/m/d;@">
                  <c:v>46016</c:v>
                </c:pt>
                <c:pt idx="469" c:formatCode="yyyy/m/d;@">
                  <c:v>46023</c:v>
                </c:pt>
                <c:pt idx="470" c:formatCode="yyyy/m/d;@">
                  <c:v>46030</c:v>
                </c:pt>
                <c:pt idx="471" c:formatCode="yyyy/m/d;@">
                  <c:v>46037</c:v>
                </c:pt>
                <c:pt idx="472" c:formatCode="yyyy/m/d;@">
                  <c:v>46044</c:v>
                </c:pt>
                <c:pt idx="473" c:formatCode="yyyy/m/d;@">
                  <c:v>46051</c:v>
                </c:pt>
                <c:pt idx="474" c:formatCode="yyyy/m/d;@">
                  <c:v>46058</c:v>
                </c:pt>
                <c:pt idx="475" c:formatCode="yyyy/m/d;@">
                  <c:v>46065</c:v>
                </c:pt>
                <c:pt idx="476" c:formatCode="yyyy/m/d;@">
                  <c:v>46079</c:v>
                </c:pt>
                <c:pt idx="477" c:formatCode="yyyy/m/d;@">
                  <c:v>46086</c:v>
                </c:pt>
                <c:pt idx="478" c:formatCode="yyyy/m/d;@">
                  <c:v>46093</c:v>
                </c:pt>
                <c:pt idx="479" c:formatCode="yyyy/m/d;@">
                  <c:v>46100</c:v>
                </c:pt>
                <c:pt idx="480" c:formatCode="yyyy/m/d;@">
                  <c:v>46107</c:v>
                </c:pt>
                <c:pt idx="481" c:formatCode="yyyy/m/d;@">
                  <c:v>46114</c:v>
                </c:pt>
                <c:pt idx="482" c:formatCode="yyyy/m/d;@">
                  <c:v>46121</c:v>
                </c:pt>
                <c:pt idx="483" c:formatCode="yyyy/m/d;@">
                  <c:v>46128</c:v>
                </c:pt>
                <c:pt idx="484" c:formatCode="yyyy/m/d;@">
                  <c:v>46135</c:v>
                </c:pt>
                <c:pt idx="485" c:formatCode="yyyy/m/d;@">
                  <c:v>46142</c:v>
                </c:pt>
                <c:pt idx="486" c:formatCode="yyyy/m/d;@">
                  <c:v>46149</c:v>
                </c:pt>
                <c:pt idx="487" c:formatCode="yyyy/m/d;@">
                  <c:v>46156</c:v>
                </c:pt>
                <c:pt idx="488" c:formatCode="yyyy/m/d;@">
                  <c:v>46163</c:v>
                </c:pt>
                <c:pt idx="489" c:formatCode="yyyy/m/d;@">
                  <c:v>46170</c:v>
                </c:pt>
                <c:pt idx="490" c:formatCode="yyyy/m/d;@">
                  <c:v>46177</c:v>
                </c:pt>
                <c:pt idx="491" c:formatCode="yyyy/m/d;@">
                  <c:v>46184</c:v>
                </c:pt>
                <c:pt idx="492" c:formatCode="yyyy/m/d;@">
                  <c:v>46191</c:v>
                </c:pt>
                <c:pt idx="493" c:formatCode="yyyy/m/d;@">
                  <c:v>46198</c:v>
                </c:pt>
                <c:pt idx="494" c:formatCode="yyyy/m/d;@">
                  <c:v>46205</c:v>
                </c:pt>
                <c:pt idx="495" c:formatCode="yyyy/m/d;@">
                  <c:v>46212</c:v>
                </c:pt>
                <c:pt idx="496" c:formatCode="yyyy/m/d;@">
                  <c:v>46219</c:v>
                </c:pt>
                <c:pt idx="497" c:formatCode="yyyy/m/d;@">
                  <c:v>46226</c:v>
                </c:pt>
                <c:pt idx="498" c:formatCode="yyyy/m/d;@">
                  <c:v>46233</c:v>
                </c:pt>
                <c:pt idx="499" c:formatCode="yyyy/m/d;@">
                  <c:v>46240</c:v>
                </c:pt>
                <c:pt idx="500" c:formatCode="yyyy/m/d;@">
                  <c:v>46247</c:v>
                </c:pt>
                <c:pt idx="501" c:formatCode="yyyy/m/d;@">
                  <c:v>46254</c:v>
                </c:pt>
                <c:pt idx="502" c:formatCode="yyyy/m/d;@">
                  <c:v>46261</c:v>
                </c:pt>
                <c:pt idx="503" c:formatCode="yyyy/m/d;@">
                  <c:v>46268</c:v>
                </c:pt>
                <c:pt idx="504" c:formatCode="yyyy/m/d;@">
                  <c:v>46275</c:v>
                </c:pt>
                <c:pt idx="505" c:formatCode="yyyy/m/d;@">
                  <c:v>46282</c:v>
                </c:pt>
                <c:pt idx="506" c:formatCode="yyyy/m/d;@">
                  <c:v>46289</c:v>
                </c:pt>
              </c:numCache>
            </c:numRef>
          </c:cat>
          <c:val>
            <c:numRef>
              <c:f>冻品库存多样本!$B$3:$B$1511</c:f>
              <c:numCache>
                <c:formatCode>0.00%</c:formatCode>
                <c:ptCount val="1509"/>
                <c:pt idx="0">
                  <c:v>0.3341</c:v>
                </c:pt>
                <c:pt idx="1">
                  <c:v>0.3344</c:v>
                </c:pt>
                <c:pt idx="2">
                  <c:v>0.3707</c:v>
                </c:pt>
                <c:pt idx="3">
                  <c:v>0.3354</c:v>
                </c:pt>
                <c:pt idx="4">
                  <c:v>0.3305</c:v>
                </c:pt>
                <c:pt idx="5">
                  <c:v>0.3</c:v>
                </c:pt>
                <c:pt idx="6">
                  <c:v>0.2752</c:v>
                </c:pt>
                <c:pt idx="7">
                  <c:v>0.2607</c:v>
                </c:pt>
                <c:pt idx="8">
                  <c:v>0.2381</c:v>
                </c:pt>
                <c:pt idx="9">
                  <c:v>0.2369</c:v>
                </c:pt>
                <c:pt idx="10">
                  <c:v>0.2404</c:v>
                </c:pt>
                <c:pt idx="11">
                  <c:v>0.2347</c:v>
                </c:pt>
                <c:pt idx="12">
                  <c:v>0.2511</c:v>
                </c:pt>
                <c:pt idx="13">
                  <c:v>0.4001</c:v>
                </c:pt>
                <c:pt idx="14">
                  <c:v>0.4222</c:v>
                </c:pt>
                <c:pt idx="15">
                  <c:v>0.4447</c:v>
                </c:pt>
                <c:pt idx="16">
                  <c:v>0.4556</c:v>
                </c:pt>
                <c:pt idx="17">
                  <c:v>0.4617</c:v>
                </c:pt>
                <c:pt idx="18">
                  <c:v>0.463</c:v>
                </c:pt>
                <c:pt idx="19">
                  <c:v>0.4427</c:v>
                </c:pt>
                <c:pt idx="20">
                  <c:v>0.444</c:v>
                </c:pt>
                <c:pt idx="21">
                  <c:v>0.4498</c:v>
                </c:pt>
                <c:pt idx="22">
                  <c:v>0.4849</c:v>
                </c:pt>
                <c:pt idx="23">
                  <c:v>0.4337</c:v>
                </c:pt>
                <c:pt idx="24">
                  <c:v>0.418</c:v>
                </c:pt>
                <c:pt idx="25">
                  <c:v>0.409</c:v>
                </c:pt>
                <c:pt idx="26">
                  <c:v>0.4252</c:v>
                </c:pt>
                <c:pt idx="27">
                  <c:v>0.4003</c:v>
                </c:pt>
                <c:pt idx="28">
                  <c:v>0.4035</c:v>
                </c:pt>
                <c:pt idx="29">
                  <c:v>0.3953</c:v>
                </c:pt>
                <c:pt idx="30">
                  <c:v>0.4236</c:v>
                </c:pt>
                <c:pt idx="31">
                  <c:v>0.4037</c:v>
                </c:pt>
                <c:pt idx="32">
                  <c:v>0.3988</c:v>
                </c:pt>
                <c:pt idx="33">
                  <c:v>0.4048</c:v>
                </c:pt>
                <c:pt idx="34">
                  <c:v>0.4163</c:v>
                </c:pt>
                <c:pt idx="35">
                  <c:v>0.384</c:v>
                </c:pt>
                <c:pt idx="36">
                  <c:v>0.4184</c:v>
                </c:pt>
                <c:pt idx="37">
                  <c:v>0.3972</c:v>
                </c:pt>
                <c:pt idx="38">
                  <c:v>0.3758</c:v>
                </c:pt>
                <c:pt idx="39">
                  <c:v>0.3746</c:v>
                </c:pt>
                <c:pt idx="40">
                  <c:v>0.3744</c:v>
                </c:pt>
                <c:pt idx="41">
                  <c:v>0.3712</c:v>
                </c:pt>
                <c:pt idx="42">
                  <c:v>0.3666</c:v>
                </c:pt>
                <c:pt idx="43">
                  <c:v>0.3574</c:v>
                </c:pt>
                <c:pt idx="44">
                  <c:v>0.3536</c:v>
                </c:pt>
                <c:pt idx="45">
                  <c:v>0.3498</c:v>
                </c:pt>
                <c:pt idx="46">
                  <c:v>0.3504</c:v>
                </c:pt>
                <c:pt idx="47">
                  <c:v>0.3403</c:v>
                </c:pt>
                <c:pt idx="48">
                  <c:v>0.3426</c:v>
                </c:pt>
                <c:pt idx="49">
                  <c:v>0.326</c:v>
                </c:pt>
                <c:pt idx="50">
                  <c:v>0.2968</c:v>
                </c:pt>
                <c:pt idx="51">
                  <c:v>0.2764</c:v>
                </c:pt>
                <c:pt idx="52">
                  <c:v>0.196</c:v>
                </c:pt>
                <c:pt idx="53">
                  <c:v>0.1476</c:v>
                </c:pt>
                <c:pt idx="54">
                  <c:v>0.1102</c:v>
                </c:pt>
                <c:pt idx="55">
                  <c:v>0.0996</c:v>
                </c:pt>
                <c:pt idx="56">
                  <c:v>0.0821</c:v>
                </c:pt>
                <c:pt idx="57">
                  <c:v>0.0708</c:v>
                </c:pt>
                <c:pt idx="58">
                  <c:v>0.0733</c:v>
                </c:pt>
                <c:pt idx="59">
                  <c:v>0.0699</c:v>
                </c:pt>
                <c:pt idx="60">
                  <c:v>0.08</c:v>
                </c:pt>
                <c:pt idx="61">
                  <c:v>0.0927</c:v>
                </c:pt>
                <c:pt idx="62">
                  <c:v>0.0814</c:v>
                </c:pt>
                <c:pt idx="63">
                  <c:v>0.1002</c:v>
                </c:pt>
                <c:pt idx="64">
                  <c:v>0.1007</c:v>
                </c:pt>
                <c:pt idx="65">
                  <c:v>0.0971</c:v>
                </c:pt>
                <c:pt idx="66">
                  <c:v>0.1276</c:v>
                </c:pt>
                <c:pt idx="67">
                  <c:v>0.1422</c:v>
                </c:pt>
                <c:pt idx="68">
                  <c:v>0.1857</c:v>
                </c:pt>
                <c:pt idx="69">
                  <c:v>0.201</c:v>
                </c:pt>
                <c:pt idx="70">
                  <c:v>0.1853</c:v>
                </c:pt>
                <c:pt idx="71">
                  <c:v>0.1745</c:v>
                </c:pt>
                <c:pt idx="72">
                  <c:v>0.1775</c:v>
                </c:pt>
                <c:pt idx="73">
                  <c:v>0.173</c:v>
                </c:pt>
                <c:pt idx="74">
                  <c:v>0.1625</c:v>
                </c:pt>
                <c:pt idx="75">
                  <c:v>0.1531</c:v>
                </c:pt>
                <c:pt idx="76">
                  <c:v>0.1161</c:v>
                </c:pt>
                <c:pt idx="77">
                  <c:v>0.1073</c:v>
                </c:pt>
                <c:pt idx="78">
                  <c:v>0.1696</c:v>
                </c:pt>
                <c:pt idx="79">
                  <c:v>0.199</c:v>
                </c:pt>
                <c:pt idx="80">
                  <c:v>0.2143</c:v>
                </c:pt>
                <c:pt idx="81">
                  <c:v>0.2201</c:v>
                </c:pt>
                <c:pt idx="82">
                  <c:v>0.2227</c:v>
                </c:pt>
                <c:pt idx="83">
                  <c:v>0.225</c:v>
                </c:pt>
                <c:pt idx="84">
                  <c:v>0.2293</c:v>
                </c:pt>
                <c:pt idx="85">
                  <c:v>0.2305</c:v>
                </c:pt>
                <c:pt idx="86">
                  <c:v>0.2207</c:v>
                </c:pt>
                <c:pt idx="87">
                  <c:v>0.2172</c:v>
                </c:pt>
                <c:pt idx="88">
                  <c:v>0.184</c:v>
                </c:pt>
                <c:pt idx="89">
                  <c:v>0.1617</c:v>
                </c:pt>
                <c:pt idx="90">
                  <c:v>0.1659</c:v>
                </c:pt>
                <c:pt idx="91">
                  <c:v>0.1748</c:v>
                </c:pt>
                <c:pt idx="92">
                  <c:v>0.2389</c:v>
                </c:pt>
                <c:pt idx="93">
                  <c:v>0.2492</c:v>
                </c:pt>
                <c:pt idx="94">
                  <c:v>0.234</c:v>
                </c:pt>
                <c:pt idx="95">
                  <c:v>0.2216</c:v>
                </c:pt>
                <c:pt idx="96">
                  <c:v>0.1858</c:v>
                </c:pt>
                <c:pt idx="97">
                  <c:v>0.1596</c:v>
                </c:pt>
                <c:pt idx="98">
                  <c:v>0.1194</c:v>
                </c:pt>
                <c:pt idx="99">
                  <c:v>0.1849</c:v>
                </c:pt>
                <c:pt idx="100">
                  <c:v>0.1604</c:v>
                </c:pt>
                <c:pt idx="101">
                  <c:v>0.12</c:v>
                </c:pt>
                <c:pt idx="102">
                  <c:v>0.0905</c:v>
                </c:pt>
                <c:pt idx="103">
                  <c:v>0.0905</c:v>
                </c:pt>
                <c:pt idx="104">
                  <c:v>0.0899</c:v>
                </c:pt>
                <c:pt idx="105">
                  <c:v>0.0895</c:v>
                </c:pt>
                <c:pt idx="106">
                  <c:v>0.1013</c:v>
                </c:pt>
                <c:pt idx="107">
                  <c:v>0.1203</c:v>
                </c:pt>
                <c:pt idx="108">
                  <c:v>0.1391</c:v>
                </c:pt>
                <c:pt idx="109">
                  <c:v>0.1599</c:v>
                </c:pt>
                <c:pt idx="110">
                  <c:v>0.1901</c:v>
                </c:pt>
                <c:pt idx="111">
                  <c:v>0.1877</c:v>
                </c:pt>
                <c:pt idx="112">
                  <c:v>0.1793</c:v>
                </c:pt>
                <c:pt idx="113">
                  <c:v>0.1775</c:v>
                </c:pt>
                <c:pt idx="114">
                  <c:v>0.1543</c:v>
                </c:pt>
                <c:pt idx="115">
                  <c:v>0.1514</c:v>
                </c:pt>
                <c:pt idx="116">
                  <c:v>0.1577</c:v>
                </c:pt>
                <c:pt idx="117">
                  <c:v>0.1739</c:v>
                </c:pt>
                <c:pt idx="118">
                  <c:v>0.2081</c:v>
                </c:pt>
                <c:pt idx="119">
                  <c:v>0.2332</c:v>
                </c:pt>
                <c:pt idx="120">
                  <c:v>0.2565</c:v>
                </c:pt>
                <c:pt idx="121">
                  <c:v>0.3024</c:v>
                </c:pt>
                <c:pt idx="122">
                  <c:v>0.2859</c:v>
                </c:pt>
                <c:pt idx="123">
                  <c:v>0.2546</c:v>
                </c:pt>
                <c:pt idx="124">
                  <c:v>0.211</c:v>
                </c:pt>
                <c:pt idx="125">
                  <c:v>0.422</c:v>
                </c:pt>
                <c:pt idx="126">
                  <c:v>0.6842</c:v>
                </c:pt>
                <c:pt idx="127">
                  <c:v>0.6598</c:v>
                </c:pt>
                <c:pt idx="128">
                  <c:v>0.5276</c:v>
                </c:pt>
                <c:pt idx="129">
                  <c:v>0.5308</c:v>
                </c:pt>
                <c:pt idx="130">
                  <c:v>0.4899</c:v>
                </c:pt>
                <c:pt idx="131">
                  <c:v>0.4524</c:v>
                </c:pt>
                <c:pt idx="132">
                  <c:v>0.4092</c:v>
                </c:pt>
                <c:pt idx="133">
                  <c:v>0.3984</c:v>
                </c:pt>
                <c:pt idx="134">
                  <c:v>0.3958</c:v>
                </c:pt>
                <c:pt idx="135">
                  <c:v>0.3764</c:v>
                </c:pt>
                <c:pt idx="136">
                  <c:v>0.368</c:v>
                </c:pt>
                <c:pt idx="137">
                  <c:v>0.3796</c:v>
                </c:pt>
                <c:pt idx="138">
                  <c:v>0.36</c:v>
                </c:pt>
                <c:pt idx="139">
                  <c:v>0.3505</c:v>
                </c:pt>
                <c:pt idx="140">
                  <c:v>0.3248</c:v>
                </c:pt>
                <c:pt idx="141">
                  <c:v>0.3162</c:v>
                </c:pt>
                <c:pt idx="142">
                  <c:v>0.315</c:v>
                </c:pt>
                <c:pt idx="143">
                  <c:v>0.311</c:v>
                </c:pt>
                <c:pt idx="144">
                  <c:v>0.2992</c:v>
                </c:pt>
                <c:pt idx="145">
                  <c:v>0.27</c:v>
                </c:pt>
                <c:pt idx="146">
                  <c:v>0.262</c:v>
                </c:pt>
                <c:pt idx="147">
                  <c:v>0.2596</c:v>
                </c:pt>
                <c:pt idx="148">
                  <c:v>0.2484</c:v>
                </c:pt>
                <c:pt idx="149">
                  <c:v>0.2386</c:v>
                </c:pt>
                <c:pt idx="150">
                  <c:v>0.2288</c:v>
                </c:pt>
                <c:pt idx="151">
                  <c:v>0.2226</c:v>
                </c:pt>
                <c:pt idx="152">
                  <c:v>0.2182</c:v>
                </c:pt>
                <c:pt idx="153">
                  <c:v>0.222</c:v>
                </c:pt>
                <c:pt idx="154">
                  <c:v>0.2202</c:v>
                </c:pt>
                <c:pt idx="155">
                  <c:v>0.2191</c:v>
                </c:pt>
                <c:pt idx="156">
                  <c:v>0.201</c:v>
                </c:pt>
                <c:pt idx="157">
                  <c:v>0.1958</c:v>
                </c:pt>
                <c:pt idx="158">
                  <c:v>0.19</c:v>
                </c:pt>
                <c:pt idx="159">
                  <c:v>0.1955</c:v>
                </c:pt>
                <c:pt idx="160">
                  <c:v>0.1938</c:v>
                </c:pt>
                <c:pt idx="161">
                  <c:v>0.1994</c:v>
                </c:pt>
                <c:pt idx="162">
                  <c:v>0.2092</c:v>
                </c:pt>
                <c:pt idx="163">
                  <c:v>0.2176</c:v>
                </c:pt>
                <c:pt idx="164">
                  <c:v>0.22</c:v>
                </c:pt>
                <c:pt idx="165">
                  <c:v>0.2296</c:v>
                </c:pt>
                <c:pt idx="166">
                  <c:v>0.2308</c:v>
                </c:pt>
                <c:pt idx="167">
                  <c:v>0.2437</c:v>
                </c:pt>
                <c:pt idx="168">
                  <c:v>0.2218</c:v>
                </c:pt>
                <c:pt idx="169">
                  <c:v>0.2176</c:v>
                </c:pt>
                <c:pt idx="170">
                  <c:v>0.2048</c:v>
                </c:pt>
                <c:pt idx="171">
                  <c:v>0.2012</c:v>
                </c:pt>
                <c:pt idx="172">
                  <c:v>0.1924</c:v>
                </c:pt>
                <c:pt idx="173">
                  <c:v>0.1856</c:v>
                </c:pt>
                <c:pt idx="174">
                  <c:v>0.1888</c:v>
                </c:pt>
                <c:pt idx="175">
                  <c:v>0.1906</c:v>
                </c:pt>
                <c:pt idx="176">
                  <c:v>0.1786</c:v>
                </c:pt>
                <c:pt idx="177">
                  <c:v>0.1712</c:v>
                </c:pt>
                <c:pt idx="178">
                  <c:v>0.163</c:v>
                </c:pt>
                <c:pt idx="179">
                  <c:v>0.1558</c:v>
                </c:pt>
                <c:pt idx="180">
                  <c:v>0.1594</c:v>
                </c:pt>
                <c:pt idx="181">
                  <c:v>0.16</c:v>
                </c:pt>
                <c:pt idx="182">
                  <c:v>0.1559</c:v>
                </c:pt>
                <c:pt idx="183">
                  <c:v>0.1595</c:v>
                </c:pt>
                <c:pt idx="184">
                  <c:v>0.1576</c:v>
                </c:pt>
                <c:pt idx="185">
                  <c:v>0.1464</c:v>
                </c:pt>
                <c:pt idx="186">
                  <c:v>0.1623</c:v>
                </c:pt>
                <c:pt idx="187">
                  <c:v>0.1526</c:v>
                </c:pt>
                <c:pt idx="188">
                  <c:v>0.146</c:v>
                </c:pt>
                <c:pt idx="189">
                  <c:v>0.138</c:v>
                </c:pt>
                <c:pt idx="190">
                  <c:v>0.138</c:v>
                </c:pt>
                <c:pt idx="191">
                  <c:v>0.1324</c:v>
                </c:pt>
                <c:pt idx="192">
                  <c:v>0.129</c:v>
                </c:pt>
                <c:pt idx="193">
                  <c:v>0.129</c:v>
                </c:pt>
                <c:pt idx="194">
                  <c:v>0.1392</c:v>
                </c:pt>
                <c:pt idx="195">
                  <c:v>0.138</c:v>
                </c:pt>
                <c:pt idx="196">
                  <c:v>0.14</c:v>
                </c:pt>
                <c:pt idx="197">
                  <c:v>0.1352</c:v>
                </c:pt>
                <c:pt idx="198">
                  <c:v>0.132</c:v>
                </c:pt>
                <c:pt idx="199">
                  <c:v>0.132</c:v>
                </c:pt>
                <c:pt idx="200">
                  <c:v>0.1436</c:v>
                </c:pt>
                <c:pt idx="201">
                  <c:v>0.1392</c:v>
                </c:pt>
                <c:pt idx="202">
                  <c:v>0.136</c:v>
                </c:pt>
                <c:pt idx="203">
                  <c:v>0.131</c:v>
                </c:pt>
                <c:pt idx="204">
                  <c:v>0.127</c:v>
                </c:pt>
                <c:pt idx="205">
                  <c:v>0.1264</c:v>
                </c:pt>
                <c:pt idx="206">
                  <c:v>0.126</c:v>
                </c:pt>
                <c:pt idx="207">
                  <c:v>0.124</c:v>
                </c:pt>
                <c:pt idx="208">
                  <c:v>0.1406</c:v>
                </c:pt>
                <c:pt idx="209">
                  <c:v>0.149</c:v>
                </c:pt>
                <c:pt idx="210">
                  <c:v>0.141</c:v>
                </c:pt>
                <c:pt idx="211">
                  <c:v>0.14</c:v>
                </c:pt>
                <c:pt idx="212">
                  <c:v>0.136</c:v>
                </c:pt>
                <c:pt idx="213">
                  <c:v>0.1338</c:v>
                </c:pt>
                <c:pt idx="214">
                  <c:v>0.1318</c:v>
                </c:pt>
                <c:pt idx="215">
                  <c:v>0.129</c:v>
                </c:pt>
                <c:pt idx="216">
                  <c:v>0.12</c:v>
                </c:pt>
                <c:pt idx="217">
                  <c:v>0.108</c:v>
                </c:pt>
                <c:pt idx="218">
                  <c:v>0.112</c:v>
                </c:pt>
                <c:pt idx="219">
                  <c:v>0.098</c:v>
                </c:pt>
                <c:pt idx="220">
                  <c:v>0.095</c:v>
                </c:pt>
                <c:pt idx="221">
                  <c:v>0.101</c:v>
                </c:pt>
                <c:pt idx="222">
                  <c:v>0.1204</c:v>
                </c:pt>
                <c:pt idx="223">
                  <c:v>0.1276</c:v>
                </c:pt>
                <c:pt idx="224">
                  <c:v>0.149</c:v>
                </c:pt>
                <c:pt idx="225">
                  <c:v>0.192</c:v>
                </c:pt>
                <c:pt idx="226">
                  <c:v>0.208</c:v>
                </c:pt>
                <c:pt idx="227">
                  <c:v>0.228</c:v>
                </c:pt>
                <c:pt idx="228">
                  <c:v>0.248</c:v>
                </c:pt>
                <c:pt idx="229">
                  <c:v>0.228</c:v>
                </c:pt>
                <c:pt idx="230">
                  <c:v>0.26</c:v>
                </c:pt>
                <c:pt idx="231">
                  <c:v>0.268</c:v>
                </c:pt>
                <c:pt idx="232">
                  <c:v>0.26</c:v>
                </c:pt>
                <c:pt idx="233">
                  <c:v>0.282</c:v>
                </c:pt>
                <c:pt idx="234">
                  <c:v>0.276</c:v>
                </c:pt>
                <c:pt idx="235">
                  <c:v>0.288</c:v>
                </c:pt>
                <c:pt idx="236">
                  <c:v>0.302</c:v>
                </c:pt>
                <c:pt idx="237">
                  <c:v>0.3303</c:v>
                </c:pt>
                <c:pt idx="238">
                  <c:v>0.3306</c:v>
                </c:pt>
                <c:pt idx="239">
                  <c:v>0.3158</c:v>
                </c:pt>
                <c:pt idx="240">
                  <c:v>0.3033</c:v>
                </c:pt>
                <c:pt idx="241">
                  <c:v>0.305</c:v>
                </c:pt>
                <c:pt idx="242">
                  <c:v>0.3033</c:v>
                </c:pt>
                <c:pt idx="243">
                  <c:v>0.3005</c:v>
                </c:pt>
                <c:pt idx="244">
                  <c:v>0.3017</c:v>
                </c:pt>
                <c:pt idx="245">
                  <c:v>0.3167</c:v>
                </c:pt>
                <c:pt idx="246">
                  <c:v>0.3217</c:v>
                </c:pt>
                <c:pt idx="247">
                  <c:v>0.31</c:v>
                </c:pt>
                <c:pt idx="248">
                  <c:v>0.3083</c:v>
                </c:pt>
                <c:pt idx="249">
                  <c:v>0.3095</c:v>
                </c:pt>
                <c:pt idx="250">
                  <c:v>0.3133</c:v>
                </c:pt>
                <c:pt idx="251">
                  <c:v>0.315</c:v>
                </c:pt>
                <c:pt idx="252">
                  <c:v>0.2842</c:v>
                </c:pt>
                <c:pt idx="253">
                  <c:v>0.2805</c:v>
                </c:pt>
                <c:pt idx="254">
                  <c:v>0.2532</c:v>
                </c:pt>
                <c:pt idx="255">
                  <c:v>0.2407</c:v>
                </c:pt>
                <c:pt idx="256">
                  <c:v>0.23</c:v>
                </c:pt>
                <c:pt idx="257">
                  <c:v>0.235</c:v>
                </c:pt>
                <c:pt idx="258">
                  <c:v>0.2138</c:v>
                </c:pt>
                <c:pt idx="259">
                  <c:v>0.205</c:v>
                </c:pt>
                <c:pt idx="260">
                  <c:v>0.1988</c:v>
                </c:pt>
                <c:pt idx="261">
                  <c:v>0.1951</c:v>
                </c:pt>
                <c:pt idx="262">
                  <c:v>0.1974</c:v>
                </c:pt>
                <c:pt idx="263">
                  <c:v>0.1812</c:v>
                </c:pt>
                <c:pt idx="264">
                  <c:v>0.1767</c:v>
                </c:pt>
                <c:pt idx="265">
                  <c:v>0.1802</c:v>
                </c:pt>
                <c:pt idx="266">
                  <c:v>0.175</c:v>
                </c:pt>
                <c:pt idx="267">
                  <c:v>0.1728</c:v>
                </c:pt>
                <c:pt idx="268">
                  <c:v>0.165</c:v>
                </c:pt>
                <c:pt idx="269">
                  <c:v>0.1623</c:v>
                </c:pt>
                <c:pt idx="270">
                  <c:v>0.163</c:v>
                </c:pt>
                <c:pt idx="271">
                  <c:v>0.1592</c:v>
                </c:pt>
                <c:pt idx="272">
                  <c:v>0.1575</c:v>
                </c:pt>
                <c:pt idx="273">
                  <c:v>0.1538</c:v>
                </c:pt>
                <c:pt idx="274">
                  <c:v>0.1598</c:v>
                </c:pt>
                <c:pt idx="275">
                  <c:v>0.1618</c:v>
                </c:pt>
                <c:pt idx="276">
                  <c:v>0.1623</c:v>
                </c:pt>
                <c:pt idx="277">
                  <c:v>0.1763</c:v>
                </c:pt>
                <c:pt idx="278">
                  <c:v>0.178</c:v>
                </c:pt>
                <c:pt idx="279">
                  <c:v>0.1795</c:v>
                </c:pt>
                <c:pt idx="280">
                  <c:v>0.189</c:v>
                </c:pt>
                <c:pt idx="281">
                  <c:v>0.1913</c:v>
                </c:pt>
                <c:pt idx="282">
                  <c:v>0.1942</c:v>
                </c:pt>
                <c:pt idx="283">
                  <c:v>0.1858</c:v>
                </c:pt>
                <c:pt idx="284">
                  <c:v>0.1833</c:v>
                </c:pt>
                <c:pt idx="285">
                  <c:v>0.1848</c:v>
                </c:pt>
                <c:pt idx="286">
                  <c:v>0.1765</c:v>
                </c:pt>
                <c:pt idx="287">
                  <c:v>0.174</c:v>
                </c:pt>
                <c:pt idx="288">
                  <c:v>0.1733</c:v>
                </c:pt>
                <c:pt idx="289">
                  <c:v>0.1772</c:v>
                </c:pt>
                <c:pt idx="290">
                  <c:v>0.1785</c:v>
                </c:pt>
                <c:pt idx="291">
                  <c:v>0.1802</c:v>
                </c:pt>
                <c:pt idx="292">
                  <c:v>0.1807</c:v>
                </c:pt>
                <c:pt idx="293">
                  <c:v>0.1743</c:v>
                </c:pt>
                <c:pt idx="294">
                  <c:v>0.1725</c:v>
                </c:pt>
                <c:pt idx="295">
                  <c:v>0.173</c:v>
                </c:pt>
                <c:pt idx="296">
                  <c:v>0.1722</c:v>
                </c:pt>
                <c:pt idx="297">
                  <c:v>0.1652</c:v>
                </c:pt>
                <c:pt idx="298">
                  <c:v>0.1633</c:v>
                </c:pt>
                <c:pt idx="299">
                  <c:v>0.1592</c:v>
                </c:pt>
                <c:pt idx="300">
                  <c:v>0.1615</c:v>
                </c:pt>
                <c:pt idx="301">
                  <c:v>0.1597</c:v>
                </c:pt>
                <c:pt idx="302">
                  <c:v>0.157</c:v>
                </c:pt>
                <c:pt idx="303">
                  <c:v>0.1538</c:v>
                </c:pt>
                <c:pt idx="304">
                  <c:v>0.1517</c:v>
                </c:pt>
                <c:pt idx="305">
                  <c:v>0.145</c:v>
                </c:pt>
                <c:pt idx="306">
                  <c:v>0.1428</c:v>
                </c:pt>
                <c:pt idx="307">
                  <c:v>0.1378</c:v>
                </c:pt>
                <c:pt idx="308">
                  <c:v>0.1363</c:v>
                </c:pt>
                <c:pt idx="309">
                  <c:v>0.1358</c:v>
                </c:pt>
                <c:pt idx="310">
                  <c:v>0.1355</c:v>
                </c:pt>
                <c:pt idx="311">
                  <c:v>0.1408</c:v>
                </c:pt>
                <c:pt idx="312">
                  <c:v>0.1393</c:v>
                </c:pt>
                <c:pt idx="313">
                  <c:v>0.1378</c:v>
                </c:pt>
                <c:pt idx="314">
                  <c:v>0.1368</c:v>
                </c:pt>
                <c:pt idx="315">
                  <c:v>0.1325</c:v>
                </c:pt>
                <c:pt idx="316">
                  <c:v>0.1325</c:v>
                </c:pt>
                <c:pt idx="317">
                  <c:v>0.1297</c:v>
                </c:pt>
                <c:pt idx="318">
                  <c:v>0.1298</c:v>
                </c:pt>
                <c:pt idx="319">
                  <c:v>0.1292</c:v>
                </c:pt>
                <c:pt idx="320">
                  <c:v>0.1343</c:v>
                </c:pt>
                <c:pt idx="321">
                  <c:v>0.1333</c:v>
                </c:pt>
                <c:pt idx="322">
                  <c:v>0.1405</c:v>
                </c:pt>
                <c:pt idx="323">
                  <c:v>0.1475</c:v>
                </c:pt>
                <c:pt idx="324">
                  <c:v>0.1547</c:v>
                </c:pt>
                <c:pt idx="325">
                  <c:v>0.1772</c:v>
                </c:pt>
                <c:pt idx="326">
                  <c:v>0.1858</c:v>
                </c:pt>
                <c:pt idx="327">
                  <c:v>0.1907</c:v>
                </c:pt>
                <c:pt idx="328">
                  <c:v>0.1972</c:v>
                </c:pt>
                <c:pt idx="329">
                  <c:v>0.2137</c:v>
                </c:pt>
                <c:pt idx="330">
                  <c:v>0.2303</c:v>
                </c:pt>
                <c:pt idx="331">
                  <c:v>0.2333</c:v>
                </c:pt>
                <c:pt idx="332">
                  <c:v>0.2432</c:v>
                </c:pt>
                <c:pt idx="333">
                  <c:v>0.2563</c:v>
                </c:pt>
                <c:pt idx="334">
                  <c:v>0.255</c:v>
                </c:pt>
                <c:pt idx="335">
                  <c:v>0.2562</c:v>
                </c:pt>
                <c:pt idx="336">
                  <c:v>0.2528</c:v>
                </c:pt>
                <c:pt idx="337">
                  <c:v>0.2495</c:v>
                </c:pt>
                <c:pt idx="338">
                  <c:v>0.2467</c:v>
                </c:pt>
                <c:pt idx="339">
                  <c:v>0.242</c:v>
                </c:pt>
                <c:pt idx="340">
                  <c:v>0.2593</c:v>
                </c:pt>
                <c:pt idx="341">
                  <c:v>0.2547</c:v>
                </c:pt>
                <c:pt idx="342">
                  <c:v>0.2508</c:v>
                </c:pt>
                <c:pt idx="343">
                  <c:v>0.2497</c:v>
                </c:pt>
                <c:pt idx="344">
                  <c:v>0.2463</c:v>
                </c:pt>
                <c:pt idx="345">
                  <c:v>0.2367</c:v>
                </c:pt>
                <c:pt idx="346">
                  <c:v>0.2222</c:v>
                </c:pt>
                <c:pt idx="347">
                  <c:v>0.2132</c:v>
                </c:pt>
                <c:pt idx="348">
                  <c:v>0.205</c:v>
                </c:pt>
                <c:pt idx="349">
                  <c:v>0.2023</c:v>
                </c:pt>
                <c:pt idx="350">
                  <c:v>0.2008</c:v>
                </c:pt>
                <c:pt idx="351">
                  <c:v>0.1983</c:v>
                </c:pt>
                <c:pt idx="352">
                  <c:v>0.198</c:v>
                </c:pt>
                <c:pt idx="353">
                  <c:v>0.1956</c:v>
                </c:pt>
                <c:pt idx="354">
                  <c:v>0.1902</c:v>
                </c:pt>
                <c:pt idx="355">
                  <c:v>0.1875</c:v>
                </c:pt>
                <c:pt idx="356">
                  <c:v>0.1862</c:v>
                </c:pt>
                <c:pt idx="357">
                  <c:v>0.1858</c:v>
                </c:pt>
                <c:pt idx="358">
                  <c:v>0.186</c:v>
                </c:pt>
                <c:pt idx="359">
                  <c:v>0.1885</c:v>
                </c:pt>
                <c:pt idx="360">
                  <c:v>0.1962</c:v>
                </c:pt>
                <c:pt idx="361">
                  <c:v>0.205</c:v>
                </c:pt>
                <c:pt idx="362">
                  <c:v>0.2075</c:v>
                </c:pt>
                <c:pt idx="363">
                  <c:v>0.207</c:v>
                </c:pt>
                <c:pt idx="364">
                  <c:v>0.2093</c:v>
                </c:pt>
                <c:pt idx="365">
                  <c:v>0.2077</c:v>
                </c:pt>
                <c:pt idx="366">
                  <c:v>0.2088</c:v>
                </c:pt>
                <c:pt idx="367">
                  <c:v>0.2057</c:v>
                </c:pt>
                <c:pt idx="368">
                  <c:v>0.2048</c:v>
                </c:pt>
                <c:pt idx="369">
                  <c:v>0.2017</c:v>
                </c:pt>
                <c:pt idx="370">
                  <c:v>0.1953</c:v>
                </c:pt>
                <c:pt idx="371">
                  <c:v>0.193</c:v>
                </c:pt>
                <c:pt idx="372">
                  <c:v>0.1905</c:v>
                </c:pt>
                <c:pt idx="373">
                  <c:v>0.1888</c:v>
                </c:pt>
                <c:pt idx="374">
                  <c:v>0.1878</c:v>
                </c:pt>
                <c:pt idx="375">
                  <c:v>0.1737</c:v>
                </c:pt>
                <c:pt idx="376">
                  <c:v>0.1788</c:v>
                </c:pt>
                <c:pt idx="377">
                  <c:v>0.1813</c:v>
                </c:pt>
                <c:pt idx="378">
                  <c:v>0.1845</c:v>
                </c:pt>
                <c:pt idx="379">
                  <c:v>0.1863</c:v>
                </c:pt>
                <c:pt idx="380">
                  <c:v>0.1835</c:v>
                </c:pt>
                <c:pt idx="381">
                  <c:v>0.1783</c:v>
                </c:pt>
                <c:pt idx="382">
                  <c:v>0.1745</c:v>
                </c:pt>
                <c:pt idx="383">
                  <c:v>0.173</c:v>
                </c:pt>
                <c:pt idx="384">
                  <c:v>0.173</c:v>
                </c:pt>
                <c:pt idx="385">
                  <c:v>0.1718</c:v>
                </c:pt>
                <c:pt idx="386">
                  <c:v>0.1713</c:v>
                </c:pt>
                <c:pt idx="387">
                  <c:v>0.1718</c:v>
                </c:pt>
                <c:pt idx="388">
                  <c:v>0.1717</c:v>
                </c:pt>
                <c:pt idx="389">
                  <c:v>0.1667</c:v>
                </c:pt>
                <c:pt idx="390">
                  <c:v>0.1648</c:v>
                </c:pt>
                <c:pt idx="391">
                  <c:v>0.1655</c:v>
                </c:pt>
                <c:pt idx="392">
                  <c:v>0.1664</c:v>
                </c:pt>
                <c:pt idx="393">
                  <c:v>0.1679</c:v>
                </c:pt>
                <c:pt idx="394">
                  <c:v>0.1701</c:v>
                </c:pt>
                <c:pt idx="395">
                  <c:v>0.1705</c:v>
                </c:pt>
                <c:pt idx="396">
                  <c:v>0.1688</c:v>
                </c:pt>
                <c:pt idx="397">
                  <c:v>0.1674</c:v>
                </c:pt>
                <c:pt idx="398">
                  <c:v>0.1666</c:v>
                </c:pt>
                <c:pt idx="399">
                  <c:v>0.1656</c:v>
                </c:pt>
                <c:pt idx="400">
                  <c:v>0.1638</c:v>
                </c:pt>
                <c:pt idx="401">
                  <c:v>0.1589</c:v>
                </c:pt>
                <c:pt idx="402">
                  <c:v>0.1597</c:v>
                </c:pt>
                <c:pt idx="403">
                  <c:v>0.158</c:v>
                </c:pt>
                <c:pt idx="404">
                  <c:v>0.1578</c:v>
                </c:pt>
                <c:pt idx="405">
                  <c:v>0.1557</c:v>
                </c:pt>
                <c:pt idx="406">
                  <c:v>0.1584</c:v>
                </c:pt>
                <c:pt idx="407">
                  <c:v>0.1607</c:v>
                </c:pt>
                <c:pt idx="408">
                  <c:v>0.1605</c:v>
                </c:pt>
                <c:pt idx="409">
                  <c:v>0.1603</c:v>
                </c:pt>
                <c:pt idx="410">
                  <c:v>0.1596</c:v>
                </c:pt>
                <c:pt idx="411">
                  <c:v>0.1597</c:v>
                </c:pt>
                <c:pt idx="412">
                  <c:v>0.1592</c:v>
                </c:pt>
                <c:pt idx="413">
                  <c:v>0.1593</c:v>
                </c:pt>
                <c:pt idx="414">
                  <c:v>0.1588</c:v>
                </c:pt>
                <c:pt idx="415">
                  <c:v>0.1582</c:v>
                </c:pt>
                <c:pt idx="416">
                  <c:v>0.1556</c:v>
                </c:pt>
                <c:pt idx="417">
                  <c:v>0.1501</c:v>
                </c:pt>
                <c:pt idx="418">
                  <c:v>0.1505</c:v>
                </c:pt>
                <c:pt idx="419">
                  <c:v>0.1496</c:v>
                </c:pt>
                <c:pt idx="420">
                  <c:v>0.1474</c:v>
                </c:pt>
                <c:pt idx="421">
                  <c:v>0.1467</c:v>
                </c:pt>
                <c:pt idx="422">
                  <c:v>0.145</c:v>
                </c:pt>
                <c:pt idx="423">
                  <c:v>0.1447</c:v>
                </c:pt>
                <c:pt idx="424">
                  <c:v>0.1457</c:v>
                </c:pt>
                <c:pt idx="425">
                  <c:v>0.1472</c:v>
                </c:pt>
                <c:pt idx="426">
                  <c:v>0.1503</c:v>
                </c:pt>
                <c:pt idx="427">
                  <c:v>0.1558</c:v>
                </c:pt>
                <c:pt idx="428">
                  <c:v>0.1606</c:v>
                </c:pt>
                <c:pt idx="429">
                  <c:v>0.1659</c:v>
                </c:pt>
                <c:pt idx="430">
                  <c:v>0.1685</c:v>
                </c:pt>
                <c:pt idx="431">
                  <c:v>0.1704</c:v>
                </c:pt>
                <c:pt idx="432">
                  <c:v>0.1716</c:v>
                </c:pt>
                <c:pt idx="433">
                  <c:v>0.1713</c:v>
                </c:pt>
                <c:pt idx="434">
                  <c:v>0.1702</c:v>
                </c:pt>
                <c:pt idx="435">
                  <c:v>0.1684</c:v>
                </c:pt>
                <c:pt idx="436">
                  <c:v>0.165</c:v>
                </c:pt>
                <c:pt idx="437">
                  <c:v>0.1638</c:v>
                </c:pt>
                <c:pt idx="438">
                  <c:v>0.1633</c:v>
                </c:pt>
                <c:pt idx="439">
                  <c:v>0.1621</c:v>
                </c:pt>
                <c:pt idx="440">
                  <c:v>0.1625</c:v>
                </c:pt>
                <c:pt idx="441">
                  <c:v>0.1634</c:v>
                </c:pt>
                <c:pt idx="442">
                  <c:v>0.1649</c:v>
                </c:pt>
                <c:pt idx="443">
                  <c:v>0.1657</c:v>
                </c:pt>
                <c:pt idx="444">
                  <c:v>0.1667</c:v>
                </c:pt>
                <c:pt idx="445">
                  <c:v>0.1678</c:v>
                </c:pt>
                <c:pt idx="446">
                  <c:v>0.1685</c:v>
                </c:pt>
                <c:pt idx="447">
                  <c:v>0.1694</c:v>
                </c:pt>
                <c:pt idx="448">
                  <c:v>0.1705</c:v>
                </c:pt>
                <c:pt idx="449">
                  <c:v>0.1711</c:v>
                </c:pt>
                <c:pt idx="450">
                  <c:v>0.172</c:v>
                </c:pt>
                <c:pt idx="451">
                  <c:v>0.1732</c:v>
                </c:pt>
                <c:pt idx="452">
                  <c:v>0.1738</c:v>
                </c:pt>
                <c:pt idx="453">
                  <c:v>0.1749</c:v>
                </c:pt>
                <c:pt idx="454">
                  <c:v>0.1765</c:v>
                </c:pt>
                <c:pt idx="455">
                  <c:v>0.1791</c:v>
                </c:pt>
                <c:pt idx="456">
                  <c:v>0.1866</c:v>
                </c:pt>
                <c:pt idx="457">
                  <c:v>0.1914</c:v>
                </c:pt>
                <c:pt idx="458">
                  <c:v>0.1968</c:v>
                </c:pt>
                <c:pt idx="459">
                  <c:v>0.1987</c:v>
                </c:pt>
                <c:pt idx="460">
                  <c:v>0.1999</c:v>
                </c:pt>
                <c:pt idx="461">
                  <c:v>0.2003</c:v>
                </c:pt>
                <c:pt idx="462">
                  <c:v>0.2011</c:v>
                </c:pt>
                <c:pt idx="463">
                  <c:v>0.2022</c:v>
                </c:pt>
                <c:pt idx="464">
                  <c:v>0.2015</c:v>
                </c:pt>
                <c:pt idx="465">
                  <c:v>0.2016</c:v>
                </c:pt>
                <c:pt idx="466">
                  <c:v>0.2059</c:v>
                </c:pt>
                <c:pt idx="467">
                  <c:v>0.2036</c:v>
                </c:pt>
                <c:pt idx="468">
                  <c:v>0.2017</c:v>
                </c:pt>
                <c:pt idx="469">
                  <c:v>0.1989</c:v>
                </c:pt>
                <c:pt idx="470">
                  <c:v>0.1948</c:v>
                </c:pt>
                <c:pt idx="471">
                  <c:v>0.1922</c:v>
                </c:pt>
                <c:pt idx="472">
                  <c:v>0.1896</c:v>
                </c:pt>
                <c:pt idx="473">
                  <c:v>0.1831</c:v>
                </c:pt>
                <c:pt idx="474">
                  <c:v>0.1791</c:v>
                </c:pt>
                <c:pt idx="475">
                  <c:v>0.1718</c:v>
                </c:pt>
                <c:pt idx="476">
                  <c:v>0.1697</c:v>
                </c:pt>
                <c:pt idx="477">
                  <c:v>0.1708</c:v>
                </c:pt>
                <c:pt idx="478">
                  <c:v>0.1787</c:v>
                </c:pt>
                <c:pt idx="479">
                  <c:v>0.186</c:v>
                </c:pt>
                <c:pt idx="480">
                  <c:v>0.1957</c:v>
                </c:pt>
                <c:pt idx="481">
                  <c:v>0.2105</c:v>
                </c:pt>
                <c:pt idx="482">
                  <c:v>0.2287</c:v>
                </c:pt>
                <c:pt idx="483">
                  <c:v>0.2591</c:v>
                </c:pt>
                <c:pt idx="484">
                  <c:v>0.2716</c:v>
                </c:pt>
                <c:pt idx="485">
                  <c:v>0.2756</c:v>
                </c:pt>
                <c:pt idx="486">
                  <c:v>0.2799</c:v>
                </c:pt>
                <c:pt idx="487">
                  <c:v>0.2813</c:v>
                </c:pt>
                <c:pt idx="488">
                  <c:v>0.2821</c:v>
                </c:pt>
                <c:pt idx="489">
                  <c:v>0.2823</c:v>
                </c:pt>
                <c:pt idx="490">
                  <c:v>0.2826</c:v>
                </c:pt>
                <c:pt idx="491">
                  <c:v>0.2824</c:v>
                </c:pt>
                <c:pt idx="492">
                  <c:v>0.2815</c:v>
                </c:pt>
                <c:pt idx="493">
                  <c:v>0.2773</c:v>
                </c:pt>
                <c:pt idx="494">
                  <c:v>0.2771</c:v>
                </c:pt>
                <c:pt idx="495">
                  <c:v>0.2723</c:v>
                </c:pt>
                <c:pt idx="496">
                  <c:v>0.2707</c:v>
                </c:pt>
                <c:pt idx="497">
                  <c:v>0.2672</c:v>
                </c:pt>
                <c:pt idx="498">
                  <c:v>0.2649</c:v>
                </c:pt>
                <c:pt idx="499">
                  <c:v>0.2626</c:v>
                </c:pt>
                <c:pt idx="500">
                  <c:v>0.2623</c:v>
                </c:pt>
                <c:pt idx="501">
                  <c:v>0.2609</c:v>
                </c:pt>
                <c:pt idx="502">
                  <c:v>0.2613</c:v>
                </c:pt>
                <c:pt idx="503">
                  <c:v>0.2618</c:v>
                </c:pt>
                <c:pt idx="504">
                  <c:v>0.2607</c:v>
                </c:pt>
                <c:pt idx="505">
                  <c:v>0.2581</c:v>
                </c:pt>
                <c:pt idx="506">
                  <c:v>0.2549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48960462"/>
        <c:axId val="559129789"/>
      </c:lineChart>
      <c:dateAx>
        <c:axId val="548960462"/>
        <c:scaling>
          <c:orientation val="minMax"/>
          <c:max val="46289"/>
          <c:min val="44463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27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559129789"/>
        <c:crosses val="autoZero"/>
        <c:auto val="1"/>
        <c:lblOffset val="100"/>
        <c:baseTimeUnit val="days"/>
        <c:majorUnit val="6"/>
        <c:majorTimeUnit val="months"/>
      </c:dateAx>
      <c:valAx>
        <c:axId val="559129789"/>
        <c:scaling>
          <c:orientation val="minMax"/>
          <c:max val="0.35"/>
          <c:min val="0.0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54896046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a1fc883-e43e-4692-b3c7-f962b02cc69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  <a:sym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sz="1200"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201</a:t>
            </a:r>
            <a:r>
              <a:rPr lang="en-US" altLang="zh-CN" sz="1200"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3</a:t>
            </a:r>
            <a:r>
              <a:rPr sz="1200"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-20</a:t>
            </a:r>
            <a:r>
              <a:rPr lang="en-US" altLang="zh-CN" sz="1200"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18</a:t>
            </a:r>
            <a:r>
              <a:rPr sz="1200"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年</a:t>
            </a:r>
            <a:r>
              <a:rPr sz="1200" b="1">
                <a:solidFill>
                  <a:sysClr val="windowText" lastClr="000000"/>
                </a:solidFill>
              </a:rPr>
              <a:t>冻品库存率（多样本）</a:t>
            </a:r>
            <a:endParaRPr sz="1200"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冻品库存率季节性!$L$3</c:f>
              <c:strCache>
                <c:ptCount val="1"/>
                <c:pt idx="0">
                  <c:v>2013年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冻品库存率季节性!$K$4:$K$27</c:f>
              <c:numCache>
                <c:formatCode>m"月"d"日";@</c:formatCode>
                <c:ptCount val="24"/>
                <c:pt idx="0" c:formatCode="m&quot;月&quot;d&quot;日&quot;;@">
                  <c:v>44941</c:v>
                </c:pt>
                <c:pt idx="1" c:formatCode="m&quot;月&quot;d&quot;日&quot;;@">
                  <c:v>44956</c:v>
                </c:pt>
                <c:pt idx="2" c:formatCode="m&quot;月&quot;d&quot;日&quot;;@">
                  <c:v>44972</c:v>
                </c:pt>
                <c:pt idx="3" c:formatCode="m&quot;月&quot;d&quot;日&quot;;@">
                  <c:v>44985</c:v>
                </c:pt>
                <c:pt idx="4" c:formatCode="m&quot;月&quot;d&quot;日&quot;;@">
                  <c:v>45000</c:v>
                </c:pt>
                <c:pt idx="5" c:formatCode="m&quot;月&quot;d&quot;日&quot;;@">
                  <c:v>45015</c:v>
                </c:pt>
                <c:pt idx="6" c:formatCode="m&quot;月&quot;d&quot;日&quot;;@">
                  <c:v>45031</c:v>
                </c:pt>
                <c:pt idx="7" c:formatCode="m&quot;月&quot;d&quot;日&quot;;@">
                  <c:v>45046</c:v>
                </c:pt>
                <c:pt idx="8" c:formatCode="m&quot;月&quot;d&quot;日&quot;;@">
                  <c:v>45061</c:v>
                </c:pt>
                <c:pt idx="9" c:formatCode="m&quot;月&quot;d&quot;日&quot;;@">
                  <c:v>45076</c:v>
                </c:pt>
                <c:pt idx="10" c:formatCode="m&quot;月&quot;d&quot;日&quot;;@">
                  <c:v>45092</c:v>
                </c:pt>
                <c:pt idx="11" c:formatCode="m&quot;月&quot;d&quot;日&quot;;@">
                  <c:v>45107</c:v>
                </c:pt>
                <c:pt idx="12" c:formatCode="m&quot;月&quot;d&quot;日&quot;;@">
                  <c:v>45122</c:v>
                </c:pt>
                <c:pt idx="13" c:formatCode="m&quot;月&quot;d&quot;日&quot;;@">
                  <c:v>45137</c:v>
                </c:pt>
                <c:pt idx="14" c:formatCode="m&quot;月&quot;d&quot;日&quot;;@">
                  <c:v>45153</c:v>
                </c:pt>
                <c:pt idx="15" c:formatCode="m&quot;月&quot;d&quot;日&quot;;@">
                  <c:v>45168</c:v>
                </c:pt>
                <c:pt idx="16" c:formatCode="m&quot;月&quot;d&quot;日&quot;;@">
                  <c:v>45184</c:v>
                </c:pt>
                <c:pt idx="17" c:formatCode="m&quot;月&quot;d&quot;日&quot;;@">
                  <c:v>45199</c:v>
                </c:pt>
                <c:pt idx="18" c:formatCode="m&quot;月&quot;d&quot;日&quot;;@">
                  <c:v>45214</c:v>
                </c:pt>
                <c:pt idx="19" c:formatCode="m&quot;月&quot;d&quot;日&quot;;@">
                  <c:v>45229</c:v>
                </c:pt>
                <c:pt idx="20" c:formatCode="m&quot;月&quot;d&quot;日&quot;;@">
                  <c:v>45245</c:v>
                </c:pt>
                <c:pt idx="21" c:formatCode="m&quot;月&quot;d&quot;日&quot;;@">
                  <c:v>45260</c:v>
                </c:pt>
                <c:pt idx="22" c:formatCode="m&quot;月&quot;d&quot;日&quot;;@">
                  <c:v>45275</c:v>
                </c:pt>
                <c:pt idx="23" c:formatCode="m&quot;月&quot;d&quot;日&quot;;@">
                  <c:v>45290</c:v>
                </c:pt>
              </c:numCache>
            </c:numRef>
          </c:cat>
          <c:val>
            <c:numRef>
              <c:f>冻品库存率季节性!$L$4:$L$27</c:f>
              <c:numCache>
                <c:formatCode>0.00%</c:formatCode>
                <c:ptCount val="24"/>
                <c:pt idx="14">
                  <c:v>0.3341</c:v>
                </c:pt>
                <c:pt idx="15">
                  <c:v>0.3344</c:v>
                </c:pt>
                <c:pt idx="16">
                  <c:v>0.3707</c:v>
                </c:pt>
                <c:pt idx="17">
                  <c:v>0.3354</c:v>
                </c:pt>
                <c:pt idx="18">
                  <c:v>0.3305</c:v>
                </c:pt>
                <c:pt idx="19">
                  <c:v>0.3</c:v>
                </c:pt>
                <c:pt idx="20">
                  <c:v>0.2752</c:v>
                </c:pt>
                <c:pt idx="21">
                  <c:v>0.2607</c:v>
                </c:pt>
                <c:pt idx="22">
                  <c:v>0.2381</c:v>
                </c:pt>
                <c:pt idx="23">
                  <c:v>0.2369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冻品库存率季节性!$M$3</c:f>
              <c:strCache>
                <c:ptCount val="1"/>
                <c:pt idx="0">
                  <c:v>2014年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冻品库存率季节性!$K$4:$K$27</c:f>
              <c:numCache>
                <c:formatCode>m"月"d"日";@</c:formatCode>
                <c:ptCount val="24"/>
                <c:pt idx="0" c:formatCode="m&quot;月&quot;d&quot;日&quot;;@">
                  <c:v>44941</c:v>
                </c:pt>
                <c:pt idx="1" c:formatCode="m&quot;月&quot;d&quot;日&quot;;@">
                  <c:v>44956</c:v>
                </c:pt>
                <c:pt idx="2" c:formatCode="m&quot;月&quot;d&quot;日&quot;;@">
                  <c:v>44972</c:v>
                </c:pt>
                <c:pt idx="3" c:formatCode="m&quot;月&quot;d&quot;日&quot;;@">
                  <c:v>44985</c:v>
                </c:pt>
                <c:pt idx="4" c:formatCode="m&quot;月&quot;d&quot;日&quot;;@">
                  <c:v>45000</c:v>
                </c:pt>
                <c:pt idx="5" c:formatCode="m&quot;月&quot;d&quot;日&quot;;@">
                  <c:v>45015</c:v>
                </c:pt>
                <c:pt idx="6" c:formatCode="m&quot;月&quot;d&quot;日&quot;;@">
                  <c:v>45031</c:v>
                </c:pt>
                <c:pt idx="7" c:formatCode="m&quot;月&quot;d&quot;日&quot;;@">
                  <c:v>45046</c:v>
                </c:pt>
                <c:pt idx="8" c:formatCode="m&quot;月&quot;d&quot;日&quot;;@">
                  <c:v>45061</c:v>
                </c:pt>
                <c:pt idx="9" c:formatCode="m&quot;月&quot;d&quot;日&quot;;@">
                  <c:v>45076</c:v>
                </c:pt>
                <c:pt idx="10" c:formatCode="m&quot;月&quot;d&quot;日&quot;;@">
                  <c:v>45092</c:v>
                </c:pt>
                <c:pt idx="11" c:formatCode="m&quot;月&quot;d&quot;日&quot;;@">
                  <c:v>45107</c:v>
                </c:pt>
                <c:pt idx="12" c:formatCode="m&quot;月&quot;d&quot;日&quot;;@">
                  <c:v>45122</c:v>
                </c:pt>
                <c:pt idx="13" c:formatCode="m&quot;月&quot;d&quot;日&quot;;@">
                  <c:v>45137</c:v>
                </c:pt>
                <c:pt idx="14" c:formatCode="m&quot;月&quot;d&quot;日&quot;;@">
                  <c:v>45153</c:v>
                </c:pt>
                <c:pt idx="15" c:formatCode="m&quot;月&quot;d&quot;日&quot;;@">
                  <c:v>45168</c:v>
                </c:pt>
                <c:pt idx="16" c:formatCode="m&quot;月&quot;d&quot;日&quot;;@">
                  <c:v>45184</c:v>
                </c:pt>
                <c:pt idx="17" c:formatCode="m&quot;月&quot;d&quot;日&quot;;@">
                  <c:v>45199</c:v>
                </c:pt>
                <c:pt idx="18" c:formatCode="m&quot;月&quot;d&quot;日&quot;;@">
                  <c:v>45214</c:v>
                </c:pt>
                <c:pt idx="19" c:formatCode="m&quot;月&quot;d&quot;日&quot;;@">
                  <c:v>45229</c:v>
                </c:pt>
                <c:pt idx="20" c:formatCode="m&quot;月&quot;d&quot;日&quot;;@">
                  <c:v>45245</c:v>
                </c:pt>
                <c:pt idx="21" c:formatCode="m&quot;月&quot;d&quot;日&quot;;@">
                  <c:v>45260</c:v>
                </c:pt>
                <c:pt idx="22" c:formatCode="m&quot;月&quot;d&quot;日&quot;;@">
                  <c:v>45275</c:v>
                </c:pt>
                <c:pt idx="23" c:formatCode="m&quot;月&quot;d&quot;日&quot;;@">
                  <c:v>45290</c:v>
                </c:pt>
              </c:numCache>
            </c:numRef>
          </c:cat>
          <c:val>
            <c:numRef>
              <c:f>冻品库存率季节性!$M$4:$M$27</c:f>
              <c:numCache>
                <c:formatCode>0.00%</c:formatCode>
                <c:ptCount val="24"/>
                <c:pt idx="0">
                  <c:v>0.2404</c:v>
                </c:pt>
                <c:pt idx="1">
                  <c:v>0.2347</c:v>
                </c:pt>
                <c:pt idx="2">
                  <c:v>0.2511</c:v>
                </c:pt>
                <c:pt idx="3">
                  <c:v>0.4001</c:v>
                </c:pt>
                <c:pt idx="4">
                  <c:v>0.4222</c:v>
                </c:pt>
                <c:pt idx="5">
                  <c:v>0.4447</c:v>
                </c:pt>
                <c:pt idx="6">
                  <c:v>0.4556</c:v>
                </c:pt>
                <c:pt idx="7">
                  <c:v>0.4617</c:v>
                </c:pt>
                <c:pt idx="8">
                  <c:v>0.463</c:v>
                </c:pt>
                <c:pt idx="9">
                  <c:v>0.4427</c:v>
                </c:pt>
                <c:pt idx="10">
                  <c:v>0.444</c:v>
                </c:pt>
                <c:pt idx="11">
                  <c:v>0.4498</c:v>
                </c:pt>
                <c:pt idx="12">
                  <c:v>0.4849</c:v>
                </c:pt>
                <c:pt idx="13">
                  <c:v>0.4337</c:v>
                </c:pt>
                <c:pt idx="14">
                  <c:v>0.418</c:v>
                </c:pt>
                <c:pt idx="15">
                  <c:v>0.409</c:v>
                </c:pt>
                <c:pt idx="16">
                  <c:v>0.4252</c:v>
                </c:pt>
                <c:pt idx="17">
                  <c:v>0.4003</c:v>
                </c:pt>
                <c:pt idx="18">
                  <c:v>0.4035</c:v>
                </c:pt>
                <c:pt idx="19">
                  <c:v>0.3953</c:v>
                </c:pt>
                <c:pt idx="20">
                  <c:v>0.4236</c:v>
                </c:pt>
                <c:pt idx="21">
                  <c:v>0.4037</c:v>
                </c:pt>
                <c:pt idx="22">
                  <c:v>0.3988</c:v>
                </c:pt>
                <c:pt idx="23">
                  <c:v>0.4048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冻品库存率季节性!$N$3</c:f>
              <c:strCache>
                <c:ptCount val="1"/>
                <c:pt idx="0">
                  <c:v>2015年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冻品库存率季节性!$K$4:$K$27</c:f>
              <c:numCache>
                <c:formatCode>m"月"d"日";@</c:formatCode>
                <c:ptCount val="24"/>
                <c:pt idx="0" c:formatCode="m&quot;月&quot;d&quot;日&quot;;@">
                  <c:v>44941</c:v>
                </c:pt>
                <c:pt idx="1" c:formatCode="m&quot;月&quot;d&quot;日&quot;;@">
                  <c:v>44956</c:v>
                </c:pt>
                <c:pt idx="2" c:formatCode="m&quot;月&quot;d&quot;日&quot;;@">
                  <c:v>44972</c:v>
                </c:pt>
                <c:pt idx="3" c:formatCode="m&quot;月&quot;d&quot;日&quot;;@">
                  <c:v>44985</c:v>
                </c:pt>
                <c:pt idx="4" c:formatCode="m&quot;月&quot;d&quot;日&quot;;@">
                  <c:v>45000</c:v>
                </c:pt>
                <c:pt idx="5" c:formatCode="m&quot;月&quot;d&quot;日&quot;;@">
                  <c:v>45015</c:v>
                </c:pt>
                <c:pt idx="6" c:formatCode="m&quot;月&quot;d&quot;日&quot;;@">
                  <c:v>45031</c:v>
                </c:pt>
                <c:pt idx="7" c:formatCode="m&quot;月&quot;d&quot;日&quot;;@">
                  <c:v>45046</c:v>
                </c:pt>
                <c:pt idx="8" c:formatCode="m&quot;月&quot;d&quot;日&quot;;@">
                  <c:v>45061</c:v>
                </c:pt>
                <c:pt idx="9" c:formatCode="m&quot;月&quot;d&quot;日&quot;;@">
                  <c:v>45076</c:v>
                </c:pt>
                <c:pt idx="10" c:formatCode="m&quot;月&quot;d&quot;日&quot;;@">
                  <c:v>45092</c:v>
                </c:pt>
                <c:pt idx="11" c:formatCode="m&quot;月&quot;d&quot;日&quot;;@">
                  <c:v>45107</c:v>
                </c:pt>
                <c:pt idx="12" c:formatCode="m&quot;月&quot;d&quot;日&quot;;@">
                  <c:v>45122</c:v>
                </c:pt>
                <c:pt idx="13" c:formatCode="m&quot;月&quot;d&quot;日&quot;;@">
                  <c:v>45137</c:v>
                </c:pt>
                <c:pt idx="14" c:formatCode="m&quot;月&quot;d&quot;日&quot;;@">
                  <c:v>45153</c:v>
                </c:pt>
                <c:pt idx="15" c:formatCode="m&quot;月&quot;d&quot;日&quot;;@">
                  <c:v>45168</c:v>
                </c:pt>
                <c:pt idx="16" c:formatCode="m&quot;月&quot;d&quot;日&quot;;@">
                  <c:v>45184</c:v>
                </c:pt>
                <c:pt idx="17" c:formatCode="m&quot;月&quot;d&quot;日&quot;;@">
                  <c:v>45199</c:v>
                </c:pt>
                <c:pt idx="18" c:formatCode="m&quot;月&quot;d&quot;日&quot;;@">
                  <c:v>45214</c:v>
                </c:pt>
                <c:pt idx="19" c:formatCode="m&quot;月&quot;d&quot;日&quot;;@">
                  <c:v>45229</c:v>
                </c:pt>
                <c:pt idx="20" c:formatCode="m&quot;月&quot;d&quot;日&quot;;@">
                  <c:v>45245</c:v>
                </c:pt>
                <c:pt idx="21" c:formatCode="m&quot;月&quot;d&quot;日&quot;;@">
                  <c:v>45260</c:v>
                </c:pt>
                <c:pt idx="22" c:formatCode="m&quot;月&quot;d&quot;日&quot;;@">
                  <c:v>45275</c:v>
                </c:pt>
                <c:pt idx="23" c:formatCode="m&quot;月&quot;d&quot;日&quot;;@">
                  <c:v>45290</c:v>
                </c:pt>
              </c:numCache>
            </c:numRef>
          </c:cat>
          <c:val>
            <c:numRef>
              <c:f>冻品库存率季节性!$N$4:$N$27</c:f>
              <c:numCache>
                <c:formatCode>0.00%</c:formatCode>
                <c:ptCount val="24"/>
                <c:pt idx="0">
                  <c:v>0.4163</c:v>
                </c:pt>
                <c:pt idx="3">
                  <c:v>0.384</c:v>
                </c:pt>
                <c:pt idx="4">
                  <c:v>0.4184</c:v>
                </c:pt>
                <c:pt idx="5">
                  <c:v>0.3972</c:v>
                </c:pt>
                <c:pt idx="6">
                  <c:v>0.3758</c:v>
                </c:pt>
                <c:pt idx="7">
                  <c:v>0.3746</c:v>
                </c:pt>
                <c:pt idx="8">
                  <c:v>0.3744</c:v>
                </c:pt>
                <c:pt idx="9">
                  <c:v>0.3712</c:v>
                </c:pt>
                <c:pt idx="10">
                  <c:v>0.3666</c:v>
                </c:pt>
                <c:pt idx="11">
                  <c:v>0.3574</c:v>
                </c:pt>
                <c:pt idx="12">
                  <c:v>0.3536</c:v>
                </c:pt>
                <c:pt idx="13">
                  <c:v>0.3498</c:v>
                </c:pt>
                <c:pt idx="14">
                  <c:v>0.3504</c:v>
                </c:pt>
                <c:pt idx="15">
                  <c:v>0.3403</c:v>
                </c:pt>
                <c:pt idx="17">
                  <c:v>0.3426</c:v>
                </c:pt>
                <c:pt idx="19">
                  <c:v>0.326</c:v>
                </c:pt>
                <c:pt idx="21">
                  <c:v>0.2968</c:v>
                </c:pt>
                <c:pt idx="23">
                  <c:v>0.2764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冻品库存率季节性!$O$3</c:f>
              <c:strCache>
                <c:ptCount val="1"/>
                <c:pt idx="0">
                  <c:v>2016年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冻品库存率季节性!$K$4:$K$27</c:f>
              <c:numCache>
                <c:formatCode>m"月"d"日";@</c:formatCode>
                <c:ptCount val="24"/>
                <c:pt idx="0" c:formatCode="m&quot;月&quot;d&quot;日&quot;;@">
                  <c:v>44941</c:v>
                </c:pt>
                <c:pt idx="1" c:formatCode="m&quot;月&quot;d&quot;日&quot;;@">
                  <c:v>44956</c:v>
                </c:pt>
                <c:pt idx="2" c:formatCode="m&quot;月&quot;d&quot;日&quot;;@">
                  <c:v>44972</c:v>
                </c:pt>
                <c:pt idx="3" c:formatCode="m&quot;月&quot;d&quot;日&quot;;@">
                  <c:v>44985</c:v>
                </c:pt>
                <c:pt idx="4" c:formatCode="m&quot;月&quot;d&quot;日&quot;;@">
                  <c:v>45000</c:v>
                </c:pt>
                <c:pt idx="5" c:formatCode="m&quot;月&quot;d&quot;日&quot;;@">
                  <c:v>45015</c:v>
                </c:pt>
                <c:pt idx="6" c:formatCode="m&quot;月&quot;d&quot;日&quot;;@">
                  <c:v>45031</c:v>
                </c:pt>
                <c:pt idx="7" c:formatCode="m&quot;月&quot;d&quot;日&quot;;@">
                  <c:v>45046</c:v>
                </c:pt>
                <c:pt idx="8" c:formatCode="m&quot;月&quot;d&quot;日&quot;;@">
                  <c:v>45061</c:v>
                </c:pt>
                <c:pt idx="9" c:formatCode="m&quot;月&quot;d&quot;日&quot;;@">
                  <c:v>45076</c:v>
                </c:pt>
                <c:pt idx="10" c:formatCode="m&quot;月&quot;d&quot;日&quot;;@">
                  <c:v>45092</c:v>
                </c:pt>
                <c:pt idx="11" c:formatCode="m&quot;月&quot;d&quot;日&quot;;@">
                  <c:v>45107</c:v>
                </c:pt>
                <c:pt idx="12" c:formatCode="m&quot;月&quot;d&quot;日&quot;;@">
                  <c:v>45122</c:v>
                </c:pt>
                <c:pt idx="13" c:formatCode="m&quot;月&quot;d&quot;日&quot;;@">
                  <c:v>45137</c:v>
                </c:pt>
                <c:pt idx="14" c:formatCode="m&quot;月&quot;d&quot;日&quot;;@">
                  <c:v>45153</c:v>
                </c:pt>
                <c:pt idx="15" c:formatCode="m&quot;月&quot;d&quot;日&quot;;@">
                  <c:v>45168</c:v>
                </c:pt>
                <c:pt idx="16" c:formatCode="m&quot;月&quot;d&quot;日&quot;;@">
                  <c:v>45184</c:v>
                </c:pt>
                <c:pt idx="17" c:formatCode="m&quot;月&quot;d&quot;日&quot;;@">
                  <c:v>45199</c:v>
                </c:pt>
                <c:pt idx="18" c:formatCode="m&quot;月&quot;d&quot;日&quot;;@">
                  <c:v>45214</c:v>
                </c:pt>
                <c:pt idx="19" c:formatCode="m&quot;月&quot;d&quot;日&quot;;@">
                  <c:v>45229</c:v>
                </c:pt>
                <c:pt idx="20" c:formatCode="m&quot;月&quot;d&quot;日&quot;;@">
                  <c:v>45245</c:v>
                </c:pt>
                <c:pt idx="21" c:formatCode="m&quot;月&quot;d&quot;日&quot;;@">
                  <c:v>45260</c:v>
                </c:pt>
                <c:pt idx="22" c:formatCode="m&quot;月&quot;d&quot;日&quot;;@">
                  <c:v>45275</c:v>
                </c:pt>
                <c:pt idx="23" c:formatCode="m&quot;月&quot;d&quot;日&quot;;@">
                  <c:v>45290</c:v>
                </c:pt>
              </c:numCache>
            </c:numRef>
          </c:cat>
          <c:val>
            <c:numRef>
              <c:f>冻品库存率季节性!$O$4:$O$27</c:f>
              <c:numCache>
                <c:formatCode>0.00%</c:formatCode>
                <c:ptCount val="24"/>
                <c:pt idx="1">
                  <c:v>0.196</c:v>
                </c:pt>
                <c:pt idx="3">
                  <c:v>0.1476</c:v>
                </c:pt>
                <c:pt idx="4">
                  <c:v>0.1102</c:v>
                </c:pt>
                <c:pt idx="5">
                  <c:v>0.0996</c:v>
                </c:pt>
                <c:pt idx="6">
                  <c:v>0.0821</c:v>
                </c:pt>
                <c:pt idx="7">
                  <c:v>0.0708</c:v>
                </c:pt>
                <c:pt idx="8">
                  <c:v>0.0733</c:v>
                </c:pt>
                <c:pt idx="9">
                  <c:v>0.0699</c:v>
                </c:pt>
                <c:pt idx="10">
                  <c:v>0.08</c:v>
                </c:pt>
                <c:pt idx="11">
                  <c:v>0.0927</c:v>
                </c:pt>
                <c:pt idx="12">
                  <c:v>0.0814</c:v>
                </c:pt>
                <c:pt idx="13">
                  <c:v>0.1002</c:v>
                </c:pt>
                <c:pt idx="14">
                  <c:v>0.1007</c:v>
                </c:pt>
                <c:pt idx="15">
                  <c:v>0.0971</c:v>
                </c:pt>
                <c:pt idx="16">
                  <c:v>0.1276</c:v>
                </c:pt>
                <c:pt idx="17">
                  <c:v>0.1422</c:v>
                </c:pt>
                <c:pt idx="18">
                  <c:v>0.1857</c:v>
                </c:pt>
                <c:pt idx="19">
                  <c:v>0.201</c:v>
                </c:pt>
                <c:pt idx="20">
                  <c:v>0.1853</c:v>
                </c:pt>
                <c:pt idx="21">
                  <c:v>0.1745</c:v>
                </c:pt>
                <c:pt idx="22">
                  <c:v>0.1775</c:v>
                </c:pt>
                <c:pt idx="23">
                  <c:v>0.173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冻品库存率季节性!$P$3</c:f>
              <c:strCache>
                <c:ptCount val="1"/>
                <c:pt idx="0">
                  <c:v>2017年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冻品库存率季节性!$K$4:$K$27</c:f>
              <c:numCache>
                <c:formatCode>m"月"d"日";@</c:formatCode>
                <c:ptCount val="24"/>
                <c:pt idx="0" c:formatCode="m&quot;月&quot;d&quot;日&quot;;@">
                  <c:v>44941</c:v>
                </c:pt>
                <c:pt idx="1" c:formatCode="m&quot;月&quot;d&quot;日&quot;;@">
                  <c:v>44956</c:v>
                </c:pt>
                <c:pt idx="2" c:formatCode="m&quot;月&quot;d&quot;日&quot;;@">
                  <c:v>44972</c:v>
                </c:pt>
                <c:pt idx="3" c:formatCode="m&quot;月&quot;d&quot;日&quot;;@">
                  <c:v>44985</c:v>
                </c:pt>
                <c:pt idx="4" c:formatCode="m&quot;月&quot;d&quot;日&quot;;@">
                  <c:v>45000</c:v>
                </c:pt>
                <c:pt idx="5" c:formatCode="m&quot;月&quot;d&quot;日&quot;;@">
                  <c:v>45015</c:v>
                </c:pt>
                <c:pt idx="6" c:formatCode="m&quot;月&quot;d&quot;日&quot;;@">
                  <c:v>45031</c:v>
                </c:pt>
                <c:pt idx="7" c:formatCode="m&quot;月&quot;d&quot;日&quot;;@">
                  <c:v>45046</c:v>
                </c:pt>
                <c:pt idx="8" c:formatCode="m&quot;月&quot;d&quot;日&quot;;@">
                  <c:v>45061</c:v>
                </c:pt>
                <c:pt idx="9" c:formatCode="m&quot;月&quot;d&quot;日&quot;;@">
                  <c:v>45076</c:v>
                </c:pt>
                <c:pt idx="10" c:formatCode="m&quot;月&quot;d&quot;日&quot;;@">
                  <c:v>45092</c:v>
                </c:pt>
                <c:pt idx="11" c:formatCode="m&quot;月&quot;d&quot;日&quot;;@">
                  <c:v>45107</c:v>
                </c:pt>
                <c:pt idx="12" c:formatCode="m&quot;月&quot;d&quot;日&quot;;@">
                  <c:v>45122</c:v>
                </c:pt>
                <c:pt idx="13" c:formatCode="m&quot;月&quot;d&quot;日&quot;;@">
                  <c:v>45137</c:v>
                </c:pt>
                <c:pt idx="14" c:formatCode="m&quot;月&quot;d&quot;日&quot;;@">
                  <c:v>45153</c:v>
                </c:pt>
                <c:pt idx="15" c:formatCode="m&quot;月&quot;d&quot;日&quot;;@">
                  <c:v>45168</c:v>
                </c:pt>
                <c:pt idx="16" c:formatCode="m&quot;月&quot;d&quot;日&quot;;@">
                  <c:v>45184</c:v>
                </c:pt>
                <c:pt idx="17" c:formatCode="m&quot;月&quot;d&quot;日&quot;;@">
                  <c:v>45199</c:v>
                </c:pt>
                <c:pt idx="18" c:formatCode="m&quot;月&quot;d&quot;日&quot;;@">
                  <c:v>45214</c:v>
                </c:pt>
                <c:pt idx="19" c:formatCode="m&quot;月&quot;d&quot;日&quot;;@">
                  <c:v>45229</c:v>
                </c:pt>
                <c:pt idx="20" c:formatCode="m&quot;月&quot;d&quot;日&quot;;@">
                  <c:v>45245</c:v>
                </c:pt>
                <c:pt idx="21" c:formatCode="m&quot;月&quot;d&quot;日&quot;;@">
                  <c:v>45260</c:v>
                </c:pt>
                <c:pt idx="22" c:formatCode="m&quot;月&quot;d&quot;日&quot;;@">
                  <c:v>45275</c:v>
                </c:pt>
                <c:pt idx="23" c:formatCode="m&quot;月&quot;d&quot;日&quot;;@">
                  <c:v>45290</c:v>
                </c:pt>
              </c:numCache>
            </c:numRef>
          </c:cat>
          <c:val>
            <c:numRef>
              <c:f>冻品库存率季节性!$P$4:$P$27</c:f>
              <c:numCache>
                <c:formatCode>0.00%</c:formatCode>
                <c:ptCount val="24"/>
                <c:pt idx="0">
                  <c:v>0.1625</c:v>
                </c:pt>
                <c:pt idx="1">
                  <c:v>0.1531</c:v>
                </c:pt>
                <c:pt idx="2">
                  <c:v>0.1161</c:v>
                </c:pt>
                <c:pt idx="3">
                  <c:v>0.1073</c:v>
                </c:pt>
                <c:pt idx="4">
                  <c:v>0.1696</c:v>
                </c:pt>
                <c:pt idx="5">
                  <c:v>0.199</c:v>
                </c:pt>
                <c:pt idx="6">
                  <c:v>0.2143</c:v>
                </c:pt>
                <c:pt idx="7">
                  <c:v>0.2201</c:v>
                </c:pt>
                <c:pt idx="8">
                  <c:v>0.2227</c:v>
                </c:pt>
                <c:pt idx="9">
                  <c:v>0.225</c:v>
                </c:pt>
                <c:pt idx="10">
                  <c:v>0.2293</c:v>
                </c:pt>
                <c:pt idx="11">
                  <c:v>0.2305</c:v>
                </c:pt>
                <c:pt idx="12">
                  <c:v>0.2207</c:v>
                </c:pt>
                <c:pt idx="13">
                  <c:v>0.2172</c:v>
                </c:pt>
                <c:pt idx="14">
                  <c:v>0.184</c:v>
                </c:pt>
                <c:pt idx="15">
                  <c:v>0.1617</c:v>
                </c:pt>
                <c:pt idx="16">
                  <c:v>0.1659</c:v>
                </c:pt>
                <c:pt idx="17">
                  <c:v>0.1748</c:v>
                </c:pt>
                <c:pt idx="18">
                  <c:v>0.2389</c:v>
                </c:pt>
                <c:pt idx="19">
                  <c:v>0.2492</c:v>
                </c:pt>
                <c:pt idx="20">
                  <c:v>0.234</c:v>
                </c:pt>
                <c:pt idx="21">
                  <c:v>0.2216</c:v>
                </c:pt>
                <c:pt idx="22">
                  <c:v>0.1858</c:v>
                </c:pt>
                <c:pt idx="23">
                  <c:v>0.1596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冻品库存率季节性!$Q$3</c:f>
              <c:strCache>
                <c:ptCount val="1"/>
                <c:pt idx="0">
                  <c:v>2018年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冻品库存率季节性!$K$4:$K$27</c:f>
              <c:numCache>
                <c:formatCode>m"月"d"日";@</c:formatCode>
                <c:ptCount val="24"/>
                <c:pt idx="0" c:formatCode="m&quot;月&quot;d&quot;日&quot;;@">
                  <c:v>44941</c:v>
                </c:pt>
                <c:pt idx="1" c:formatCode="m&quot;月&quot;d&quot;日&quot;;@">
                  <c:v>44956</c:v>
                </c:pt>
                <c:pt idx="2" c:formatCode="m&quot;月&quot;d&quot;日&quot;;@">
                  <c:v>44972</c:v>
                </c:pt>
                <c:pt idx="3" c:formatCode="m&quot;月&quot;d&quot;日&quot;;@">
                  <c:v>44985</c:v>
                </c:pt>
                <c:pt idx="4" c:formatCode="m&quot;月&quot;d&quot;日&quot;;@">
                  <c:v>45000</c:v>
                </c:pt>
                <c:pt idx="5" c:formatCode="m&quot;月&quot;d&quot;日&quot;;@">
                  <c:v>45015</c:v>
                </c:pt>
                <c:pt idx="6" c:formatCode="m&quot;月&quot;d&quot;日&quot;;@">
                  <c:v>45031</c:v>
                </c:pt>
                <c:pt idx="7" c:formatCode="m&quot;月&quot;d&quot;日&quot;;@">
                  <c:v>45046</c:v>
                </c:pt>
                <c:pt idx="8" c:formatCode="m&quot;月&quot;d&quot;日&quot;;@">
                  <c:v>45061</c:v>
                </c:pt>
                <c:pt idx="9" c:formatCode="m&quot;月&quot;d&quot;日&quot;;@">
                  <c:v>45076</c:v>
                </c:pt>
                <c:pt idx="10" c:formatCode="m&quot;月&quot;d&quot;日&quot;;@">
                  <c:v>45092</c:v>
                </c:pt>
                <c:pt idx="11" c:formatCode="m&quot;月&quot;d&quot;日&quot;;@">
                  <c:v>45107</c:v>
                </c:pt>
                <c:pt idx="12" c:formatCode="m&quot;月&quot;d&quot;日&quot;;@">
                  <c:v>45122</c:v>
                </c:pt>
                <c:pt idx="13" c:formatCode="m&quot;月&quot;d&quot;日&quot;;@">
                  <c:v>45137</c:v>
                </c:pt>
                <c:pt idx="14" c:formatCode="m&quot;月&quot;d&quot;日&quot;;@">
                  <c:v>45153</c:v>
                </c:pt>
                <c:pt idx="15" c:formatCode="m&quot;月&quot;d&quot;日&quot;;@">
                  <c:v>45168</c:v>
                </c:pt>
                <c:pt idx="16" c:formatCode="m&quot;月&quot;d&quot;日&quot;;@">
                  <c:v>45184</c:v>
                </c:pt>
                <c:pt idx="17" c:formatCode="m&quot;月&quot;d&quot;日&quot;;@">
                  <c:v>45199</c:v>
                </c:pt>
                <c:pt idx="18" c:formatCode="m&quot;月&quot;d&quot;日&quot;;@">
                  <c:v>45214</c:v>
                </c:pt>
                <c:pt idx="19" c:formatCode="m&quot;月&quot;d&quot;日&quot;;@">
                  <c:v>45229</c:v>
                </c:pt>
                <c:pt idx="20" c:formatCode="m&quot;月&quot;d&quot;日&quot;;@">
                  <c:v>45245</c:v>
                </c:pt>
                <c:pt idx="21" c:formatCode="m&quot;月&quot;d&quot;日&quot;;@">
                  <c:v>45260</c:v>
                </c:pt>
                <c:pt idx="22" c:formatCode="m&quot;月&quot;d&quot;日&quot;;@">
                  <c:v>45275</c:v>
                </c:pt>
                <c:pt idx="23" c:formatCode="m&quot;月&quot;d&quot;日&quot;;@">
                  <c:v>45290</c:v>
                </c:pt>
              </c:numCache>
            </c:numRef>
          </c:cat>
          <c:val>
            <c:numRef>
              <c:f>冻品库存率季节性!$Q$4:$Q$27</c:f>
              <c:numCache>
                <c:formatCode>0.00%</c:formatCode>
                <c:ptCount val="24"/>
                <c:pt idx="0">
                  <c:v>0.1194</c:v>
                </c:pt>
                <c:pt idx="1">
                  <c:v>0.1849</c:v>
                </c:pt>
                <c:pt idx="2">
                  <c:v>0.1604</c:v>
                </c:pt>
                <c:pt idx="3">
                  <c:v>0.12</c:v>
                </c:pt>
                <c:pt idx="4">
                  <c:v>0.0905</c:v>
                </c:pt>
                <c:pt idx="5">
                  <c:v>0.0905</c:v>
                </c:pt>
                <c:pt idx="6">
                  <c:v>0.0899</c:v>
                </c:pt>
                <c:pt idx="7">
                  <c:v>0.0895</c:v>
                </c:pt>
                <c:pt idx="8">
                  <c:v>0.1013</c:v>
                </c:pt>
                <c:pt idx="9">
                  <c:v>0.1203</c:v>
                </c:pt>
                <c:pt idx="10">
                  <c:v>0.1391</c:v>
                </c:pt>
                <c:pt idx="11">
                  <c:v>0.1599</c:v>
                </c:pt>
                <c:pt idx="12">
                  <c:v>0.1901</c:v>
                </c:pt>
                <c:pt idx="13">
                  <c:v>0.1877</c:v>
                </c:pt>
                <c:pt idx="14">
                  <c:v>0.1793</c:v>
                </c:pt>
                <c:pt idx="15">
                  <c:v>0.1775</c:v>
                </c:pt>
                <c:pt idx="16">
                  <c:v>0.1543</c:v>
                </c:pt>
                <c:pt idx="17">
                  <c:v>0.1514</c:v>
                </c:pt>
                <c:pt idx="18">
                  <c:v>0.1577</c:v>
                </c:pt>
                <c:pt idx="19">
                  <c:v>0.1739</c:v>
                </c:pt>
                <c:pt idx="20">
                  <c:v>0.2081</c:v>
                </c:pt>
                <c:pt idx="21">
                  <c:v>0.2332</c:v>
                </c:pt>
                <c:pt idx="22">
                  <c:v>0.2565</c:v>
                </c:pt>
                <c:pt idx="23">
                  <c:v>0.3024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72821549"/>
        <c:axId val="582885321"/>
      </c:lineChart>
      <c:dateAx>
        <c:axId val="97282154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582885321"/>
        <c:crosses val="autoZero"/>
        <c:auto val="1"/>
        <c:lblOffset val="100"/>
        <c:baseTimeUnit val="days"/>
        <c:majorUnit val="29"/>
        <c:majorTimeUnit val="days"/>
      </c:dateAx>
      <c:valAx>
        <c:axId val="582885321"/>
        <c:scaling>
          <c:orientation val="minMax"/>
          <c:max val="0.5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972821549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span"/>
    <c:showDLblsOverMax val="0"/>
    <c:extLst>
      <c:ext uri="{0b15fc19-7d7d-44ad-8c2d-2c3a37ce22c3}">
        <chartProps xmlns="https://web.wps.cn/et/2018/main" chartId="{ef315e71-4ff4-4d09-abdf-a941a15d100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</a:defRPr>
      </a:pPr>
    </a:p>
  </c:txPr>
  <c:externalData r:id="rId1">
    <c:autoUpdate val="0"/>
  </c:externalData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sz="1200"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2019年</a:t>
            </a:r>
            <a:r>
              <a:rPr sz="1200" b="1">
                <a:solidFill>
                  <a:sysClr val="windowText" lastClr="000000"/>
                </a:solidFill>
              </a:rPr>
              <a:t>冻品库存率（多样本）</a:t>
            </a:r>
            <a:endParaRPr sz="1200"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冻品库存率季节性!$U$3</c:f>
              <c:strCache>
                <c:ptCount val="1"/>
                <c:pt idx="0">
                  <c:v>2019年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冻品库存率季节性!$T$4:$T$50</c:f>
              <c:numCache>
                <c:formatCode>m"月"d"日";@</c:formatCode>
                <c:ptCount val="47"/>
                <c:pt idx="0" c:formatCode="m&quot;月&quot;d&quot;日&quot;;@">
                  <c:v>43468</c:v>
                </c:pt>
                <c:pt idx="1" c:formatCode="m&quot;月&quot;d&quot;日&quot;;@">
                  <c:v>43475</c:v>
                </c:pt>
                <c:pt idx="2" c:formatCode="m&quot;月&quot;d&quot;日&quot;;@">
                  <c:v>43482</c:v>
                </c:pt>
                <c:pt idx="3" c:formatCode="m&quot;月&quot;d&quot;日&quot;;@">
                  <c:v>43489</c:v>
                </c:pt>
                <c:pt idx="4" c:formatCode="m&quot;月&quot;d&quot;日&quot;;@">
                  <c:v>43505</c:v>
                </c:pt>
                <c:pt idx="5" c:formatCode="m&quot;月&quot;d&quot;日&quot;;@">
                  <c:v>43512</c:v>
                </c:pt>
                <c:pt idx="6" c:formatCode="m&quot;月&quot;d&quot;日&quot;;@">
                  <c:v>43531</c:v>
                </c:pt>
                <c:pt idx="7" c:formatCode="m&quot;月&quot;d&quot;日&quot;;@">
                  <c:v>43538</c:v>
                </c:pt>
                <c:pt idx="8" c:formatCode="m&quot;月&quot;d&quot;日&quot;;@">
                  <c:v>43545</c:v>
                </c:pt>
                <c:pt idx="9" c:formatCode="m&quot;月&quot;d&quot;日&quot;;@">
                  <c:v>43552</c:v>
                </c:pt>
                <c:pt idx="10" c:formatCode="m&quot;月&quot;d&quot;日&quot;;@">
                  <c:v>43559</c:v>
                </c:pt>
                <c:pt idx="11" c:formatCode="m&quot;月&quot;d&quot;日&quot;;@">
                  <c:v>43566</c:v>
                </c:pt>
                <c:pt idx="12" c:formatCode="m&quot;月&quot;d&quot;日&quot;;@">
                  <c:v>43572</c:v>
                </c:pt>
                <c:pt idx="13" c:formatCode="m&quot;月&quot;d&quot;日&quot;;@">
                  <c:v>43587</c:v>
                </c:pt>
                <c:pt idx="14" c:formatCode="m&quot;月&quot;d&quot;日&quot;;@">
                  <c:v>43594</c:v>
                </c:pt>
                <c:pt idx="15" c:formatCode="m&quot;月&quot;d&quot;日&quot;;@">
                  <c:v>43601</c:v>
                </c:pt>
                <c:pt idx="16" c:formatCode="m&quot;月&quot;d&quot;日&quot;;@">
                  <c:v>43608</c:v>
                </c:pt>
                <c:pt idx="17" c:formatCode="m&quot;月&quot;d&quot;日&quot;;@">
                  <c:v>43615</c:v>
                </c:pt>
                <c:pt idx="18" c:formatCode="m&quot;月&quot;d&quot;日&quot;;@">
                  <c:v>43622</c:v>
                </c:pt>
                <c:pt idx="19" c:formatCode="m&quot;月&quot;d&quot;日&quot;;@">
                  <c:v>43629</c:v>
                </c:pt>
                <c:pt idx="20" c:formatCode="m&quot;月&quot;d&quot;日&quot;;@">
                  <c:v>43636</c:v>
                </c:pt>
                <c:pt idx="21" c:formatCode="m&quot;月&quot;d&quot;日&quot;;@">
                  <c:v>43643</c:v>
                </c:pt>
                <c:pt idx="22" c:formatCode="m&quot;月&quot;d&quot;日&quot;;@">
                  <c:v>43650</c:v>
                </c:pt>
                <c:pt idx="23" c:formatCode="m&quot;月&quot;d&quot;日&quot;;@">
                  <c:v>43657</c:v>
                </c:pt>
                <c:pt idx="24" c:formatCode="m&quot;月&quot;d&quot;日&quot;;@">
                  <c:v>43664</c:v>
                </c:pt>
                <c:pt idx="25" c:formatCode="m&quot;月&quot;d&quot;日&quot;;@">
                  <c:v>43671</c:v>
                </c:pt>
                <c:pt idx="26" c:formatCode="m&quot;月&quot;d&quot;日&quot;;@">
                  <c:v>43678</c:v>
                </c:pt>
                <c:pt idx="27" c:formatCode="m&quot;月&quot;d&quot;日&quot;;@">
                  <c:v>43688</c:v>
                </c:pt>
                <c:pt idx="28" c:formatCode="m&quot;月&quot;d&quot;日&quot;;@">
                  <c:v>43695</c:v>
                </c:pt>
                <c:pt idx="29" c:formatCode="m&quot;月&quot;d&quot;日&quot;;@">
                  <c:v>43702</c:v>
                </c:pt>
                <c:pt idx="30" c:formatCode="m&quot;月&quot;d&quot;日&quot;;@">
                  <c:v>43709</c:v>
                </c:pt>
                <c:pt idx="31" c:formatCode="m&quot;月&quot;d&quot;日&quot;;@">
                  <c:v>43716</c:v>
                </c:pt>
                <c:pt idx="32" c:formatCode="m&quot;月&quot;d&quot;日&quot;;@">
                  <c:v>43723</c:v>
                </c:pt>
                <c:pt idx="33" c:formatCode="m&quot;月&quot;d&quot;日&quot;;@">
                  <c:v>43730</c:v>
                </c:pt>
                <c:pt idx="34" c:formatCode="m&quot;月&quot;d&quot;日&quot;;@">
                  <c:v>43737</c:v>
                </c:pt>
                <c:pt idx="35" c:formatCode="m&quot;月&quot;d&quot;日&quot;;@">
                  <c:v>43751</c:v>
                </c:pt>
                <c:pt idx="36" c:formatCode="m&quot;月&quot;d&quot;日&quot;;@">
                  <c:v>43758</c:v>
                </c:pt>
                <c:pt idx="37" c:formatCode="m&quot;月&quot;d&quot;日&quot;;@">
                  <c:v>43765</c:v>
                </c:pt>
                <c:pt idx="38" c:formatCode="m&quot;月&quot;d&quot;日&quot;;@">
                  <c:v>43769</c:v>
                </c:pt>
                <c:pt idx="39" c:formatCode="m&quot;月&quot;d&quot;日&quot;;@">
                  <c:v>43776</c:v>
                </c:pt>
                <c:pt idx="40" c:formatCode="m&quot;月&quot;d&quot;日&quot;;@">
                  <c:v>43783</c:v>
                </c:pt>
                <c:pt idx="41" c:formatCode="m&quot;月&quot;d&quot;日&quot;;@">
                  <c:v>43790</c:v>
                </c:pt>
                <c:pt idx="42" c:formatCode="m&quot;月&quot;d&quot;日&quot;;@">
                  <c:v>43800</c:v>
                </c:pt>
                <c:pt idx="43" c:formatCode="m&quot;月&quot;d&quot;日&quot;;@">
                  <c:v>43807</c:v>
                </c:pt>
                <c:pt idx="44" c:formatCode="m&quot;月&quot;d&quot;日&quot;;@">
                  <c:v>43814</c:v>
                </c:pt>
                <c:pt idx="45" c:formatCode="m&quot;月&quot;d&quot;日&quot;;@">
                  <c:v>43821</c:v>
                </c:pt>
                <c:pt idx="46" c:formatCode="m&quot;月&quot;d&quot;日&quot;;@">
                  <c:v>43828</c:v>
                </c:pt>
              </c:numCache>
            </c:numRef>
          </c:cat>
          <c:val>
            <c:numRef>
              <c:f>冻品库存率季节性!$U$4:$U$50</c:f>
              <c:numCache>
                <c:formatCode>0.00%</c:formatCode>
                <c:ptCount val="47"/>
                <c:pt idx="2">
                  <c:v>0.2859</c:v>
                </c:pt>
                <c:pt idx="3">
                  <c:v>0.2546</c:v>
                </c:pt>
                <c:pt idx="4">
                  <c:v>0.211</c:v>
                </c:pt>
                <c:pt idx="5">
                  <c:v>0.422</c:v>
                </c:pt>
                <c:pt idx="6">
                  <c:v>0.6842</c:v>
                </c:pt>
                <c:pt idx="7">
                  <c:v>0.6598</c:v>
                </c:pt>
                <c:pt idx="8">
                  <c:v>0.5276</c:v>
                </c:pt>
                <c:pt idx="9">
                  <c:v>0.5308</c:v>
                </c:pt>
                <c:pt idx="10">
                  <c:v>0.4899</c:v>
                </c:pt>
                <c:pt idx="11">
                  <c:v>0.4524</c:v>
                </c:pt>
                <c:pt idx="12">
                  <c:v>0.4092</c:v>
                </c:pt>
                <c:pt idx="13">
                  <c:v>0.3984</c:v>
                </c:pt>
                <c:pt idx="14">
                  <c:v>0.3958</c:v>
                </c:pt>
                <c:pt idx="15">
                  <c:v>0.3764</c:v>
                </c:pt>
                <c:pt idx="16">
                  <c:v>0.368</c:v>
                </c:pt>
                <c:pt idx="17">
                  <c:v>0.3796</c:v>
                </c:pt>
                <c:pt idx="18">
                  <c:v>0.36</c:v>
                </c:pt>
                <c:pt idx="19">
                  <c:v>0.3505</c:v>
                </c:pt>
                <c:pt idx="20">
                  <c:v>0.3248</c:v>
                </c:pt>
                <c:pt idx="21">
                  <c:v>0.3162</c:v>
                </c:pt>
                <c:pt idx="22">
                  <c:v>0.315</c:v>
                </c:pt>
                <c:pt idx="23">
                  <c:v>0.311</c:v>
                </c:pt>
                <c:pt idx="24">
                  <c:v>0.2992</c:v>
                </c:pt>
                <c:pt idx="25">
                  <c:v>0.27</c:v>
                </c:pt>
                <c:pt idx="26">
                  <c:v>0.262</c:v>
                </c:pt>
                <c:pt idx="27">
                  <c:v>0.2596</c:v>
                </c:pt>
                <c:pt idx="28">
                  <c:v>0.2484</c:v>
                </c:pt>
                <c:pt idx="29">
                  <c:v>0.2386</c:v>
                </c:pt>
                <c:pt idx="30">
                  <c:v>0.2288</c:v>
                </c:pt>
                <c:pt idx="31">
                  <c:v>0.2226</c:v>
                </c:pt>
                <c:pt idx="32">
                  <c:v>0.2182</c:v>
                </c:pt>
                <c:pt idx="33">
                  <c:v>0.222</c:v>
                </c:pt>
                <c:pt idx="34">
                  <c:v>0.2202</c:v>
                </c:pt>
                <c:pt idx="35">
                  <c:v>0.2191</c:v>
                </c:pt>
                <c:pt idx="36">
                  <c:v>0.201</c:v>
                </c:pt>
                <c:pt idx="37">
                  <c:v>0.1958</c:v>
                </c:pt>
                <c:pt idx="38">
                  <c:v>0.19</c:v>
                </c:pt>
                <c:pt idx="39">
                  <c:v>0.1955</c:v>
                </c:pt>
                <c:pt idx="40">
                  <c:v>0.1938</c:v>
                </c:pt>
                <c:pt idx="41">
                  <c:v>0.1994</c:v>
                </c:pt>
                <c:pt idx="42">
                  <c:v>0.2092</c:v>
                </c:pt>
                <c:pt idx="43">
                  <c:v>0.2176</c:v>
                </c:pt>
                <c:pt idx="44">
                  <c:v>0.22</c:v>
                </c:pt>
                <c:pt idx="45">
                  <c:v>0.2296</c:v>
                </c:pt>
                <c:pt idx="46">
                  <c:v>0.2308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0882135"/>
        <c:axId val="373303445"/>
      </c:lineChart>
      <c:dateAx>
        <c:axId val="1208821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373303445"/>
        <c:crosses val="autoZero"/>
        <c:auto val="1"/>
        <c:lblOffset val="100"/>
        <c:baseTimeUnit val="days"/>
        <c:majorUnit val="24"/>
        <c:majorTimeUnit val="days"/>
      </c:dateAx>
      <c:valAx>
        <c:axId val="373303445"/>
        <c:scaling>
          <c:orientation val="minMax"/>
          <c:max val="0.75"/>
          <c:min val="0.15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2088213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span"/>
    <c:showDLblsOverMax val="0"/>
    <c:extLst>
      <c:ext uri="{0b15fc19-7d7d-44ad-8c2d-2c3a37ce22c3}">
        <chartProps xmlns="https://web.wps.cn/et/2018/main" chartId="{d0d6611d-6b62-481e-a472-b885f1409b9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</a:defRPr>
      </a:pPr>
    </a:p>
  </c:txPr>
  <c:externalData r:id="rId1">
    <c:autoUpdate val="0"/>
  </c:externalData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r>
              <a:rPr lang="en-US" altLang="zh-CN" sz="120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2022-2026</a:t>
            </a:r>
            <a:r>
              <a:rPr altLang="en-US" sz="120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年冻品库存率（多样本）</a:t>
            </a:r>
            <a:endParaRPr lang="en-US" altLang="zh-CN" sz="120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46578947368421"/>
          <c:y val="0.02430555555555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冻品库存率季节性!$D$3</c:f>
              <c:strCache>
                <c:ptCount val="1"/>
                <c:pt idx="0">
                  <c:v>2022年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冻品库存率季节性!$A$4:$A$54</c:f>
              <c:numCache>
                <c:formatCode>m"月"d"日";@</c:formatCode>
                <c:ptCount val="51"/>
                <c:pt idx="0" c:formatCode="m&quot;月&quot;d&quot;日&quot;;@">
                  <c:v>43466</c:v>
                </c:pt>
                <c:pt idx="1" c:formatCode="m&quot;月&quot;d&quot;日&quot;;@">
                  <c:v>43473</c:v>
                </c:pt>
                <c:pt idx="2" c:formatCode="m&quot;月&quot;d&quot;日&quot;;@">
                  <c:v>43480</c:v>
                </c:pt>
                <c:pt idx="3" c:formatCode="m&quot;月&quot;d&quot;日&quot;;@">
                  <c:v>43487</c:v>
                </c:pt>
                <c:pt idx="4" c:formatCode="m&quot;月&quot;d&quot;日&quot;;@">
                  <c:v>43494</c:v>
                </c:pt>
                <c:pt idx="5" c:formatCode="m&quot;月&quot;d&quot;日&quot;;@">
                  <c:v>43501</c:v>
                </c:pt>
                <c:pt idx="6" c:formatCode="m&quot;月&quot;d&quot;日&quot;;@">
                  <c:v>43508</c:v>
                </c:pt>
                <c:pt idx="7" c:formatCode="m&quot;月&quot;d&quot;日&quot;;@">
                  <c:v>43522</c:v>
                </c:pt>
                <c:pt idx="8" c:formatCode="m&quot;月&quot;d&quot;日&quot;;@">
                  <c:v>43529</c:v>
                </c:pt>
                <c:pt idx="9" c:formatCode="m&quot;月&quot;d&quot;日&quot;;@">
                  <c:v>43536</c:v>
                </c:pt>
                <c:pt idx="10" c:formatCode="m&quot;月&quot;d&quot;日&quot;;@">
                  <c:v>43543</c:v>
                </c:pt>
                <c:pt idx="11" c:formatCode="m&quot;月&quot;d&quot;日&quot;;@">
                  <c:v>43550</c:v>
                </c:pt>
                <c:pt idx="12" c:formatCode="m&quot;月&quot;d&quot;日&quot;;@">
                  <c:v>43557</c:v>
                </c:pt>
                <c:pt idx="13" c:formatCode="m&quot;月&quot;d&quot;日&quot;;@">
                  <c:v>43564</c:v>
                </c:pt>
                <c:pt idx="14" c:formatCode="m&quot;月&quot;d&quot;日&quot;;@">
                  <c:v>43571</c:v>
                </c:pt>
                <c:pt idx="15" c:formatCode="m&quot;月&quot;d&quot;日&quot;;@">
                  <c:v>43578</c:v>
                </c:pt>
                <c:pt idx="16" c:formatCode="m&quot;月&quot;d&quot;日&quot;;@">
                  <c:v>43585</c:v>
                </c:pt>
                <c:pt idx="17" c:formatCode="m&quot;月&quot;d&quot;日&quot;;@">
                  <c:v>43592</c:v>
                </c:pt>
                <c:pt idx="18" c:formatCode="m&quot;月&quot;d&quot;日&quot;;@">
                  <c:v>43599</c:v>
                </c:pt>
                <c:pt idx="19" c:formatCode="m&quot;月&quot;d&quot;日&quot;;@">
                  <c:v>43606</c:v>
                </c:pt>
                <c:pt idx="20" c:formatCode="m&quot;月&quot;d&quot;日&quot;;@">
                  <c:v>43613</c:v>
                </c:pt>
                <c:pt idx="21" c:formatCode="m&quot;月&quot;d&quot;日&quot;;@">
                  <c:v>43620</c:v>
                </c:pt>
                <c:pt idx="22" c:formatCode="m&quot;月&quot;d&quot;日&quot;;@">
                  <c:v>43627</c:v>
                </c:pt>
                <c:pt idx="23" c:formatCode="m&quot;月&quot;d&quot;日&quot;;@">
                  <c:v>43634</c:v>
                </c:pt>
                <c:pt idx="24" c:formatCode="m&quot;月&quot;d&quot;日&quot;;@">
                  <c:v>43641</c:v>
                </c:pt>
                <c:pt idx="25" c:formatCode="m&quot;月&quot;d&quot;日&quot;;@">
                  <c:v>43648</c:v>
                </c:pt>
                <c:pt idx="26" c:formatCode="m&quot;月&quot;d&quot;日&quot;;@">
                  <c:v>43655</c:v>
                </c:pt>
                <c:pt idx="27" c:formatCode="m&quot;月&quot;d&quot;日&quot;;@">
                  <c:v>43662</c:v>
                </c:pt>
                <c:pt idx="28" c:formatCode="m&quot;月&quot;d&quot;日&quot;;@">
                  <c:v>43669</c:v>
                </c:pt>
                <c:pt idx="29" c:formatCode="m&quot;月&quot;d&quot;日&quot;;@">
                  <c:v>43676</c:v>
                </c:pt>
                <c:pt idx="30" c:formatCode="m&quot;月&quot;d&quot;日&quot;;@">
                  <c:v>43683</c:v>
                </c:pt>
                <c:pt idx="31" c:formatCode="m&quot;月&quot;d&quot;日&quot;;@">
                  <c:v>43690</c:v>
                </c:pt>
                <c:pt idx="32" c:formatCode="m&quot;月&quot;d&quot;日&quot;;@">
                  <c:v>43697</c:v>
                </c:pt>
                <c:pt idx="33" c:formatCode="m&quot;月&quot;d&quot;日&quot;;@">
                  <c:v>43704</c:v>
                </c:pt>
                <c:pt idx="34" c:formatCode="m&quot;月&quot;d&quot;日&quot;;@">
                  <c:v>43711</c:v>
                </c:pt>
                <c:pt idx="35" c:formatCode="m&quot;月&quot;d&quot;日&quot;;@">
                  <c:v>43718</c:v>
                </c:pt>
                <c:pt idx="36" c:formatCode="m&quot;月&quot;d&quot;日&quot;;@">
                  <c:v>43725</c:v>
                </c:pt>
                <c:pt idx="37" c:formatCode="m&quot;月&quot;d&quot;日&quot;;@">
                  <c:v>43732</c:v>
                </c:pt>
                <c:pt idx="38" c:formatCode="m&quot;月&quot;d&quot;日&quot;;@">
                  <c:v>43740</c:v>
                </c:pt>
                <c:pt idx="39" c:formatCode="m&quot;月&quot;d&quot;日&quot;;@">
                  <c:v>43747</c:v>
                </c:pt>
                <c:pt idx="40" c:formatCode="m&quot;月&quot;d&quot;日&quot;;@">
                  <c:v>43754</c:v>
                </c:pt>
                <c:pt idx="41" c:formatCode="m&quot;月&quot;d&quot;日&quot;;@">
                  <c:v>43761</c:v>
                </c:pt>
                <c:pt idx="42" c:formatCode="m&quot;月&quot;d&quot;日&quot;;@">
                  <c:v>43768</c:v>
                </c:pt>
                <c:pt idx="43" c:formatCode="m&quot;月&quot;d&quot;日&quot;;@">
                  <c:v>43775</c:v>
                </c:pt>
                <c:pt idx="44" c:formatCode="m&quot;月&quot;d&quot;日&quot;;@">
                  <c:v>43782</c:v>
                </c:pt>
                <c:pt idx="45" c:formatCode="m&quot;月&quot;d&quot;日&quot;;@">
                  <c:v>43789</c:v>
                </c:pt>
                <c:pt idx="46" c:formatCode="m&quot;月&quot;d&quot;日&quot;;@">
                  <c:v>43796</c:v>
                </c:pt>
                <c:pt idx="47" c:formatCode="m&quot;月&quot;d&quot;日&quot;;@">
                  <c:v>43803</c:v>
                </c:pt>
                <c:pt idx="48" c:formatCode="m&quot;月&quot;d&quot;日&quot;;@">
                  <c:v>43810</c:v>
                </c:pt>
                <c:pt idx="49" c:formatCode="m&quot;月&quot;d&quot;日&quot;;@">
                  <c:v>43817</c:v>
                </c:pt>
                <c:pt idx="50" c:formatCode="m&quot;月&quot;d&quot;日&quot;;@">
                  <c:v>43824</c:v>
                </c:pt>
              </c:numCache>
            </c:numRef>
          </c:cat>
          <c:val>
            <c:numRef>
              <c:f>冻品库存率季节性!$D$4:$D$54</c:f>
              <c:numCache>
                <c:formatCode>0.00%</c:formatCode>
                <c:ptCount val="51"/>
                <c:pt idx="0">
                  <c:v>0.1623</c:v>
                </c:pt>
                <c:pt idx="1">
                  <c:v>0.163</c:v>
                </c:pt>
                <c:pt idx="2">
                  <c:v>0.1592</c:v>
                </c:pt>
                <c:pt idx="3">
                  <c:v>0.1575</c:v>
                </c:pt>
                <c:pt idx="4">
                  <c:v>0.1538</c:v>
                </c:pt>
                <c:pt idx="5">
                  <c:v>0.1598</c:v>
                </c:pt>
                <c:pt idx="6">
                  <c:v>0.1618</c:v>
                </c:pt>
                <c:pt idx="7">
                  <c:v>0.1623</c:v>
                </c:pt>
                <c:pt idx="8">
                  <c:v>0.1763</c:v>
                </c:pt>
                <c:pt idx="9">
                  <c:v>0.178</c:v>
                </c:pt>
                <c:pt idx="10">
                  <c:v>0.1795</c:v>
                </c:pt>
                <c:pt idx="11">
                  <c:v>0.189</c:v>
                </c:pt>
                <c:pt idx="12">
                  <c:v>0.1913</c:v>
                </c:pt>
                <c:pt idx="13">
                  <c:v>0.1942</c:v>
                </c:pt>
                <c:pt idx="14">
                  <c:v>0.1858</c:v>
                </c:pt>
                <c:pt idx="15">
                  <c:v>0.1833</c:v>
                </c:pt>
                <c:pt idx="16">
                  <c:v>0.1848</c:v>
                </c:pt>
                <c:pt idx="17">
                  <c:v>0.1765</c:v>
                </c:pt>
                <c:pt idx="18">
                  <c:v>0.174</c:v>
                </c:pt>
                <c:pt idx="19">
                  <c:v>0.1733</c:v>
                </c:pt>
                <c:pt idx="20">
                  <c:v>0.1772</c:v>
                </c:pt>
                <c:pt idx="21">
                  <c:v>0.1785</c:v>
                </c:pt>
                <c:pt idx="22">
                  <c:v>0.1802</c:v>
                </c:pt>
                <c:pt idx="23">
                  <c:v>0.1807</c:v>
                </c:pt>
                <c:pt idx="24">
                  <c:v>0.1743</c:v>
                </c:pt>
                <c:pt idx="25">
                  <c:v>0.1725</c:v>
                </c:pt>
                <c:pt idx="26">
                  <c:v>0.173</c:v>
                </c:pt>
                <c:pt idx="27">
                  <c:v>0.1722</c:v>
                </c:pt>
                <c:pt idx="28">
                  <c:v>0.1652</c:v>
                </c:pt>
                <c:pt idx="29">
                  <c:v>0.1633</c:v>
                </c:pt>
                <c:pt idx="30">
                  <c:v>0.1592</c:v>
                </c:pt>
                <c:pt idx="31">
                  <c:v>0.1615</c:v>
                </c:pt>
                <c:pt idx="32">
                  <c:v>0.1597</c:v>
                </c:pt>
                <c:pt idx="33">
                  <c:v>0.157</c:v>
                </c:pt>
                <c:pt idx="34">
                  <c:v>0.1538</c:v>
                </c:pt>
                <c:pt idx="35">
                  <c:v>0.1517</c:v>
                </c:pt>
                <c:pt idx="36">
                  <c:v>0.145</c:v>
                </c:pt>
                <c:pt idx="37">
                  <c:v>0.1428</c:v>
                </c:pt>
                <c:pt idx="38">
                  <c:v>0.1378</c:v>
                </c:pt>
                <c:pt idx="39">
                  <c:v>0.1363</c:v>
                </c:pt>
                <c:pt idx="40">
                  <c:v>0.1358</c:v>
                </c:pt>
                <c:pt idx="41">
                  <c:v>0.1355</c:v>
                </c:pt>
                <c:pt idx="42">
                  <c:v>0.1408</c:v>
                </c:pt>
                <c:pt idx="43">
                  <c:v>0.1393</c:v>
                </c:pt>
                <c:pt idx="44">
                  <c:v>0.1378</c:v>
                </c:pt>
                <c:pt idx="45">
                  <c:v>0.1368</c:v>
                </c:pt>
                <c:pt idx="46">
                  <c:v>0.1325</c:v>
                </c:pt>
                <c:pt idx="47">
                  <c:v>0.1325</c:v>
                </c:pt>
                <c:pt idx="48">
                  <c:v>0.1297</c:v>
                </c:pt>
                <c:pt idx="49">
                  <c:v>0.1298</c:v>
                </c:pt>
                <c:pt idx="50">
                  <c:v>0.1292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冻品库存率季节性!$E$3</c:f>
              <c:strCache>
                <c:ptCount val="1"/>
                <c:pt idx="0">
                  <c:v>2023年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冻品库存率季节性!$A$4:$A$54</c:f>
              <c:numCache>
                <c:formatCode>m"月"d"日";@</c:formatCode>
                <c:ptCount val="51"/>
                <c:pt idx="0" c:formatCode="m&quot;月&quot;d&quot;日&quot;;@">
                  <c:v>43466</c:v>
                </c:pt>
                <c:pt idx="1" c:formatCode="m&quot;月&quot;d&quot;日&quot;;@">
                  <c:v>43473</c:v>
                </c:pt>
                <c:pt idx="2" c:formatCode="m&quot;月&quot;d&quot;日&quot;;@">
                  <c:v>43480</c:v>
                </c:pt>
                <c:pt idx="3" c:formatCode="m&quot;月&quot;d&quot;日&quot;;@">
                  <c:v>43487</c:v>
                </c:pt>
                <c:pt idx="4" c:formatCode="m&quot;月&quot;d&quot;日&quot;;@">
                  <c:v>43494</c:v>
                </c:pt>
                <c:pt idx="5" c:formatCode="m&quot;月&quot;d&quot;日&quot;;@">
                  <c:v>43501</c:v>
                </c:pt>
                <c:pt idx="6" c:formatCode="m&quot;月&quot;d&quot;日&quot;;@">
                  <c:v>43508</c:v>
                </c:pt>
                <c:pt idx="7" c:formatCode="m&quot;月&quot;d&quot;日&quot;;@">
                  <c:v>43522</c:v>
                </c:pt>
                <c:pt idx="8" c:formatCode="m&quot;月&quot;d&quot;日&quot;;@">
                  <c:v>43529</c:v>
                </c:pt>
                <c:pt idx="9" c:formatCode="m&quot;月&quot;d&quot;日&quot;;@">
                  <c:v>43536</c:v>
                </c:pt>
                <c:pt idx="10" c:formatCode="m&quot;月&quot;d&quot;日&quot;;@">
                  <c:v>43543</c:v>
                </c:pt>
                <c:pt idx="11" c:formatCode="m&quot;月&quot;d&quot;日&quot;;@">
                  <c:v>43550</c:v>
                </c:pt>
                <c:pt idx="12" c:formatCode="m&quot;月&quot;d&quot;日&quot;;@">
                  <c:v>43557</c:v>
                </c:pt>
                <c:pt idx="13" c:formatCode="m&quot;月&quot;d&quot;日&quot;;@">
                  <c:v>43564</c:v>
                </c:pt>
                <c:pt idx="14" c:formatCode="m&quot;月&quot;d&quot;日&quot;;@">
                  <c:v>43571</c:v>
                </c:pt>
                <c:pt idx="15" c:formatCode="m&quot;月&quot;d&quot;日&quot;;@">
                  <c:v>43578</c:v>
                </c:pt>
                <c:pt idx="16" c:formatCode="m&quot;月&quot;d&quot;日&quot;;@">
                  <c:v>43585</c:v>
                </c:pt>
                <c:pt idx="17" c:formatCode="m&quot;月&quot;d&quot;日&quot;;@">
                  <c:v>43592</c:v>
                </c:pt>
                <c:pt idx="18" c:formatCode="m&quot;月&quot;d&quot;日&quot;;@">
                  <c:v>43599</c:v>
                </c:pt>
                <c:pt idx="19" c:formatCode="m&quot;月&quot;d&quot;日&quot;;@">
                  <c:v>43606</c:v>
                </c:pt>
                <c:pt idx="20" c:formatCode="m&quot;月&quot;d&quot;日&quot;;@">
                  <c:v>43613</c:v>
                </c:pt>
                <c:pt idx="21" c:formatCode="m&quot;月&quot;d&quot;日&quot;;@">
                  <c:v>43620</c:v>
                </c:pt>
                <c:pt idx="22" c:formatCode="m&quot;月&quot;d&quot;日&quot;;@">
                  <c:v>43627</c:v>
                </c:pt>
                <c:pt idx="23" c:formatCode="m&quot;月&quot;d&quot;日&quot;;@">
                  <c:v>43634</c:v>
                </c:pt>
                <c:pt idx="24" c:formatCode="m&quot;月&quot;d&quot;日&quot;;@">
                  <c:v>43641</c:v>
                </c:pt>
                <c:pt idx="25" c:formatCode="m&quot;月&quot;d&quot;日&quot;;@">
                  <c:v>43648</c:v>
                </c:pt>
                <c:pt idx="26" c:formatCode="m&quot;月&quot;d&quot;日&quot;;@">
                  <c:v>43655</c:v>
                </c:pt>
                <c:pt idx="27" c:formatCode="m&quot;月&quot;d&quot;日&quot;;@">
                  <c:v>43662</c:v>
                </c:pt>
                <c:pt idx="28" c:formatCode="m&quot;月&quot;d&quot;日&quot;;@">
                  <c:v>43669</c:v>
                </c:pt>
                <c:pt idx="29" c:formatCode="m&quot;月&quot;d&quot;日&quot;;@">
                  <c:v>43676</c:v>
                </c:pt>
                <c:pt idx="30" c:formatCode="m&quot;月&quot;d&quot;日&quot;;@">
                  <c:v>43683</c:v>
                </c:pt>
                <c:pt idx="31" c:formatCode="m&quot;月&quot;d&quot;日&quot;;@">
                  <c:v>43690</c:v>
                </c:pt>
                <c:pt idx="32" c:formatCode="m&quot;月&quot;d&quot;日&quot;;@">
                  <c:v>43697</c:v>
                </c:pt>
                <c:pt idx="33" c:formatCode="m&quot;月&quot;d&quot;日&quot;;@">
                  <c:v>43704</c:v>
                </c:pt>
                <c:pt idx="34" c:formatCode="m&quot;月&quot;d&quot;日&quot;;@">
                  <c:v>43711</c:v>
                </c:pt>
                <c:pt idx="35" c:formatCode="m&quot;月&quot;d&quot;日&quot;;@">
                  <c:v>43718</c:v>
                </c:pt>
                <c:pt idx="36" c:formatCode="m&quot;月&quot;d&quot;日&quot;;@">
                  <c:v>43725</c:v>
                </c:pt>
                <c:pt idx="37" c:formatCode="m&quot;月&quot;d&quot;日&quot;;@">
                  <c:v>43732</c:v>
                </c:pt>
                <c:pt idx="38" c:formatCode="m&quot;月&quot;d&quot;日&quot;;@">
                  <c:v>43740</c:v>
                </c:pt>
                <c:pt idx="39" c:formatCode="m&quot;月&quot;d&quot;日&quot;;@">
                  <c:v>43747</c:v>
                </c:pt>
                <c:pt idx="40" c:formatCode="m&quot;月&quot;d&quot;日&quot;;@">
                  <c:v>43754</c:v>
                </c:pt>
                <c:pt idx="41" c:formatCode="m&quot;月&quot;d&quot;日&quot;;@">
                  <c:v>43761</c:v>
                </c:pt>
                <c:pt idx="42" c:formatCode="m&quot;月&quot;d&quot;日&quot;;@">
                  <c:v>43768</c:v>
                </c:pt>
                <c:pt idx="43" c:formatCode="m&quot;月&quot;d&quot;日&quot;;@">
                  <c:v>43775</c:v>
                </c:pt>
                <c:pt idx="44" c:formatCode="m&quot;月&quot;d&quot;日&quot;;@">
                  <c:v>43782</c:v>
                </c:pt>
                <c:pt idx="45" c:formatCode="m&quot;月&quot;d&quot;日&quot;;@">
                  <c:v>43789</c:v>
                </c:pt>
                <c:pt idx="46" c:formatCode="m&quot;月&quot;d&quot;日&quot;;@">
                  <c:v>43796</c:v>
                </c:pt>
                <c:pt idx="47" c:formatCode="m&quot;月&quot;d&quot;日&quot;;@">
                  <c:v>43803</c:v>
                </c:pt>
                <c:pt idx="48" c:formatCode="m&quot;月&quot;d&quot;日&quot;;@">
                  <c:v>43810</c:v>
                </c:pt>
                <c:pt idx="49" c:formatCode="m&quot;月&quot;d&quot;日&quot;;@">
                  <c:v>43817</c:v>
                </c:pt>
                <c:pt idx="50" c:formatCode="m&quot;月&quot;d&quot;日&quot;;@">
                  <c:v>43824</c:v>
                </c:pt>
              </c:numCache>
            </c:numRef>
          </c:cat>
          <c:val>
            <c:numRef>
              <c:f>冻品库存率季节性!$E$4:$E$54</c:f>
              <c:numCache>
                <c:formatCode>0.00%</c:formatCode>
                <c:ptCount val="51"/>
                <c:pt idx="0">
                  <c:v>0.1343</c:v>
                </c:pt>
                <c:pt idx="1">
                  <c:v>0.1333</c:v>
                </c:pt>
                <c:pt idx="3">
                  <c:v>0.1405</c:v>
                </c:pt>
                <c:pt idx="4">
                  <c:v>0.1475</c:v>
                </c:pt>
                <c:pt idx="5">
                  <c:v>0.1547</c:v>
                </c:pt>
                <c:pt idx="6">
                  <c:v>0.1772</c:v>
                </c:pt>
                <c:pt idx="7">
                  <c:v>0.1858</c:v>
                </c:pt>
                <c:pt idx="8">
                  <c:v>0.1907</c:v>
                </c:pt>
                <c:pt idx="9">
                  <c:v>0.1972</c:v>
                </c:pt>
                <c:pt idx="10">
                  <c:v>0.2137</c:v>
                </c:pt>
                <c:pt idx="11">
                  <c:v>0.2303</c:v>
                </c:pt>
                <c:pt idx="12">
                  <c:v>0.2333</c:v>
                </c:pt>
                <c:pt idx="13">
                  <c:v>0.2432</c:v>
                </c:pt>
                <c:pt idx="14">
                  <c:v>0.2563</c:v>
                </c:pt>
                <c:pt idx="15">
                  <c:v>0.255</c:v>
                </c:pt>
                <c:pt idx="16">
                  <c:v>0.2562</c:v>
                </c:pt>
                <c:pt idx="17">
                  <c:v>0.2528</c:v>
                </c:pt>
                <c:pt idx="18">
                  <c:v>0.2495</c:v>
                </c:pt>
                <c:pt idx="19">
                  <c:v>0.2467</c:v>
                </c:pt>
                <c:pt idx="20">
                  <c:v>0.242</c:v>
                </c:pt>
                <c:pt idx="21">
                  <c:v>0.2593</c:v>
                </c:pt>
                <c:pt idx="22">
                  <c:v>0.2547</c:v>
                </c:pt>
                <c:pt idx="23">
                  <c:v>0.2508</c:v>
                </c:pt>
                <c:pt idx="24">
                  <c:v>0.2497</c:v>
                </c:pt>
                <c:pt idx="25">
                  <c:v>0.2463</c:v>
                </c:pt>
                <c:pt idx="26">
                  <c:v>0.2367</c:v>
                </c:pt>
                <c:pt idx="27">
                  <c:v>0.2222</c:v>
                </c:pt>
                <c:pt idx="28">
                  <c:v>0.2132</c:v>
                </c:pt>
                <c:pt idx="29">
                  <c:v>0.205</c:v>
                </c:pt>
                <c:pt idx="30">
                  <c:v>0.2023</c:v>
                </c:pt>
                <c:pt idx="31">
                  <c:v>0.2008</c:v>
                </c:pt>
                <c:pt idx="32">
                  <c:v>0.1983</c:v>
                </c:pt>
                <c:pt idx="33">
                  <c:v>0.198</c:v>
                </c:pt>
                <c:pt idx="34">
                  <c:v>0.1956</c:v>
                </c:pt>
                <c:pt idx="35">
                  <c:v>0.1902</c:v>
                </c:pt>
                <c:pt idx="36">
                  <c:v>0.1875</c:v>
                </c:pt>
                <c:pt idx="37">
                  <c:v>0.1862</c:v>
                </c:pt>
                <c:pt idx="38">
                  <c:v>0.1858</c:v>
                </c:pt>
                <c:pt idx="39">
                  <c:v>0.186</c:v>
                </c:pt>
                <c:pt idx="40">
                  <c:v>0.1885</c:v>
                </c:pt>
                <c:pt idx="41">
                  <c:v>0.1962</c:v>
                </c:pt>
                <c:pt idx="42">
                  <c:v>0.205</c:v>
                </c:pt>
                <c:pt idx="43">
                  <c:v>0.2075</c:v>
                </c:pt>
                <c:pt idx="44">
                  <c:v>0.207</c:v>
                </c:pt>
                <c:pt idx="45">
                  <c:v>0.2093</c:v>
                </c:pt>
                <c:pt idx="46">
                  <c:v>0.2077</c:v>
                </c:pt>
                <c:pt idx="47">
                  <c:v>0.2088</c:v>
                </c:pt>
                <c:pt idx="48">
                  <c:v>0.2057</c:v>
                </c:pt>
                <c:pt idx="49">
                  <c:v>0.2048</c:v>
                </c:pt>
                <c:pt idx="50">
                  <c:v>0.2017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冻品库存率季节性!$F$3</c:f>
              <c:strCache>
                <c:ptCount val="1"/>
                <c:pt idx="0">
                  <c:v>2024年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冻品库存率季节性!$A$4:$A$54</c:f>
              <c:numCache>
                <c:formatCode>m"月"d"日";@</c:formatCode>
                <c:ptCount val="51"/>
                <c:pt idx="0" c:formatCode="m&quot;月&quot;d&quot;日&quot;;@">
                  <c:v>43466</c:v>
                </c:pt>
                <c:pt idx="1" c:formatCode="m&quot;月&quot;d&quot;日&quot;;@">
                  <c:v>43473</c:v>
                </c:pt>
                <c:pt idx="2" c:formatCode="m&quot;月&quot;d&quot;日&quot;;@">
                  <c:v>43480</c:v>
                </c:pt>
                <c:pt idx="3" c:formatCode="m&quot;月&quot;d&quot;日&quot;;@">
                  <c:v>43487</c:v>
                </c:pt>
                <c:pt idx="4" c:formatCode="m&quot;月&quot;d&quot;日&quot;;@">
                  <c:v>43494</c:v>
                </c:pt>
                <c:pt idx="5" c:formatCode="m&quot;月&quot;d&quot;日&quot;;@">
                  <c:v>43501</c:v>
                </c:pt>
                <c:pt idx="6" c:formatCode="m&quot;月&quot;d&quot;日&quot;;@">
                  <c:v>43508</c:v>
                </c:pt>
                <c:pt idx="7" c:formatCode="m&quot;月&quot;d&quot;日&quot;;@">
                  <c:v>43522</c:v>
                </c:pt>
                <c:pt idx="8" c:formatCode="m&quot;月&quot;d&quot;日&quot;;@">
                  <c:v>43529</c:v>
                </c:pt>
                <c:pt idx="9" c:formatCode="m&quot;月&quot;d&quot;日&quot;;@">
                  <c:v>43536</c:v>
                </c:pt>
                <c:pt idx="10" c:formatCode="m&quot;月&quot;d&quot;日&quot;;@">
                  <c:v>43543</c:v>
                </c:pt>
                <c:pt idx="11" c:formatCode="m&quot;月&quot;d&quot;日&quot;;@">
                  <c:v>43550</c:v>
                </c:pt>
                <c:pt idx="12" c:formatCode="m&quot;月&quot;d&quot;日&quot;;@">
                  <c:v>43557</c:v>
                </c:pt>
                <c:pt idx="13" c:formatCode="m&quot;月&quot;d&quot;日&quot;;@">
                  <c:v>43564</c:v>
                </c:pt>
                <c:pt idx="14" c:formatCode="m&quot;月&quot;d&quot;日&quot;;@">
                  <c:v>43571</c:v>
                </c:pt>
                <c:pt idx="15" c:formatCode="m&quot;月&quot;d&quot;日&quot;;@">
                  <c:v>43578</c:v>
                </c:pt>
                <c:pt idx="16" c:formatCode="m&quot;月&quot;d&quot;日&quot;;@">
                  <c:v>43585</c:v>
                </c:pt>
                <c:pt idx="17" c:formatCode="m&quot;月&quot;d&quot;日&quot;;@">
                  <c:v>43592</c:v>
                </c:pt>
                <c:pt idx="18" c:formatCode="m&quot;月&quot;d&quot;日&quot;;@">
                  <c:v>43599</c:v>
                </c:pt>
                <c:pt idx="19" c:formatCode="m&quot;月&quot;d&quot;日&quot;;@">
                  <c:v>43606</c:v>
                </c:pt>
                <c:pt idx="20" c:formatCode="m&quot;月&quot;d&quot;日&quot;;@">
                  <c:v>43613</c:v>
                </c:pt>
                <c:pt idx="21" c:formatCode="m&quot;月&quot;d&quot;日&quot;;@">
                  <c:v>43620</c:v>
                </c:pt>
                <c:pt idx="22" c:formatCode="m&quot;月&quot;d&quot;日&quot;;@">
                  <c:v>43627</c:v>
                </c:pt>
                <c:pt idx="23" c:formatCode="m&quot;月&quot;d&quot;日&quot;;@">
                  <c:v>43634</c:v>
                </c:pt>
                <c:pt idx="24" c:formatCode="m&quot;月&quot;d&quot;日&quot;;@">
                  <c:v>43641</c:v>
                </c:pt>
                <c:pt idx="25" c:formatCode="m&quot;月&quot;d&quot;日&quot;;@">
                  <c:v>43648</c:v>
                </c:pt>
                <c:pt idx="26" c:formatCode="m&quot;月&quot;d&quot;日&quot;;@">
                  <c:v>43655</c:v>
                </c:pt>
                <c:pt idx="27" c:formatCode="m&quot;月&quot;d&quot;日&quot;;@">
                  <c:v>43662</c:v>
                </c:pt>
                <c:pt idx="28" c:formatCode="m&quot;月&quot;d&quot;日&quot;;@">
                  <c:v>43669</c:v>
                </c:pt>
                <c:pt idx="29" c:formatCode="m&quot;月&quot;d&quot;日&quot;;@">
                  <c:v>43676</c:v>
                </c:pt>
                <c:pt idx="30" c:formatCode="m&quot;月&quot;d&quot;日&quot;;@">
                  <c:v>43683</c:v>
                </c:pt>
                <c:pt idx="31" c:formatCode="m&quot;月&quot;d&quot;日&quot;;@">
                  <c:v>43690</c:v>
                </c:pt>
                <c:pt idx="32" c:formatCode="m&quot;月&quot;d&quot;日&quot;;@">
                  <c:v>43697</c:v>
                </c:pt>
                <c:pt idx="33" c:formatCode="m&quot;月&quot;d&quot;日&quot;;@">
                  <c:v>43704</c:v>
                </c:pt>
                <c:pt idx="34" c:formatCode="m&quot;月&quot;d&quot;日&quot;;@">
                  <c:v>43711</c:v>
                </c:pt>
                <c:pt idx="35" c:formatCode="m&quot;月&quot;d&quot;日&quot;;@">
                  <c:v>43718</c:v>
                </c:pt>
                <c:pt idx="36" c:formatCode="m&quot;月&quot;d&quot;日&quot;;@">
                  <c:v>43725</c:v>
                </c:pt>
                <c:pt idx="37" c:formatCode="m&quot;月&quot;d&quot;日&quot;;@">
                  <c:v>43732</c:v>
                </c:pt>
                <c:pt idx="38" c:formatCode="m&quot;月&quot;d&quot;日&quot;;@">
                  <c:v>43740</c:v>
                </c:pt>
                <c:pt idx="39" c:formatCode="m&quot;月&quot;d&quot;日&quot;;@">
                  <c:v>43747</c:v>
                </c:pt>
                <c:pt idx="40" c:formatCode="m&quot;月&quot;d&quot;日&quot;;@">
                  <c:v>43754</c:v>
                </c:pt>
                <c:pt idx="41" c:formatCode="m&quot;月&quot;d&quot;日&quot;;@">
                  <c:v>43761</c:v>
                </c:pt>
                <c:pt idx="42" c:formatCode="m&quot;月&quot;d&quot;日&quot;;@">
                  <c:v>43768</c:v>
                </c:pt>
                <c:pt idx="43" c:formatCode="m&quot;月&quot;d&quot;日&quot;;@">
                  <c:v>43775</c:v>
                </c:pt>
                <c:pt idx="44" c:formatCode="m&quot;月&quot;d&quot;日&quot;;@">
                  <c:v>43782</c:v>
                </c:pt>
                <c:pt idx="45" c:formatCode="m&quot;月&quot;d&quot;日&quot;;@">
                  <c:v>43789</c:v>
                </c:pt>
                <c:pt idx="46" c:formatCode="m&quot;月&quot;d&quot;日&quot;;@">
                  <c:v>43796</c:v>
                </c:pt>
                <c:pt idx="47" c:formatCode="m&quot;月&quot;d&quot;日&quot;;@">
                  <c:v>43803</c:v>
                </c:pt>
                <c:pt idx="48" c:formatCode="m&quot;月&quot;d&quot;日&quot;;@">
                  <c:v>43810</c:v>
                </c:pt>
                <c:pt idx="49" c:formatCode="m&quot;月&quot;d&quot;日&quot;;@">
                  <c:v>43817</c:v>
                </c:pt>
                <c:pt idx="50" c:formatCode="m&quot;月&quot;d&quot;日&quot;;@">
                  <c:v>43824</c:v>
                </c:pt>
              </c:numCache>
            </c:numRef>
          </c:cat>
          <c:val>
            <c:numRef>
              <c:f>冻品库存率季节性!$F$4:$F$54</c:f>
              <c:numCache>
                <c:formatCode>0.00%</c:formatCode>
                <c:ptCount val="51"/>
                <c:pt idx="0">
                  <c:v>0.1953</c:v>
                </c:pt>
                <c:pt idx="1">
                  <c:v>0.193</c:v>
                </c:pt>
                <c:pt idx="2">
                  <c:v>0.1905</c:v>
                </c:pt>
                <c:pt idx="3">
                  <c:v>0.1888</c:v>
                </c:pt>
                <c:pt idx="4">
                  <c:v>0.1878</c:v>
                </c:pt>
                <c:pt idx="5">
                  <c:v>0.1737</c:v>
                </c:pt>
                <c:pt idx="6">
                  <c:v>0.1788</c:v>
                </c:pt>
                <c:pt idx="8">
                  <c:v>0.1813</c:v>
                </c:pt>
                <c:pt idx="9">
                  <c:v>0.1845</c:v>
                </c:pt>
                <c:pt idx="10">
                  <c:v>0.1863</c:v>
                </c:pt>
                <c:pt idx="11">
                  <c:v>0.1835</c:v>
                </c:pt>
                <c:pt idx="12">
                  <c:v>0.1783</c:v>
                </c:pt>
                <c:pt idx="13">
                  <c:v>0.1745</c:v>
                </c:pt>
                <c:pt idx="14">
                  <c:v>0.173</c:v>
                </c:pt>
                <c:pt idx="15">
                  <c:v>0.173</c:v>
                </c:pt>
                <c:pt idx="16">
                  <c:v>0.1718</c:v>
                </c:pt>
                <c:pt idx="17">
                  <c:v>0.1713</c:v>
                </c:pt>
                <c:pt idx="18">
                  <c:v>0.1718</c:v>
                </c:pt>
                <c:pt idx="19">
                  <c:v>0.1717</c:v>
                </c:pt>
                <c:pt idx="20">
                  <c:v>0.1667</c:v>
                </c:pt>
                <c:pt idx="21">
                  <c:v>0.1648</c:v>
                </c:pt>
                <c:pt idx="22">
                  <c:v>0.1655</c:v>
                </c:pt>
                <c:pt idx="23">
                  <c:v>0.1664</c:v>
                </c:pt>
                <c:pt idx="24">
                  <c:v>0.1679</c:v>
                </c:pt>
                <c:pt idx="25">
                  <c:v>0.1701</c:v>
                </c:pt>
                <c:pt idx="26">
                  <c:v>0.1705</c:v>
                </c:pt>
                <c:pt idx="27">
                  <c:v>0.1688</c:v>
                </c:pt>
                <c:pt idx="28">
                  <c:v>0.1674</c:v>
                </c:pt>
                <c:pt idx="29">
                  <c:v>0.1666</c:v>
                </c:pt>
                <c:pt idx="30">
                  <c:v>0.1656</c:v>
                </c:pt>
                <c:pt idx="31">
                  <c:v>0.1638</c:v>
                </c:pt>
                <c:pt idx="32">
                  <c:v>0.1589</c:v>
                </c:pt>
                <c:pt idx="33">
                  <c:v>0.1597</c:v>
                </c:pt>
                <c:pt idx="34">
                  <c:v>0.158</c:v>
                </c:pt>
                <c:pt idx="35">
                  <c:v>0.1578</c:v>
                </c:pt>
                <c:pt idx="36">
                  <c:v>0.1557</c:v>
                </c:pt>
                <c:pt idx="37">
                  <c:v>0.1584</c:v>
                </c:pt>
                <c:pt idx="39">
                  <c:v>0.1607</c:v>
                </c:pt>
                <c:pt idx="40">
                  <c:v>0.1605</c:v>
                </c:pt>
                <c:pt idx="41">
                  <c:v>0.1603</c:v>
                </c:pt>
                <c:pt idx="42">
                  <c:v>0.1596</c:v>
                </c:pt>
                <c:pt idx="43">
                  <c:v>0.1597</c:v>
                </c:pt>
                <c:pt idx="44">
                  <c:v>0.1592</c:v>
                </c:pt>
                <c:pt idx="45">
                  <c:v>0.1593</c:v>
                </c:pt>
                <c:pt idx="46">
                  <c:v>0.1588</c:v>
                </c:pt>
                <c:pt idx="47">
                  <c:v>0.1582</c:v>
                </c:pt>
                <c:pt idx="48">
                  <c:v>0.1556</c:v>
                </c:pt>
                <c:pt idx="49">
                  <c:v>0.1501</c:v>
                </c:pt>
                <c:pt idx="50">
                  <c:v>0.1505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冻品库存率季节性!$G$3</c:f>
              <c:strCache>
                <c:ptCount val="1"/>
                <c:pt idx="0">
                  <c:v>2025年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冻品库存率季节性!$A$4:$A$54</c:f>
              <c:numCache>
                <c:formatCode>m"月"d"日";@</c:formatCode>
                <c:ptCount val="51"/>
                <c:pt idx="0" c:formatCode="m&quot;月&quot;d&quot;日&quot;;@">
                  <c:v>43466</c:v>
                </c:pt>
                <c:pt idx="1" c:formatCode="m&quot;月&quot;d&quot;日&quot;;@">
                  <c:v>43473</c:v>
                </c:pt>
                <c:pt idx="2" c:formatCode="m&quot;月&quot;d&quot;日&quot;;@">
                  <c:v>43480</c:v>
                </c:pt>
                <c:pt idx="3" c:formatCode="m&quot;月&quot;d&quot;日&quot;;@">
                  <c:v>43487</c:v>
                </c:pt>
                <c:pt idx="4" c:formatCode="m&quot;月&quot;d&quot;日&quot;;@">
                  <c:v>43494</c:v>
                </c:pt>
                <c:pt idx="5" c:formatCode="m&quot;月&quot;d&quot;日&quot;;@">
                  <c:v>43501</c:v>
                </c:pt>
                <c:pt idx="6" c:formatCode="m&quot;月&quot;d&quot;日&quot;;@">
                  <c:v>43508</c:v>
                </c:pt>
                <c:pt idx="7" c:formatCode="m&quot;月&quot;d&quot;日&quot;;@">
                  <c:v>43522</c:v>
                </c:pt>
                <c:pt idx="8" c:formatCode="m&quot;月&quot;d&quot;日&quot;;@">
                  <c:v>43529</c:v>
                </c:pt>
                <c:pt idx="9" c:formatCode="m&quot;月&quot;d&quot;日&quot;;@">
                  <c:v>43536</c:v>
                </c:pt>
                <c:pt idx="10" c:formatCode="m&quot;月&quot;d&quot;日&quot;;@">
                  <c:v>43543</c:v>
                </c:pt>
                <c:pt idx="11" c:formatCode="m&quot;月&quot;d&quot;日&quot;;@">
                  <c:v>43550</c:v>
                </c:pt>
                <c:pt idx="12" c:formatCode="m&quot;月&quot;d&quot;日&quot;;@">
                  <c:v>43557</c:v>
                </c:pt>
                <c:pt idx="13" c:formatCode="m&quot;月&quot;d&quot;日&quot;;@">
                  <c:v>43564</c:v>
                </c:pt>
                <c:pt idx="14" c:formatCode="m&quot;月&quot;d&quot;日&quot;;@">
                  <c:v>43571</c:v>
                </c:pt>
                <c:pt idx="15" c:formatCode="m&quot;月&quot;d&quot;日&quot;;@">
                  <c:v>43578</c:v>
                </c:pt>
                <c:pt idx="16" c:formatCode="m&quot;月&quot;d&quot;日&quot;;@">
                  <c:v>43585</c:v>
                </c:pt>
                <c:pt idx="17" c:formatCode="m&quot;月&quot;d&quot;日&quot;;@">
                  <c:v>43592</c:v>
                </c:pt>
                <c:pt idx="18" c:formatCode="m&quot;月&quot;d&quot;日&quot;;@">
                  <c:v>43599</c:v>
                </c:pt>
                <c:pt idx="19" c:formatCode="m&quot;月&quot;d&quot;日&quot;;@">
                  <c:v>43606</c:v>
                </c:pt>
                <c:pt idx="20" c:formatCode="m&quot;月&quot;d&quot;日&quot;;@">
                  <c:v>43613</c:v>
                </c:pt>
                <c:pt idx="21" c:formatCode="m&quot;月&quot;d&quot;日&quot;;@">
                  <c:v>43620</c:v>
                </c:pt>
                <c:pt idx="22" c:formatCode="m&quot;月&quot;d&quot;日&quot;;@">
                  <c:v>43627</c:v>
                </c:pt>
                <c:pt idx="23" c:formatCode="m&quot;月&quot;d&quot;日&quot;;@">
                  <c:v>43634</c:v>
                </c:pt>
                <c:pt idx="24" c:formatCode="m&quot;月&quot;d&quot;日&quot;;@">
                  <c:v>43641</c:v>
                </c:pt>
                <c:pt idx="25" c:formatCode="m&quot;月&quot;d&quot;日&quot;;@">
                  <c:v>43648</c:v>
                </c:pt>
                <c:pt idx="26" c:formatCode="m&quot;月&quot;d&quot;日&quot;;@">
                  <c:v>43655</c:v>
                </c:pt>
                <c:pt idx="27" c:formatCode="m&quot;月&quot;d&quot;日&quot;;@">
                  <c:v>43662</c:v>
                </c:pt>
                <c:pt idx="28" c:formatCode="m&quot;月&quot;d&quot;日&quot;;@">
                  <c:v>43669</c:v>
                </c:pt>
                <c:pt idx="29" c:formatCode="m&quot;月&quot;d&quot;日&quot;;@">
                  <c:v>43676</c:v>
                </c:pt>
                <c:pt idx="30" c:formatCode="m&quot;月&quot;d&quot;日&quot;;@">
                  <c:v>43683</c:v>
                </c:pt>
                <c:pt idx="31" c:formatCode="m&quot;月&quot;d&quot;日&quot;;@">
                  <c:v>43690</c:v>
                </c:pt>
                <c:pt idx="32" c:formatCode="m&quot;月&quot;d&quot;日&quot;;@">
                  <c:v>43697</c:v>
                </c:pt>
                <c:pt idx="33" c:formatCode="m&quot;月&quot;d&quot;日&quot;;@">
                  <c:v>43704</c:v>
                </c:pt>
                <c:pt idx="34" c:formatCode="m&quot;月&quot;d&quot;日&quot;;@">
                  <c:v>43711</c:v>
                </c:pt>
                <c:pt idx="35" c:formatCode="m&quot;月&quot;d&quot;日&quot;;@">
                  <c:v>43718</c:v>
                </c:pt>
                <c:pt idx="36" c:formatCode="m&quot;月&quot;d&quot;日&quot;;@">
                  <c:v>43725</c:v>
                </c:pt>
                <c:pt idx="37" c:formatCode="m&quot;月&quot;d&quot;日&quot;;@">
                  <c:v>43732</c:v>
                </c:pt>
                <c:pt idx="38" c:formatCode="m&quot;月&quot;d&quot;日&quot;;@">
                  <c:v>43740</c:v>
                </c:pt>
                <c:pt idx="39" c:formatCode="m&quot;月&quot;d&quot;日&quot;;@">
                  <c:v>43747</c:v>
                </c:pt>
                <c:pt idx="40" c:formatCode="m&quot;月&quot;d&quot;日&quot;;@">
                  <c:v>43754</c:v>
                </c:pt>
                <c:pt idx="41" c:formatCode="m&quot;月&quot;d&quot;日&quot;;@">
                  <c:v>43761</c:v>
                </c:pt>
                <c:pt idx="42" c:formatCode="m&quot;月&quot;d&quot;日&quot;;@">
                  <c:v>43768</c:v>
                </c:pt>
                <c:pt idx="43" c:formatCode="m&quot;月&quot;d&quot;日&quot;;@">
                  <c:v>43775</c:v>
                </c:pt>
                <c:pt idx="44" c:formatCode="m&quot;月&quot;d&quot;日&quot;;@">
                  <c:v>43782</c:v>
                </c:pt>
                <c:pt idx="45" c:formatCode="m&quot;月&quot;d&quot;日&quot;;@">
                  <c:v>43789</c:v>
                </c:pt>
                <c:pt idx="46" c:formatCode="m&quot;月&quot;d&quot;日&quot;;@">
                  <c:v>43796</c:v>
                </c:pt>
                <c:pt idx="47" c:formatCode="m&quot;月&quot;d&quot;日&quot;;@">
                  <c:v>43803</c:v>
                </c:pt>
                <c:pt idx="48" c:formatCode="m&quot;月&quot;d&quot;日&quot;;@">
                  <c:v>43810</c:v>
                </c:pt>
                <c:pt idx="49" c:formatCode="m&quot;月&quot;d&quot;日&quot;;@">
                  <c:v>43817</c:v>
                </c:pt>
                <c:pt idx="50" c:formatCode="m&quot;月&quot;d&quot;日&quot;;@">
                  <c:v>43824</c:v>
                </c:pt>
              </c:numCache>
            </c:numRef>
          </c:cat>
          <c:val>
            <c:numRef>
              <c:f>冻品库存率季节性!$G$4:$G$54</c:f>
              <c:numCache>
                <c:formatCode>0.00%</c:formatCode>
                <c:ptCount val="51"/>
                <c:pt idx="0">
                  <c:v>0.1496</c:v>
                </c:pt>
                <c:pt idx="1">
                  <c:v>0.1474</c:v>
                </c:pt>
                <c:pt idx="2">
                  <c:v>0.1467</c:v>
                </c:pt>
                <c:pt idx="3">
                  <c:v>0.145</c:v>
                </c:pt>
                <c:pt idx="4">
                  <c:v>0.1447</c:v>
                </c:pt>
                <c:pt idx="5">
                  <c:v>0.1457</c:v>
                </c:pt>
                <c:pt idx="6">
                  <c:v>0.1472</c:v>
                </c:pt>
                <c:pt idx="7">
                  <c:v>0.1503</c:v>
                </c:pt>
                <c:pt idx="8">
                  <c:v>0.1558</c:v>
                </c:pt>
                <c:pt idx="9">
                  <c:v>0.1606</c:v>
                </c:pt>
                <c:pt idx="10">
                  <c:v>0.1659</c:v>
                </c:pt>
                <c:pt idx="11">
                  <c:v>0.1685</c:v>
                </c:pt>
                <c:pt idx="12">
                  <c:v>0.1704</c:v>
                </c:pt>
                <c:pt idx="13">
                  <c:v>0.1716</c:v>
                </c:pt>
                <c:pt idx="14">
                  <c:v>0.1713</c:v>
                </c:pt>
                <c:pt idx="15">
                  <c:v>0.1702</c:v>
                </c:pt>
                <c:pt idx="16">
                  <c:v>0.1684</c:v>
                </c:pt>
                <c:pt idx="17">
                  <c:v>0.165</c:v>
                </c:pt>
                <c:pt idx="18">
                  <c:v>0.1638</c:v>
                </c:pt>
                <c:pt idx="19">
                  <c:v>0.1633</c:v>
                </c:pt>
                <c:pt idx="20">
                  <c:v>0.1621</c:v>
                </c:pt>
                <c:pt idx="21">
                  <c:v>0.1625</c:v>
                </c:pt>
                <c:pt idx="22">
                  <c:v>0.1634</c:v>
                </c:pt>
                <c:pt idx="23">
                  <c:v>0.1649</c:v>
                </c:pt>
                <c:pt idx="24">
                  <c:v>0.1657</c:v>
                </c:pt>
                <c:pt idx="25">
                  <c:v>0.1667</c:v>
                </c:pt>
                <c:pt idx="26">
                  <c:v>0.1678</c:v>
                </c:pt>
                <c:pt idx="27">
                  <c:v>0.1685</c:v>
                </c:pt>
                <c:pt idx="28">
                  <c:v>0.1694</c:v>
                </c:pt>
                <c:pt idx="29">
                  <c:v>0.1705</c:v>
                </c:pt>
                <c:pt idx="30">
                  <c:v>0.1711</c:v>
                </c:pt>
                <c:pt idx="31">
                  <c:v>0.172</c:v>
                </c:pt>
                <c:pt idx="32">
                  <c:v>0.1732</c:v>
                </c:pt>
                <c:pt idx="33">
                  <c:v>0.1738</c:v>
                </c:pt>
                <c:pt idx="34">
                  <c:v>0.1749</c:v>
                </c:pt>
                <c:pt idx="35">
                  <c:v>0.1765</c:v>
                </c:pt>
                <c:pt idx="36">
                  <c:v>0.1791</c:v>
                </c:pt>
                <c:pt idx="37">
                  <c:v>0.1866</c:v>
                </c:pt>
                <c:pt idx="39">
                  <c:v>0.1914</c:v>
                </c:pt>
                <c:pt idx="40">
                  <c:v>0.1968</c:v>
                </c:pt>
                <c:pt idx="41">
                  <c:v>0.1987</c:v>
                </c:pt>
                <c:pt idx="42">
                  <c:v>0.1999</c:v>
                </c:pt>
                <c:pt idx="43">
                  <c:v>0.2003</c:v>
                </c:pt>
                <c:pt idx="44">
                  <c:v>0.2011</c:v>
                </c:pt>
                <c:pt idx="45">
                  <c:v>0.2022</c:v>
                </c:pt>
                <c:pt idx="46">
                  <c:v>0.2015</c:v>
                </c:pt>
                <c:pt idx="47">
                  <c:v>0.2016</c:v>
                </c:pt>
                <c:pt idx="48">
                  <c:v>0.2059</c:v>
                </c:pt>
                <c:pt idx="49">
                  <c:v>0.2036</c:v>
                </c:pt>
                <c:pt idx="50">
                  <c:v>0.2017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冻品库存率季节性!$H$3</c:f>
              <c:strCache>
                <c:ptCount val="1"/>
                <c:pt idx="0">
                  <c:v>2026年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冻品库存率季节性!$A$4:$A$54</c:f>
              <c:numCache>
                <c:formatCode>m"月"d"日";@</c:formatCode>
                <c:ptCount val="51"/>
                <c:pt idx="0" c:formatCode="m&quot;月&quot;d&quot;日&quot;;@">
                  <c:v>43466</c:v>
                </c:pt>
                <c:pt idx="1" c:formatCode="m&quot;月&quot;d&quot;日&quot;;@">
                  <c:v>43473</c:v>
                </c:pt>
                <c:pt idx="2" c:formatCode="m&quot;月&quot;d&quot;日&quot;;@">
                  <c:v>43480</c:v>
                </c:pt>
                <c:pt idx="3" c:formatCode="m&quot;月&quot;d&quot;日&quot;;@">
                  <c:v>43487</c:v>
                </c:pt>
                <c:pt idx="4" c:formatCode="m&quot;月&quot;d&quot;日&quot;;@">
                  <c:v>43494</c:v>
                </c:pt>
                <c:pt idx="5" c:formatCode="m&quot;月&quot;d&quot;日&quot;;@">
                  <c:v>43501</c:v>
                </c:pt>
                <c:pt idx="6" c:formatCode="m&quot;月&quot;d&quot;日&quot;;@">
                  <c:v>43508</c:v>
                </c:pt>
                <c:pt idx="7" c:formatCode="m&quot;月&quot;d&quot;日&quot;;@">
                  <c:v>43522</c:v>
                </c:pt>
                <c:pt idx="8" c:formatCode="m&quot;月&quot;d&quot;日&quot;;@">
                  <c:v>43529</c:v>
                </c:pt>
                <c:pt idx="9" c:formatCode="m&quot;月&quot;d&quot;日&quot;;@">
                  <c:v>43536</c:v>
                </c:pt>
                <c:pt idx="10" c:formatCode="m&quot;月&quot;d&quot;日&quot;;@">
                  <c:v>43543</c:v>
                </c:pt>
                <c:pt idx="11" c:formatCode="m&quot;月&quot;d&quot;日&quot;;@">
                  <c:v>43550</c:v>
                </c:pt>
                <c:pt idx="12" c:formatCode="m&quot;月&quot;d&quot;日&quot;;@">
                  <c:v>43557</c:v>
                </c:pt>
                <c:pt idx="13" c:formatCode="m&quot;月&quot;d&quot;日&quot;;@">
                  <c:v>43564</c:v>
                </c:pt>
                <c:pt idx="14" c:formatCode="m&quot;月&quot;d&quot;日&quot;;@">
                  <c:v>43571</c:v>
                </c:pt>
                <c:pt idx="15" c:formatCode="m&quot;月&quot;d&quot;日&quot;;@">
                  <c:v>43578</c:v>
                </c:pt>
                <c:pt idx="16" c:formatCode="m&quot;月&quot;d&quot;日&quot;;@">
                  <c:v>43585</c:v>
                </c:pt>
                <c:pt idx="17" c:formatCode="m&quot;月&quot;d&quot;日&quot;;@">
                  <c:v>43592</c:v>
                </c:pt>
                <c:pt idx="18" c:formatCode="m&quot;月&quot;d&quot;日&quot;;@">
                  <c:v>43599</c:v>
                </c:pt>
                <c:pt idx="19" c:formatCode="m&quot;月&quot;d&quot;日&quot;;@">
                  <c:v>43606</c:v>
                </c:pt>
                <c:pt idx="20" c:formatCode="m&quot;月&quot;d&quot;日&quot;;@">
                  <c:v>43613</c:v>
                </c:pt>
                <c:pt idx="21" c:formatCode="m&quot;月&quot;d&quot;日&quot;;@">
                  <c:v>43620</c:v>
                </c:pt>
                <c:pt idx="22" c:formatCode="m&quot;月&quot;d&quot;日&quot;;@">
                  <c:v>43627</c:v>
                </c:pt>
                <c:pt idx="23" c:formatCode="m&quot;月&quot;d&quot;日&quot;;@">
                  <c:v>43634</c:v>
                </c:pt>
                <c:pt idx="24" c:formatCode="m&quot;月&quot;d&quot;日&quot;;@">
                  <c:v>43641</c:v>
                </c:pt>
                <c:pt idx="25" c:formatCode="m&quot;月&quot;d&quot;日&quot;;@">
                  <c:v>43648</c:v>
                </c:pt>
                <c:pt idx="26" c:formatCode="m&quot;月&quot;d&quot;日&quot;;@">
                  <c:v>43655</c:v>
                </c:pt>
                <c:pt idx="27" c:formatCode="m&quot;月&quot;d&quot;日&quot;;@">
                  <c:v>43662</c:v>
                </c:pt>
                <c:pt idx="28" c:formatCode="m&quot;月&quot;d&quot;日&quot;;@">
                  <c:v>43669</c:v>
                </c:pt>
                <c:pt idx="29" c:formatCode="m&quot;月&quot;d&quot;日&quot;;@">
                  <c:v>43676</c:v>
                </c:pt>
                <c:pt idx="30" c:formatCode="m&quot;月&quot;d&quot;日&quot;;@">
                  <c:v>43683</c:v>
                </c:pt>
                <c:pt idx="31" c:formatCode="m&quot;月&quot;d&quot;日&quot;;@">
                  <c:v>43690</c:v>
                </c:pt>
                <c:pt idx="32" c:formatCode="m&quot;月&quot;d&quot;日&quot;;@">
                  <c:v>43697</c:v>
                </c:pt>
                <c:pt idx="33" c:formatCode="m&quot;月&quot;d&quot;日&quot;;@">
                  <c:v>43704</c:v>
                </c:pt>
                <c:pt idx="34" c:formatCode="m&quot;月&quot;d&quot;日&quot;;@">
                  <c:v>43711</c:v>
                </c:pt>
                <c:pt idx="35" c:formatCode="m&quot;月&quot;d&quot;日&quot;;@">
                  <c:v>43718</c:v>
                </c:pt>
                <c:pt idx="36" c:formatCode="m&quot;月&quot;d&quot;日&quot;;@">
                  <c:v>43725</c:v>
                </c:pt>
                <c:pt idx="37" c:formatCode="m&quot;月&quot;d&quot;日&quot;;@">
                  <c:v>43732</c:v>
                </c:pt>
                <c:pt idx="38" c:formatCode="m&quot;月&quot;d&quot;日&quot;;@">
                  <c:v>43740</c:v>
                </c:pt>
                <c:pt idx="39" c:formatCode="m&quot;月&quot;d&quot;日&quot;;@">
                  <c:v>43747</c:v>
                </c:pt>
                <c:pt idx="40" c:formatCode="m&quot;月&quot;d&quot;日&quot;;@">
                  <c:v>43754</c:v>
                </c:pt>
                <c:pt idx="41" c:formatCode="m&quot;月&quot;d&quot;日&quot;;@">
                  <c:v>43761</c:v>
                </c:pt>
                <c:pt idx="42" c:formatCode="m&quot;月&quot;d&quot;日&quot;;@">
                  <c:v>43768</c:v>
                </c:pt>
                <c:pt idx="43" c:formatCode="m&quot;月&quot;d&quot;日&quot;;@">
                  <c:v>43775</c:v>
                </c:pt>
                <c:pt idx="44" c:formatCode="m&quot;月&quot;d&quot;日&quot;;@">
                  <c:v>43782</c:v>
                </c:pt>
                <c:pt idx="45" c:formatCode="m&quot;月&quot;d&quot;日&quot;;@">
                  <c:v>43789</c:v>
                </c:pt>
                <c:pt idx="46" c:formatCode="m&quot;月&quot;d&quot;日&quot;;@">
                  <c:v>43796</c:v>
                </c:pt>
                <c:pt idx="47" c:formatCode="m&quot;月&quot;d&quot;日&quot;;@">
                  <c:v>43803</c:v>
                </c:pt>
                <c:pt idx="48" c:formatCode="m&quot;月&quot;d&quot;日&quot;;@">
                  <c:v>43810</c:v>
                </c:pt>
                <c:pt idx="49" c:formatCode="m&quot;月&quot;d&quot;日&quot;;@">
                  <c:v>43817</c:v>
                </c:pt>
                <c:pt idx="50" c:formatCode="m&quot;月&quot;d&quot;日&quot;;@">
                  <c:v>43824</c:v>
                </c:pt>
              </c:numCache>
            </c:numRef>
          </c:cat>
          <c:val>
            <c:numRef>
              <c:f>冻品库存率季节性!$H$4:$H$54</c:f>
              <c:numCache>
                <c:formatCode>0.00%</c:formatCode>
                <c:ptCount val="51"/>
                <c:pt idx="0">
                  <c:v>0.1989</c:v>
                </c:pt>
                <c:pt idx="1">
                  <c:v>0.1948</c:v>
                </c:pt>
                <c:pt idx="2">
                  <c:v>0.1922</c:v>
                </c:pt>
                <c:pt idx="3">
                  <c:v>0.1896</c:v>
                </c:pt>
                <c:pt idx="4">
                  <c:v>0.1831</c:v>
                </c:pt>
                <c:pt idx="5">
                  <c:v>0.1791</c:v>
                </c:pt>
                <c:pt idx="6">
                  <c:v>0.1718</c:v>
                </c:pt>
                <c:pt idx="7">
                  <c:v>0.1697</c:v>
                </c:pt>
                <c:pt idx="8">
                  <c:v>0.1708</c:v>
                </c:pt>
                <c:pt idx="9">
                  <c:v>0.1787</c:v>
                </c:pt>
                <c:pt idx="10">
                  <c:v>0.186</c:v>
                </c:pt>
                <c:pt idx="11">
                  <c:v>0.1957</c:v>
                </c:pt>
                <c:pt idx="12">
                  <c:v>0.2105</c:v>
                </c:pt>
                <c:pt idx="13">
                  <c:v>0.2287</c:v>
                </c:pt>
                <c:pt idx="14">
                  <c:v>0.2591</c:v>
                </c:pt>
                <c:pt idx="15">
                  <c:v>0.2716</c:v>
                </c:pt>
                <c:pt idx="16">
                  <c:v>0.2756</c:v>
                </c:pt>
                <c:pt idx="17">
                  <c:v>0.2799</c:v>
                </c:pt>
                <c:pt idx="18">
                  <c:v>0.2813</c:v>
                </c:pt>
                <c:pt idx="19">
                  <c:v>0.2821</c:v>
                </c:pt>
                <c:pt idx="20">
                  <c:v>0.2823</c:v>
                </c:pt>
                <c:pt idx="21">
                  <c:v>0.2826</c:v>
                </c:pt>
                <c:pt idx="22">
                  <c:v>0.2824</c:v>
                </c:pt>
                <c:pt idx="23">
                  <c:v>0.2815</c:v>
                </c:pt>
                <c:pt idx="24">
                  <c:v>0.2773</c:v>
                </c:pt>
                <c:pt idx="25">
                  <c:v>0.2771</c:v>
                </c:pt>
                <c:pt idx="26">
                  <c:v>0.2723</c:v>
                </c:pt>
                <c:pt idx="27">
                  <c:v>0.2707</c:v>
                </c:pt>
                <c:pt idx="28">
                  <c:v>0.2672</c:v>
                </c:pt>
                <c:pt idx="29">
                  <c:v>0.2649</c:v>
                </c:pt>
                <c:pt idx="30">
                  <c:v>0.2626</c:v>
                </c:pt>
                <c:pt idx="31">
                  <c:v>0.2623</c:v>
                </c:pt>
                <c:pt idx="32">
                  <c:v>0.2609</c:v>
                </c:pt>
                <c:pt idx="33">
                  <c:v>0.2613</c:v>
                </c:pt>
                <c:pt idx="34">
                  <c:v>0.2618</c:v>
                </c:pt>
                <c:pt idx="35">
                  <c:v>0.2607</c:v>
                </c:pt>
                <c:pt idx="36">
                  <c:v>0.2581</c:v>
                </c:pt>
                <c:pt idx="37">
                  <c:v>0.2549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41869791"/>
        <c:axId val="46965825"/>
      </c:lineChart>
      <c:dateAx>
        <c:axId val="141869791"/>
        <c:scaling>
          <c:orientation val="minMax"/>
          <c:max val="43830"/>
          <c:min val="43466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46965825"/>
        <c:crosses val="autoZero"/>
        <c:auto val="1"/>
        <c:lblOffset val="100"/>
        <c:baseTimeUnit val="days"/>
        <c:majorUnit val="28"/>
        <c:majorTimeUnit val="days"/>
      </c:dateAx>
      <c:valAx>
        <c:axId val="46965825"/>
        <c:scaling>
          <c:orientation val="minMax"/>
          <c:max val="0.33"/>
          <c:min val="0.08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14186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defRPr>
          </a:pPr>
        </a:p>
      </c:txPr>
    </c:legend>
    <c:plotVisOnly val="1"/>
    <c:dispBlanksAs val="span"/>
    <c:showDLblsOverMax val="0"/>
    <c:extLst>
      <c:ext uri="{0b15fc19-7d7d-44ad-8c2d-2c3a37ce22c3}">
        <chartProps xmlns="https://web.wps.cn/et/2018/main" chartId="{75c76bb8-979d-47ad-b504-17fcd013a1e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  <a:sym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cap="none" spc="20" baseline="0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'周度口径屠宰量（2022.10.28）'!$B$2</c:f>
              <c:strCache>
                <c:ptCount val="1"/>
                <c:pt idx="0">
                  <c:v>集团屠宰+各省规模屠宰厂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9525" cap="flat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numRef>
              <c:f>'周度口径屠宰量（2022.10.28）'!$A$3:$A$1210</c:f>
              <c:numCache>
                <c:formatCode>yyyy/m/d;@</c:formatCode>
                <c:ptCount val="1208"/>
                <c:pt idx="0" c:formatCode="yyyy/m/d;@">
                  <c:v>44861</c:v>
                </c:pt>
                <c:pt idx="1" c:formatCode="yyyy/m/d;@">
                  <c:v>44868</c:v>
                </c:pt>
                <c:pt idx="2" c:formatCode="yyyy/m/d;@">
                  <c:v>44875</c:v>
                </c:pt>
                <c:pt idx="3" c:formatCode="yyyy/m/d;@">
                  <c:v>44882</c:v>
                </c:pt>
                <c:pt idx="4" c:formatCode="yyyy/m/d;@">
                  <c:v>44889</c:v>
                </c:pt>
                <c:pt idx="5" c:formatCode="yyyy/m/d;@">
                  <c:v>44896</c:v>
                </c:pt>
                <c:pt idx="6" c:formatCode="yyyy/m/d;@">
                  <c:v>44903</c:v>
                </c:pt>
                <c:pt idx="7" c:formatCode="yyyy/m/d;@">
                  <c:v>44910</c:v>
                </c:pt>
                <c:pt idx="8" c:formatCode="yyyy/m/d;@">
                  <c:v>44917</c:v>
                </c:pt>
                <c:pt idx="9" c:formatCode="yyyy/m/d;@">
                  <c:v>44924</c:v>
                </c:pt>
                <c:pt idx="10" c:formatCode="yyyy/m/d;@">
                  <c:v>44931</c:v>
                </c:pt>
                <c:pt idx="11" c:formatCode="yyyy/m/d;@">
                  <c:v>44938</c:v>
                </c:pt>
                <c:pt idx="12" c:formatCode="yyyy/m/d;@">
                  <c:v>44959</c:v>
                </c:pt>
                <c:pt idx="13" c:formatCode="yyyy/m/d;@">
                  <c:v>44966</c:v>
                </c:pt>
                <c:pt idx="14" c:formatCode="yyyy/m/d;@">
                  <c:v>44973</c:v>
                </c:pt>
                <c:pt idx="15" c:formatCode="yyyy/m/d;@">
                  <c:v>44980</c:v>
                </c:pt>
                <c:pt idx="16" c:formatCode="yyyy/m/d;@">
                  <c:v>44987</c:v>
                </c:pt>
                <c:pt idx="17" c:formatCode="yyyy/m/d;@">
                  <c:v>44994</c:v>
                </c:pt>
                <c:pt idx="18" c:formatCode="yyyy/m/d;@">
                  <c:v>45001</c:v>
                </c:pt>
                <c:pt idx="19" c:formatCode="yyyy/m/d;@">
                  <c:v>45008</c:v>
                </c:pt>
                <c:pt idx="20" c:formatCode="yyyy/m/d;@">
                  <c:v>45015</c:v>
                </c:pt>
                <c:pt idx="21" c:formatCode="yyyy/m/d;@">
                  <c:v>45022</c:v>
                </c:pt>
                <c:pt idx="22" c:formatCode="yyyy/m/d;@">
                  <c:v>45029</c:v>
                </c:pt>
                <c:pt idx="23" c:formatCode="yyyy/m/d;@">
                  <c:v>45036</c:v>
                </c:pt>
                <c:pt idx="24" c:formatCode="yyyy/m/d;@">
                  <c:v>45043</c:v>
                </c:pt>
                <c:pt idx="25" c:formatCode="yyyy/m/d;@">
                  <c:v>45050</c:v>
                </c:pt>
                <c:pt idx="26" c:formatCode="yyyy/m/d;@">
                  <c:v>45057</c:v>
                </c:pt>
                <c:pt idx="27" c:formatCode="yyyy/m/d;@">
                  <c:v>45064</c:v>
                </c:pt>
                <c:pt idx="28" c:formatCode="yyyy/m/d;@">
                  <c:v>45071</c:v>
                </c:pt>
                <c:pt idx="29" c:formatCode="yyyy/m/d;@">
                  <c:v>45078</c:v>
                </c:pt>
                <c:pt idx="30" c:formatCode="yyyy/m/d;@">
                  <c:v>45085</c:v>
                </c:pt>
                <c:pt idx="31" c:formatCode="yyyy/m/d;@">
                  <c:v>45092</c:v>
                </c:pt>
                <c:pt idx="32" c:formatCode="yyyy/m/d;@">
                  <c:v>45098</c:v>
                </c:pt>
                <c:pt idx="33" c:formatCode="yyyy/m/d;@">
                  <c:v>45106</c:v>
                </c:pt>
                <c:pt idx="34" c:formatCode="yyyy/m/d;@">
                  <c:v>45113</c:v>
                </c:pt>
                <c:pt idx="35" c:formatCode="yyyy/m/d;@">
                  <c:v>45120</c:v>
                </c:pt>
                <c:pt idx="36" c:formatCode="yyyy/m/d;@">
                  <c:v>45127</c:v>
                </c:pt>
                <c:pt idx="37" c:formatCode="yyyy/m/d;@">
                  <c:v>45134</c:v>
                </c:pt>
                <c:pt idx="38" c:formatCode="yyyy/m/d;@">
                  <c:v>45141</c:v>
                </c:pt>
                <c:pt idx="39" c:formatCode="yyyy/m/d;@">
                  <c:v>45148</c:v>
                </c:pt>
                <c:pt idx="40" c:formatCode="yyyy/m/d;@">
                  <c:v>45155</c:v>
                </c:pt>
                <c:pt idx="41" c:formatCode="yyyy/m/d;@">
                  <c:v>45162</c:v>
                </c:pt>
                <c:pt idx="42" c:formatCode="yyyy/m/d;@">
                  <c:v>45169</c:v>
                </c:pt>
                <c:pt idx="43" c:formatCode="yyyy/m/d;@">
                  <c:v>45176</c:v>
                </c:pt>
                <c:pt idx="44" c:formatCode="yyyy/m/d;@">
                  <c:v>45183</c:v>
                </c:pt>
                <c:pt idx="45" c:formatCode="yyyy/m/d;@">
                  <c:v>45190</c:v>
                </c:pt>
                <c:pt idx="46" c:formatCode="yyyy/m/d;@">
                  <c:v>45197</c:v>
                </c:pt>
                <c:pt idx="47" c:formatCode="yyyy/m/d;@">
                  <c:v>45204</c:v>
                </c:pt>
                <c:pt idx="48" c:formatCode="yyyy/m/d;@">
                  <c:v>45211</c:v>
                </c:pt>
                <c:pt idx="49" c:formatCode="yyyy/m/d;@">
                  <c:v>45218</c:v>
                </c:pt>
                <c:pt idx="50" c:formatCode="yyyy/m/d;@">
                  <c:v>45225</c:v>
                </c:pt>
                <c:pt idx="51" c:formatCode="yyyy/m/d;@">
                  <c:v>45232</c:v>
                </c:pt>
                <c:pt idx="52" c:formatCode="yyyy/m/d;@">
                  <c:v>45239</c:v>
                </c:pt>
                <c:pt idx="53" c:formatCode="yyyy/m/d;@">
                  <c:v>45246</c:v>
                </c:pt>
                <c:pt idx="54" c:formatCode="yyyy/m/d;@">
                  <c:v>45253</c:v>
                </c:pt>
                <c:pt idx="55" c:formatCode="yyyy/m/d;@">
                  <c:v>45260</c:v>
                </c:pt>
                <c:pt idx="56" c:formatCode="yyyy/m/d;@">
                  <c:v>45267</c:v>
                </c:pt>
                <c:pt idx="57" c:formatCode="yyyy/m/d;@">
                  <c:v>45274</c:v>
                </c:pt>
                <c:pt idx="58" c:formatCode="yyyy/m/d;@">
                  <c:v>45281</c:v>
                </c:pt>
                <c:pt idx="59" c:formatCode="yyyy/m/d;@">
                  <c:v>45288</c:v>
                </c:pt>
                <c:pt idx="60" c:formatCode="yyyy/m/d;@">
                  <c:v>45295</c:v>
                </c:pt>
                <c:pt idx="61" c:formatCode="yyyy/m/d;@">
                  <c:v>45302</c:v>
                </c:pt>
                <c:pt idx="62" c:formatCode="yyyy/m/d;@">
                  <c:v>45309</c:v>
                </c:pt>
                <c:pt idx="63" c:formatCode="yyyy/m/d;@">
                  <c:v>45316</c:v>
                </c:pt>
                <c:pt idx="64" c:formatCode="yyyy/m/d;@">
                  <c:v>45323</c:v>
                </c:pt>
                <c:pt idx="65" c:formatCode="yyyy/m/d;@">
                  <c:v>45344</c:v>
                </c:pt>
                <c:pt idx="66" c:formatCode="yyyy/m/d;@">
                  <c:v>45351</c:v>
                </c:pt>
                <c:pt idx="67" c:formatCode="yyyy/m/d;@">
                  <c:v>45358</c:v>
                </c:pt>
                <c:pt idx="68" c:formatCode="yyyy/m/d;@">
                  <c:v>45365</c:v>
                </c:pt>
                <c:pt idx="69" c:formatCode="yyyy/m/d;@">
                  <c:v>45372</c:v>
                </c:pt>
                <c:pt idx="70" c:formatCode="yyyy/m/d;@">
                  <c:v>45379</c:v>
                </c:pt>
                <c:pt idx="71" c:formatCode="yyyy/m/d;@">
                  <c:v>45386</c:v>
                </c:pt>
                <c:pt idx="72" c:formatCode="yyyy/m/d;@">
                  <c:v>45393</c:v>
                </c:pt>
                <c:pt idx="73" c:formatCode="yyyy/m/d;@">
                  <c:v>45400</c:v>
                </c:pt>
                <c:pt idx="74" c:formatCode="yyyy/m/d;@">
                  <c:v>45407</c:v>
                </c:pt>
                <c:pt idx="75" c:formatCode="yyyy/m/d;@">
                  <c:v>45414</c:v>
                </c:pt>
                <c:pt idx="76" c:formatCode="yyyy/m/d;@">
                  <c:v>45421</c:v>
                </c:pt>
                <c:pt idx="77" c:formatCode="yyyy/m/d;@">
                  <c:v>45428</c:v>
                </c:pt>
                <c:pt idx="78" c:formatCode="yyyy/m/d;@">
                  <c:v>45435</c:v>
                </c:pt>
                <c:pt idx="79" c:formatCode="yyyy/m/d;@">
                  <c:v>45442</c:v>
                </c:pt>
                <c:pt idx="80" c:formatCode="yyyy/m/d;@">
                  <c:v>45449</c:v>
                </c:pt>
                <c:pt idx="81" c:formatCode="yyyy/m/d;@">
                  <c:v>45456</c:v>
                </c:pt>
                <c:pt idx="82" c:formatCode="yyyy/m/d;@">
                  <c:v>45463</c:v>
                </c:pt>
                <c:pt idx="83" c:formatCode="yyyy/m/d;@">
                  <c:v>45470</c:v>
                </c:pt>
                <c:pt idx="84" c:formatCode="yyyy/m/d;@">
                  <c:v>45477</c:v>
                </c:pt>
                <c:pt idx="85" c:formatCode="yyyy/m/d;@">
                  <c:v>45484</c:v>
                </c:pt>
                <c:pt idx="86" c:formatCode="yyyy/m/d;@">
                  <c:v>45491</c:v>
                </c:pt>
                <c:pt idx="87" c:formatCode="yyyy/m/d;@">
                  <c:v>45498</c:v>
                </c:pt>
                <c:pt idx="88" c:formatCode="yyyy/m/d;@">
                  <c:v>45505</c:v>
                </c:pt>
                <c:pt idx="89" c:formatCode="yyyy/m/d;@">
                  <c:v>45512</c:v>
                </c:pt>
                <c:pt idx="90" c:formatCode="yyyy/m/d;@">
                  <c:v>45519</c:v>
                </c:pt>
                <c:pt idx="91" c:formatCode="yyyy/m/d;@">
                  <c:v>45526</c:v>
                </c:pt>
                <c:pt idx="92" c:formatCode="yyyy/m/d;@">
                  <c:v>45533</c:v>
                </c:pt>
                <c:pt idx="93" c:formatCode="yyyy/m/d;@">
                  <c:v>45540</c:v>
                </c:pt>
                <c:pt idx="94" c:formatCode="yyyy/m/d;@">
                  <c:v>45547</c:v>
                </c:pt>
                <c:pt idx="95" c:formatCode="yyyy/m/d;@">
                  <c:v>45554</c:v>
                </c:pt>
                <c:pt idx="96" c:formatCode="yyyy/m/d;@">
                  <c:v>45561</c:v>
                </c:pt>
                <c:pt idx="97" c:formatCode="yyyy/m/d;@">
                  <c:v>45568</c:v>
                </c:pt>
                <c:pt idx="98" c:formatCode="yyyy/m/d;@">
                  <c:v>45575</c:v>
                </c:pt>
                <c:pt idx="99" c:formatCode="yyyy/m/d;@">
                  <c:v>45582</c:v>
                </c:pt>
                <c:pt idx="100" c:formatCode="yyyy/m/d;@">
                  <c:v>45589</c:v>
                </c:pt>
                <c:pt idx="101" c:formatCode="yyyy/m/d;@">
                  <c:v>45596</c:v>
                </c:pt>
                <c:pt idx="102" c:formatCode="yyyy/m/d;@">
                  <c:v>45603</c:v>
                </c:pt>
                <c:pt idx="103" c:formatCode="yyyy/m/d;@">
                  <c:v>45610</c:v>
                </c:pt>
                <c:pt idx="104" c:formatCode="yyyy/m/d;@">
                  <c:v>45617</c:v>
                </c:pt>
                <c:pt idx="105" c:formatCode="yyyy/m/d;@">
                  <c:v>45624</c:v>
                </c:pt>
                <c:pt idx="106" c:formatCode="yyyy/m/d;@">
                  <c:v>45631</c:v>
                </c:pt>
                <c:pt idx="107" c:formatCode="yyyy/m/d;@">
                  <c:v>45638</c:v>
                </c:pt>
                <c:pt idx="108" c:formatCode="yyyy/m/d;@">
                  <c:v>45645</c:v>
                </c:pt>
                <c:pt idx="109" c:formatCode="yyyy/m/d;@">
                  <c:v>45652</c:v>
                </c:pt>
                <c:pt idx="110" c:formatCode="yyyy/m/d;@">
                  <c:v>45659</c:v>
                </c:pt>
                <c:pt idx="111" c:formatCode="yyyy/m/d;@">
                  <c:v>45666</c:v>
                </c:pt>
                <c:pt idx="112" c:formatCode="yyyy/m/d;@">
                  <c:v>45673</c:v>
                </c:pt>
                <c:pt idx="113" c:formatCode="yyyy/m/d;@">
                  <c:v>45680</c:v>
                </c:pt>
                <c:pt idx="114" c:formatCode="yyyy/m/d;@">
                  <c:v>45694</c:v>
                </c:pt>
                <c:pt idx="115" c:formatCode="yyyy/m/d;@">
                  <c:v>45701</c:v>
                </c:pt>
                <c:pt idx="116" c:formatCode="yyyy/m/d;@">
                  <c:v>45708</c:v>
                </c:pt>
                <c:pt idx="117" c:formatCode="yyyy/m/d;@">
                  <c:v>45715</c:v>
                </c:pt>
                <c:pt idx="118" c:formatCode="yyyy/m/d;@">
                  <c:v>45722</c:v>
                </c:pt>
                <c:pt idx="119" c:formatCode="yyyy/m/d;@">
                  <c:v>45729</c:v>
                </c:pt>
                <c:pt idx="120" c:formatCode="yyyy/m/d;@">
                  <c:v>45736</c:v>
                </c:pt>
                <c:pt idx="121" c:formatCode="yyyy/m/d;@">
                  <c:v>45743</c:v>
                </c:pt>
                <c:pt idx="122" c:formatCode="yyyy/m/d;@">
                  <c:v>45750</c:v>
                </c:pt>
                <c:pt idx="123" c:formatCode="yyyy/m/d;@">
                  <c:v>45757</c:v>
                </c:pt>
                <c:pt idx="124" c:formatCode="yyyy/m/d;@">
                  <c:v>45764</c:v>
                </c:pt>
                <c:pt idx="125" c:formatCode="yyyy/m/d;@">
                  <c:v>45771</c:v>
                </c:pt>
                <c:pt idx="126" c:formatCode="yyyy/m/d;@">
                  <c:v>45778</c:v>
                </c:pt>
                <c:pt idx="127" c:formatCode="yyyy/m/d;@">
                  <c:v>45785</c:v>
                </c:pt>
                <c:pt idx="128" c:formatCode="yyyy/m/d;@">
                  <c:v>45792</c:v>
                </c:pt>
                <c:pt idx="129" c:formatCode="yyyy/m/d;@">
                  <c:v>45799</c:v>
                </c:pt>
                <c:pt idx="130" c:formatCode="yyyy/m/d;@">
                  <c:v>45806</c:v>
                </c:pt>
                <c:pt idx="131" c:formatCode="yyyy/m/d;@">
                  <c:v>45813</c:v>
                </c:pt>
                <c:pt idx="132" c:formatCode="yyyy/m/d;@">
                  <c:v>45820</c:v>
                </c:pt>
                <c:pt idx="133" c:formatCode="yyyy/m/d;@">
                  <c:v>45827</c:v>
                </c:pt>
                <c:pt idx="134" c:formatCode="yyyy/m/d;@">
                  <c:v>45834</c:v>
                </c:pt>
                <c:pt idx="135" c:formatCode="yyyy/m/d;@">
                  <c:v>45841</c:v>
                </c:pt>
                <c:pt idx="136" c:formatCode="yyyy/m/d;@">
                  <c:v>45848</c:v>
                </c:pt>
                <c:pt idx="137" c:formatCode="yyyy/m/d;@">
                  <c:v>45855</c:v>
                </c:pt>
                <c:pt idx="138" c:formatCode="yyyy/m/d;@">
                  <c:v>45862</c:v>
                </c:pt>
                <c:pt idx="139" c:formatCode="yyyy/m/d;@">
                  <c:v>45869</c:v>
                </c:pt>
                <c:pt idx="140" c:formatCode="yyyy/m/d;@">
                  <c:v>45876</c:v>
                </c:pt>
                <c:pt idx="141" c:formatCode="yyyy/m/d;@">
                  <c:v>45883</c:v>
                </c:pt>
                <c:pt idx="142" c:formatCode="yyyy/m/d;@">
                  <c:v>45890</c:v>
                </c:pt>
                <c:pt idx="143" c:formatCode="yyyy/m/d;@">
                  <c:v>45897</c:v>
                </c:pt>
                <c:pt idx="144" c:formatCode="yyyy/m/d;@">
                  <c:v>45904</c:v>
                </c:pt>
                <c:pt idx="145" c:formatCode="yyyy/m/d;@">
                  <c:v>45911</c:v>
                </c:pt>
                <c:pt idx="146" c:formatCode="yyyy/m/d;@">
                  <c:v>45918</c:v>
                </c:pt>
                <c:pt idx="147" c:formatCode="yyyy/m/d;@">
                  <c:v>45925</c:v>
                </c:pt>
                <c:pt idx="148" c:formatCode="yyyy/m/d;@">
                  <c:v>45932</c:v>
                </c:pt>
                <c:pt idx="149" c:formatCode="yyyy/m/d;@">
                  <c:v>45939</c:v>
                </c:pt>
                <c:pt idx="150" c:formatCode="yyyy/m/d;@">
                  <c:v>45946</c:v>
                </c:pt>
                <c:pt idx="151" c:formatCode="yyyy/m/d;@">
                  <c:v>45953</c:v>
                </c:pt>
                <c:pt idx="152" c:formatCode="yyyy/m/d;@">
                  <c:v>45960</c:v>
                </c:pt>
                <c:pt idx="153" c:formatCode="yyyy/m/d;@">
                  <c:v>45967</c:v>
                </c:pt>
                <c:pt idx="154" c:formatCode="yyyy/m/d;@">
                  <c:v>45974</c:v>
                </c:pt>
                <c:pt idx="155" c:formatCode="yyyy/m/d;@">
                  <c:v>45981</c:v>
                </c:pt>
                <c:pt idx="156" c:formatCode="yyyy/m/d;@">
                  <c:v>45988</c:v>
                </c:pt>
                <c:pt idx="157" c:formatCode="yyyy/m/d;@">
                  <c:v>45995</c:v>
                </c:pt>
                <c:pt idx="158" c:formatCode="yyyy/m/d;@">
                  <c:v>46002</c:v>
                </c:pt>
                <c:pt idx="159" c:formatCode="yyyy/m/d;@">
                  <c:v>46009</c:v>
                </c:pt>
                <c:pt idx="160" c:formatCode="yyyy/m/d;@">
                  <c:v>46016</c:v>
                </c:pt>
                <c:pt idx="161" c:formatCode="yyyy/m/d;@">
                  <c:v>46023</c:v>
                </c:pt>
                <c:pt idx="162" c:formatCode="yyyy/m/d;@">
                  <c:v>46030</c:v>
                </c:pt>
                <c:pt idx="163" c:formatCode="yyyy/m/d;@">
                  <c:v>46037</c:v>
                </c:pt>
                <c:pt idx="164" c:formatCode="yyyy/m/d;@">
                  <c:v>46044</c:v>
                </c:pt>
                <c:pt idx="165" c:formatCode="yyyy/m/d;@">
                  <c:v>46051</c:v>
                </c:pt>
                <c:pt idx="166" c:formatCode="yyyy/m/d;@">
                  <c:v>46058</c:v>
                </c:pt>
                <c:pt idx="167" c:formatCode="yyyy/m/d;@">
                  <c:v>46065</c:v>
                </c:pt>
                <c:pt idx="168" c:formatCode="yyyy/m/d;@">
                  <c:v>46079</c:v>
                </c:pt>
                <c:pt idx="169" c:formatCode="yyyy/m/d;@">
                  <c:v>46086</c:v>
                </c:pt>
                <c:pt idx="170" c:formatCode="yyyy/m/d;@">
                  <c:v>46093</c:v>
                </c:pt>
                <c:pt idx="171" c:formatCode="yyyy/m/d;@">
                  <c:v>46100</c:v>
                </c:pt>
                <c:pt idx="172" c:formatCode="yyyy/m/d;@">
                  <c:v>46107</c:v>
                </c:pt>
                <c:pt idx="173" c:formatCode="yyyy/m/d;@">
                  <c:v>46114</c:v>
                </c:pt>
                <c:pt idx="174" c:formatCode="yyyy/m/d;@">
                  <c:v>46121</c:v>
                </c:pt>
                <c:pt idx="175" c:formatCode="yyyy/m/d;@">
                  <c:v>46128</c:v>
                </c:pt>
                <c:pt idx="176" c:formatCode="yyyy/m/d;@">
                  <c:v>46135</c:v>
                </c:pt>
                <c:pt idx="177" c:formatCode="yyyy/m/d;@">
                  <c:v>46142</c:v>
                </c:pt>
                <c:pt idx="178" c:formatCode="yyyy/m/d;@">
                  <c:v>46149</c:v>
                </c:pt>
                <c:pt idx="179" c:formatCode="yyyy/m/d;@">
                  <c:v>46156</c:v>
                </c:pt>
                <c:pt idx="180" c:formatCode="yyyy/m/d;@">
                  <c:v>46163</c:v>
                </c:pt>
                <c:pt idx="181" c:formatCode="yyyy/m/d;@">
                  <c:v>46170</c:v>
                </c:pt>
                <c:pt idx="182" c:formatCode="yyyy/m/d;@">
                  <c:v>46177</c:v>
                </c:pt>
                <c:pt idx="183" c:formatCode="yyyy/m/d;@">
                  <c:v>46184</c:v>
                </c:pt>
                <c:pt idx="184" c:formatCode="yyyy/m/d;@">
                  <c:v>46191</c:v>
                </c:pt>
                <c:pt idx="185" c:formatCode="yyyy/m/d;@">
                  <c:v>46198</c:v>
                </c:pt>
                <c:pt idx="186" c:formatCode="yyyy/m/d;@">
                  <c:v>46205</c:v>
                </c:pt>
                <c:pt idx="187" c:formatCode="yyyy/m/d;@">
                  <c:v>46212</c:v>
                </c:pt>
                <c:pt idx="188" c:formatCode="yyyy/m/d;@">
                  <c:v>46219</c:v>
                </c:pt>
                <c:pt idx="189" c:formatCode="yyyy/m/d;@">
                  <c:v>46226</c:v>
                </c:pt>
                <c:pt idx="190" c:formatCode="yyyy/m/d;@">
                  <c:v>46233</c:v>
                </c:pt>
                <c:pt idx="191" c:formatCode="yyyy/m/d;@">
                  <c:v>46240</c:v>
                </c:pt>
                <c:pt idx="192" c:formatCode="yyyy/m/d;@">
                  <c:v>46247</c:v>
                </c:pt>
                <c:pt idx="193" c:formatCode="yyyy/m/d;@">
                  <c:v>46254</c:v>
                </c:pt>
                <c:pt idx="194" c:formatCode="yyyy/m/d;@">
                  <c:v>46261</c:v>
                </c:pt>
                <c:pt idx="195" c:formatCode="yyyy/m/d;@">
                  <c:v>46268</c:v>
                </c:pt>
                <c:pt idx="196" c:formatCode="yyyy/m/d;@">
                  <c:v>46275</c:v>
                </c:pt>
                <c:pt idx="197" c:formatCode="yyyy/m/d;@">
                  <c:v>46282</c:v>
                </c:pt>
                <c:pt idx="198" c:formatCode="yyyy/m/d;@">
                  <c:v>46289</c:v>
                </c:pt>
              </c:numCache>
            </c:numRef>
          </c:cat>
          <c:val>
            <c:numRef>
              <c:f>'周度口径屠宰量（2022.10.28）'!$B$3:$B$1210</c:f>
              <c:numCache>
                <c:formatCode>0_);[Red]\(0\)</c:formatCode>
                <c:ptCount val="1208"/>
                <c:pt idx="0">
                  <c:v>1474623</c:v>
                </c:pt>
                <c:pt idx="1">
                  <c:v>1511427</c:v>
                </c:pt>
                <c:pt idx="2">
                  <c:v>1584650</c:v>
                </c:pt>
                <c:pt idx="3">
                  <c:v>1593080</c:v>
                </c:pt>
                <c:pt idx="4">
                  <c:v>1627956</c:v>
                </c:pt>
                <c:pt idx="5">
                  <c:v>1654317</c:v>
                </c:pt>
                <c:pt idx="6">
                  <c:v>1734024</c:v>
                </c:pt>
                <c:pt idx="7">
                  <c:v>1808665</c:v>
                </c:pt>
                <c:pt idx="8">
                  <c:v>1791569</c:v>
                </c:pt>
                <c:pt idx="9">
                  <c:v>1832126</c:v>
                </c:pt>
                <c:pt idx="10">
                  <c:v>2151515</c:v>
                </c:pt>
                <c:pt idx="11">
                  <c:v>2416108</c:v>
                </c:pt>
                <c:pt idx="12">
                  <c:v>1424052</c:v>
                </c:pt>
                <c:pt idx="13">
                  <c:v>1870205</c:v>
                </c:pt>
                <c:pt idx="14">
                  <c:v>1871434</c:v>
                </c:pt>
                <c:pt idx="15">
                  <c:v>1835840</c:v>
                </c:pt>
                <c:pt idx="16">
                  <c:v>1848044</c:v>
                </c:pt>
                <c:pt idx="17">
                  <c:v>1759855</c:v>
                </c:pt>
                <c:pt idx="18">
                  <c:v>1786873</c:v>
                </c:pt>
                <c:pt idx="19">
                  <c:v>1834380</c:v>
                </c:pt>
                <c:pt idx="20">
                  <c:v>1865934</c:v>
                </c:pt>
                <c:pt idx="21">
                  <c:v>1887794</c:v>
                </c:pt>
                <c:pt idx="22">
                  <c:v>1941615</c:v>
                </c:pt>
                <c:pt idx="23">
                  <c:v>2034445</c:v>
                </c:pt>
                <c:pt idx="24">
                  <c:v>2093325</c:v>
                </c:pt>
                <c:pt idx="25">
                  <c:v>2058504</c:v>
                </c:pt>
                <c:pt idx="26">
                  <c:v>1974158</c:v>
                </c:pt>
                <c:pt idx="27">
                  <c:v>1922497</c:v>
                </c:pt>
                <c:pt idx="28">
                  <c:v>1931705</c:v>
                </c:pt>
                <c:pt idx="29">
                  <c:v>1957419</c:v>
                </c:pt>
                <c:pt idx="30">
                  <c:v>1924694</c:v>
                </c:pt>
                <c:pt idx="31">
                  <c:v>1957345</c:v>
                </c:pt>
                <c:pt idx="32">
                  <c:v>2001750</c:v>
                </c:pt>
                <c:pt idx="33">
                  <c:v>1973467</c:v>
                </c:pt>
                <c:pt idx="34">
                  <c:v>1981229</c:v>
                </c:pt>
                <c:pt idx="35">
                  <c:v>2001543</c:v>
                </c:pt>
                <c:pt idx="36">
                  <c:v>2022325</c:v>
                </c:pt>
                <c:pt idx="37">
                  <c:v>2036254</c:v>
                </c:pt>
                <c:pt idx="38">
                  <c:v>1991959</c:v>
                </c:pt>
                <c:pt idx="39">
                  <c:v>1939686</c:v>
                </c:pt>
                <c:pt idx="40">
                  <c:v>1910161</c:v>
                </c:pt>
                <c:pt idx="41">
                  <c:v>1905417</c:v>
                </c:pt>
                <c:pt idx="42">
                  <c:v>1937763</c:v>
                </c:pt>
                <c:pt idx="43">
                  <c:v>1910570</c:v>
                </c:pt>
                <c:pt idx="44">
                  <c:v>1933381</c:v>
                </c:pt>
                <c:pt idx="45">
                  <c:v>1977077</c:v>
                </c:pt>
                <c:pt idx="46">
                  <c:v>2124466</c:v>
                </c:pt>
                <c:pt idx="47">
                  <c:v>1930845</c:v>
                </c:pt>
                <c:pt idx="48">
                  <c:v>1963224</c:v>
                </c:pt>
                <c:pt idx="49">
                  <c:v>1978059</c:v>
                </c:pt>
                <c:pt idx="50">
                  <c:v>2013379</c:v>
                </c:pt>
                <c:pt idx="51">
                  <c:v>2041009</c:v>
                </c:pt>
                <c:pt idx="52">
                  <c:v>2080755</c:v>
                </c:pt>
                <c:pt idx="53">
                  <c:v>2114713</c:v>
                </c:pt>
                <c:pt idx="54">
                  <c:v>2140446</c:v>
                </c:pt>
                <c:pt idx="55">
                  <c:v>2151415</c:v>
                </c:pt>
                <c:pt idx="56">
                  <c:v>2212031</c:v>
                </c:pt>
                <c:pt idx="57">
                  <c:v>2298781</c:v>
                </c:pt>
                <c:pt idx="58">
                  <c:v>2404156</c:v>
                </c:pt>
                <c:pt idx="59">
                  <c:v>2348820</c:v>
                </c:pt>
                <c:pt idx="60">
                  <c:v>2295466</c:v>
                </c:pt>
                <c:pt idx="61">
                  <c:v>2260229</c:v>
                </c:pt>
                <c:pt idx="62">
                  <c:v>2302516</c:v>
                </c:pt>
                <c:pt idx="63">
                  <c:v>2367620</c:v>
                </c:pt>
                <c:pt idx="64">
                  <c:v>3012238</c:v>
                </c:pt>
                <c:pt idx="65">
                  <c:v>1249856</c:v>
                </c:pt>
                <c:pt idx="66">
                  <c:v>1412720</c:v>
                </c:pt>
                <c:pt idx="67">
                  <c:v>1427530</c:v>
                </c:pt>
                <c:pt idx="68">
                  <c:v>1380209</c:v>
                </c:pt>
                <c:pt idx="69">
                  <c:v>1329669</c:v>
                </c:pt>
                <c:pt idx="70">
                  <c:v>1314492</c:v>
                </c:pt>
                <c:pt idx="71">
                  <c:v>1338567</c:v>
                </c:pt>
                <c:pt idx="72">
                  <c:v>1358916</c:v>
                </c:pt>
                <c:pt idx="73">
                  <c:v>1361606</c:v>
                </c:pt>
                <c:pt idx="74">
                  <c:v>1401465</c:v>
                </c:pt>
                <c:pt idx="75">
                  <c:v>1475288</c:v>
                </c:pt>
                <c:pt idx="76">
                  <c:v>1447580</c:v>
                </c:pt>
                <c:pt idx="77">
                  <c:v>1437098</c:v>
                </c:pt>
                <c:pt idx="78">
                  <c:v>1432345</c:v>
                </c:pt>
                <c:pt idx="79">
                  <c:v>1422633</c:v>
                </c:pt>
                <c:pt idx="80">
                  <c:v>1381545</c:v>
                </c:pt>
                <c:pt idx="81">
                  <c:v>1427312</c:v>
                </c:pt>
                <c:pt idx="82">
                  <c:v>1374007</c:v>
                </c:pt>
                <c:pt idx="83">
                  <c:v>1402190</c:v>
                </c:pt>
                <c:pt idx="84">
                  <c:v>1436016</c:v>
                </c:pt>
                <c:pt idx="85">
                  <c:v>1446734</c:v>
                </c:pt>
                <c:pt idx="86">
                  <c:v>1441231</c:v>
                </c:pt>
                <c:pt idx="87">
                  <c:v>1434741</c:v>
                </c:pt>
                <c:pt idx="88">
                  <c:v>1446820</c:v>
                </c:pt>
                <c:pt idx="89">
                  <c:v>1496131</c:v>
                </c:pt>
                <c:pt idx="90">
                  <c:v>1506529</c:v>
                </c:pt>
                <c:pt idx="91">
                  <c:v>1499904</c:v>
                </c:pt>
                <c:pt idx="92">
                  <c:v>1520498</c:v>
                </c:pt>
                <c:pt idx="93">
                  <c:v>1601322</c:v>
                </c:pt>
                <c:pt idx="94">
                  <c:v>1678671</c:v>
                </c:pt>
                <c:pt idx="95">
                  <c:v>1825726</c:v>
                </c:pt>
                <c:pt idx="96">
                  <c:v>1672564</c:v>
                </c:pt>
                <c:pt idx="97">
                  <c:v>1777088</c:v>
                </c:pt>
                <c:pt idx="98">
                  <c:v>1700976</c:v>
                </c:pt>
                <c:pt idx="99">
                  <c:v>1697964</c:v>
                </c:pt>
                <c:pt idx="100">
                  <c:v>1757212</c:v>
                </c:pt>
                <c:pt idx="101">
                  <c:v>1817156</c:v>
                </c:pt>
                <c:pt idx="102">
                  <c:v>1851044</c:v>
                </c:pt>
                <c:pt idx="103">
                  <c:v>1872655</c:v>
                </c:pt>
                <c:pt idx="104">
                  <c:v>1943478</c:v>
                </c:pt>
                <c:pt idx="105">
                  <c:v>2104114</c:v>
                </c:pt>
                <c:pt idx="106">
                  <c:v>2127385</c:v>
                </c:pt>
                <c:pt idx="107">
                  <c:v>2247161</c:v>
                </c:pt>
                <c:pt idx="108">
                  <c:v>2446398</c:v>
                </c:pt>
                <c:pt idx="109">
                  <c:v>2453295</c:v>
                </c:pt>
                <c:pt idx="110">
                  <c:v>2386326</c:v>
                </c:pt>
                <c:pt idx="111">
                  <c:v>2300358</c:v>
                </c:pt>
                <c:pt idx="112">
                  <c:v>2467268</c:v>
                </c:pt>
                <c:pt idx="113">
                  <c:v>3068754</c:v>
                </c:pt>
                <c:pt idx="114">
                  <c:v>652511</c:v>
                </c:pt>
                <c:pt idx="115">
                  <c:v>1200331</c:v>
                </c:pt>
                <c:pt idx="116">
                  <c:v>1319407</c:v>
                </c:pt>
                <c:pt idx="117">
                  <c:v>1435812</c:v>
                </c:pt>
                <c:pt idx="118">
                  <c:v>1534612</c:v>
                </c:pt>
                <c:pt idx="119">
                  <c:v>1602800</c:v>
                </c:pt>
                <c:pt idx="120">
                  <c:v>1563838</c:v>
                </c:pt>
                <c:pt idx="121">
                  <c:v>1551756</c:v>
                </c:pt>
                <c:pt idx="122">
                  <c:v>1530887</c:v>
                </c:pt>
                <c:pt idx="123">
                  <c:v>1500134</c:v>
                </c:pt>
                <c:pt idx="124">
                  <c:v>1467990</c:v>
                </c:pt>
                <c:pt idx="125">
                  <c:v>1497931</c:v>
                </c:pt>
                <c:pt idx="126">
                  <c:v>1605864</c:v>
                </c:pt>
                <c:pt idx="127">
                  <c:v>1642568</c:v>
                </c:pt>
                <c:pt idx="128">
                  <c:v>1596364</c:v>
                </c:pt>
                <c:pt idx="129">
                  <c:v>1595878</c:v>
                </c:pt>
                <c:pt idx="130">
                  <c:v>1685571</c:v>
                </c:pt>
                <c:pt idx="131">
                  <c:v>1702057</c:v>
                </c:pt>
                <c:pt idx="132">
                  <c:v>1681034</c:v>
                </c:pt>
                <c:pt idx="133">
                  <c:v>1713589</c:v>
                </c:pt>
                <c:pt idx="134">
                  <c:v>1686196</c:v>
                </c:pt>
                <c:pt idx="135">
                  <c:v>1560285</c:v>
                </c:pt>
                <c:pt idx="136">
                  <c:v>1469509</c:v>
                </c:pt>
                <c:pt idx="137">
                  <c:v>1513944</c:v>
                </c:pt>
                <c:pt idx="138">
                  <c:v>1555424</c:v>
                </c:pt>
                <c:pt idx="139">
                  <c:v>1605599</c:v>
                </c:pt>
                <c:pt idx="140">
                  <c:v>1602904</c:v>
                </c:pt>
                <c:pt idx="141">
                  <c:v>1632939</c:v>
                </c:pt>
                <c:pt idx="142">
                  <c:v>1674503</c:v>
                </c:pt>
                <c:pt idx="143">
                  <c:v>1705511</c:v>
                </c:pt>
                <c:pt idx="144">
                  <c:v>1804249</c:v>
                </c:pt>
                <c:pt idx="145">
                  <c:v>1815250</c:v>
                </c:pt>
                <c:pt idx="146">
                  <c:v>1833487</c:v>
                </c:pt>
                <c:pt idx="147">
                  <c:v>1937412</c:v>
                </c:pt>
                <c:pt idx="148">
                  <c:v>2105149</c:v>
                </c:pt>
                <c:pt idx="149">
                  <c:v>2091933</c:v>
                </c:pt>
                <c:pt idx="150">
                  <c:v>2181566</c:v>
                </c:pt>
                <c:pt idx="151">
                  <c:v>2262881</c:v>
                </c:pt>
                <c:pt idx="152">
                  <c:v>2229199</c:v>
                </c:pt>
                <c:pt idx="153">
                  <c:v>2181750</c:v>
                </c:pt>
                <c:pt idx="154">
                  <c:v>2198890</c:v>
                </c:pt>
                <c:pt idx="155">
                  <c:v>2267795</c:v>
                </c:pt>
                <c:pt idx="156">
                  <c:v>2401436</c:v>
                </c:pt>
                <c:pt idx="157">
                  <c:v>2484727</c:v>
                </c:pt>
                <c:pt idx="158">
                  <c:v>2578073</c:v>
                </c:pt>
                <c:pt idx="159">
                  <c:v>2742725</c:v>
                </c:pt>
                <c:pt idx="160">
                  <c:v>2836867</c:v>
                </c:pt>
                <c:pt idx="161">
                  <c:v>2816387</c:v>
                </c:pt>
                <c:pt idx="162">
                  <c:v>2595456</c:v>
                </c:pt>
                <c:pt idx="163">
                  <c:v>2469285</c:v>
                </c:pt>
                <c:pt idx="164">
                  <c:v>2400463</c:v>
                </c:pt>
                <c:pt idx="165">
                  <c:v>2553518</c:v>
                </c:pt>
                <c:pt idx="166">
                  <c:v>2681030</c:v>
                </c:pt>
                <c:pt idx="167">
                  <c:v>3510844</c:v>
                </c:pt>
                <c:pt idx="168">
                  <c:v>1081180</c:v>
                </c:pt>
                <c:pt idx="169">
                  <c:v>1560728</c:v>
                </c:pt>
                <c:pt idx="170">
                  <c:v>1845952</c:v>
                </c:pt>
                <c:pt idx="171">
                  <c:v>2107460</c:v>
                </c:pt>
                <c:pt idx="172">
                  <c:v>2137204</c:v>
                </c:pt>
                <c:pt idx="173">
                  <c:v>2271489</c:v>
                </c:pt>
                <c:pt idx="174">
                  <c:v>2394977</c:v>
                </c:pt>
                <c:pt idx="175">
                  <c:v>2458763</c:v>
                </c:pt>
                <c:pt idx="176">
                  <c:v>2330434</c:v>
                </c:pt>
                <c:pt idx="177">
                  <c:v>2281872</c:v>
                </c:pt>
                <c:pt idx="178">
                  <c:v>2180677</c:v>
                </c:pt>
                <c:pt idx="179">
                  <c:v>2244130</c:v>
                </c:pt>
                <c:pt idx="180">
                  <c:v>2289057</c:v>
                </c:pt>
                <c:pt idx="181">
                  <c:v>2269150</c:v>
                </c:pt>
                <c:pt idx="182">
                  <c:v>2220900</c:v>
                </c:pt>
                <c:pt idx="183">
                  <c:v>2240472</c:v>
                </c:pt>
                <c:pt idx="184">
                  <c:v>2339530</c:v>
                </c:pt>
                <c:pt idx="185">
                  <c:v>2216783</c:v>
                </c:pt>
                <c:pt idx="186">
                  <c:v>2116131</c:v>
                </c:pt>
                <c:pt idx="187">
                  <c:v>1997728</c:v>
                </c:pt>
                <c:pt idx="188">
                  <c:v>1972172</c:v>
                </c:pt>
                <c:pt idx="189">
                  <c:v>1962644</c:v>
                </c:pt>
                <c:pt idx="190">
                  <c:v>2005857</c:v>
                </c:pt>
                <c:pt idx="191">
                  <c:v>2035454</c:v>
                </c:pt>
                <c:pt idx="192">
                  <c:v>2133445</c:v>
                </c:pt>
                <c:pt idx="193">
                  <c:v>2166629</c:v>
                </c:pt>
                <c:pt idx="194">
                  <c:v>2207378</c:v>
                </c:pt>
                <c:pt idx="195">
                  <c:v>2248078</c:v>
                </c:pt>
                <c:pt idx="196">
                  <c:v>2291155</c:v>
                </c:pt>
                <c:pt idx="197">
                  <c:v>2331893</c:v>
                </c:pt>
                <c:pt idx="198">
                  <c:v>2583184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822205834"/>
        <c:axId val="720425495"/>
      </c:barChart>
      <c:dateAx>
        <c:axId val="822205834"/>
        <c:scaling>
          <c:orientation val="minMax"/>
          <c:max val="46289"/>
          <c:min val="45924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0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tx1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720425495"/>
        <c:crosses val="autoZero"/>
        <c:auto val="1"/>
        <c:lblOffset val="100"/>
        <c:baseTimeUnit val="days"/>
        <c:majorUnit val="2"/>
        <c:majorTimeUnit val="months"/>
      </c:dateAx>
      <c:valAx>
        <c:axId val="720425495"/>
        <c:scaling>
          <c:orientation val="minMax"/>
          <c:max val="3700000"/>
          <c:min val="200000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tx1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</a:p>
        </c:txPr>
        <c:crossAx val="822205834"/>
        <c:crosses val="autoZero"/>
        <c:crossBetween val="between"/>
        <c:majorUnit val="500000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dbf668e-7a04-4364-b705-2327b5529931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chemeClr val="tx1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  <a:sym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ysClr val="windowText" lastClr="000000"/>
                </a:solidFill>
              </a:rPr>
              <a:t>淘汰母猪屠宰厂宰杀量</a:t>
            </a:r>
            <a:endParaRPr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淘汰母猪宰杀量!#REF!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淘汰母猪宰杀量!#REF!</c:f>
              <c:numCache>
                <c:ptCount val="0"/>
              </c:numCache>
            </c:numRef>
          </c:cat>
          <c:val>
            <c:numRef>
              <c:f>淘汰母猪宰杀量!#REF!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淘汰母猪宰杀量!#REF!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淘汰母猪宰杀量!#REF!</c:f>
              <c:numCache>
                <c:ptCount val="0"/>
              </c:numCache>
            </c:numRef>
          </c:cat>
          <c:val>
            <c:numRef>
              <c:f>淘汰母猪宰杀量!#REF!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淘汰母猪宰杀量!#REF!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淘汰母猪宰杀量!#REF!</c:f>
              <c:numCache>
                <c:ptCount val="0"/>
              </c:numCache>
            </c:numRef>
          </c:cat>
          <c:val>
            <c:numRef>
              <c:f>淘汰母猪宰杀量!#REF!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3"/>
          <c:order val="3"/>
          <c:tx>
            <c:strRef>
              <c:f>淘汰母猪宰杀量!#REF!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24D4E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淘汰母猪宰杀量!#REF!</c:f>
              <c:numCache>
                <c:ptCount val="0"/>
              </c:numCache>
            </c:numRef>
          </c:cat>
          <c:val>
            <c:numRef>
              <c:f>淘汰母猪宰杀量!#REF!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4"/>
          <c:order val="4"/>
          <c:tx>
            <c:strRef>
              <c:f>淘汰母猪宰杀量!#REF!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淘汰母猪宰杀量!#REF!</c:f>
              <c:numCache>
                <c:ptCount val="0"/>
              </c:numCache>
            </c:numRef>
          </c:cat>
          <c:val>
            <c:numRef>
              <c:f>淘汰母猪宰杀量!#REF!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737156"/>
        <c:axId val="786859875"/>
      </c:barChart>
      <c:dateAx>
        <c:axId val="4037371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2700000" spcFirstLastPara="0" vertOverflow="ellipsis" vert="horz" wrap="square" anchor="t" anchorCtr="0" forceAA="0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786859875"/>
        <c:crosses val="autoZero"/>
        <c:auto val="1"/>
        <c:lblAlgn val="ctr"/>
        <c:lblOffset val="100"/>
        <c:baseTimeUnit val="days"/>
      </c:dateAx>
      <c:valAx>
        <c:axId val="786859875"/>
        <c:scaling>
          <c:orientation val="minMax"/>
          <c:max val="1000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403737156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12db1d4-aff2-40fb-abbb-dbc5f573ab2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</a:defRPr>
      </a:pPr>
    </a:p>
  </c:txPr>
  <c:externalData r:id="rId1">
    <c:autoUpdate val="0"/>
  </c:externalData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ysClr val="windowText" lastClr="000000"/>
                </a:solidFill>
              </a:rPr>
              <a:t>五省淘汰母猪屠宰厂宰杀量走势图</a:t>
            </a:r>
            <a:endParaRPr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98472222222222"/>
          <c:y val="0.024361948955916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7305555555556"/>
          <c:y val="0.241203703703704"/>
          <c:w val="0.856722222222222"/>
          <c:h val="0.4461574074074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淘汰母猪宰杀量!$B$2</c:f>
              <c:strCache>
                <c:ptCount val="1"/>
                <c:pt idx="0">
                  <c:v>合计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numRef>
              <c:f>淘汰母猪宰杀量!$A$3:$A$81</c:f>
              <c:numCache>
                <c:formatCode>yyyy"年"m"月";@</c:formatCode>
                <c:ptCount val="79"/>
                <c:pt idx="0" c:formatCode="yyyy&quot;年&quot;m&quot;月&quot;;@">
                  <c:v>44378</c:v>
                </c:pt>
                <c:pt idx="1" c:formatCode="yyyy&quot;年&quot;m&quot;月&quot;;@">
                  <c:v>44409</c:v>
                </c:pt>
                <c:pt idx="2" c:formatCode="yyyy&quot;年&quot;m&quot;月&quot;;@">
                  <c:v>44440</c:v>
                </c:pt>
                <c:pt idx="3" c:formatCode="yyyy&quot;年&quot;m&quot;月&quot;;@">
                  <c:v>44470</c:v>
                </c:pt>
                <c:pt idx="4" c:formatCode="yyyy&quot;年&quot;m&quot;月&quot;;@">
                  <c:v>44501</c:v>
                </c:pt>
                <c:pt idx="5" c:formatCode="yyyy&quot;年&quot;m&quot;月&quot;;@">
                  <c:v>44531</c:v>
                </c:pt>
                <c:pt idx="6" c:formatCode="yyyy&quot;年&quot;m&quot;月&quot;;@">
                  <c:v>44562</c:v>
                </c:pt>
                <c:pt idx="7" c:formatCode="yyyy&quot;年&quot;m&quot;月&quot;;@">
                  <c:v>44593</c:v>
                </c:pt>
                <c:pt idx="8" c:formatCode="yyyy&quot;年&quot;m&quot;月&quot;;@">
                  <c:v>44621</c:v>
                </c:pt>
                <c:pt idx="9" c:formatCode="yyyy&quot;年&quot;m&quot;月&quot;;@">
                  <c:v>44652</c:v>
                </c:pt>
                <c:pt idx="10" c:formatCode="yyyy&quot;年&quot;m&quot;月&quot;;@">
                  <c:v>44682</c:v>
                </c:pt>
                <c:pt idx="11" c:formatCode="yyyy&quot;年&quot;m&quot;月&quot;;@">
                  <c:v>44713</c:v>
                </c:pt>
                <c:pt idx="12" c:formatCode="yyyy&quot;年&quot;m&quot;月&quot;;@">
                  <c:v>44743</c:v>
                </c:pt>
                <c:pt idx="13" c:formatCode="yyyy&quot;年&quot;m&quot;月&quot;;@">
                  <c:v>44774</c:v>
                </c:pt>
                <c:pt idx="14" c:formatCode="yyyy&quot;年&quot;m&quot;月&quot;;@">
                  <c:v>44805</c:v>
                </c:pt>
                <c:pt idx="15" c:formatCode="yyyy&quot;年&quot;m&quot;月&quot;;@">
                  <c:v>44835</c:v>
                </c:pt>
                <c:pt idx="16" c:formatCode="yyyy&quot;年&quot;m&quot;月&quot;;@">
                  <c:v>44866</c:v>
                </c:pt>
                <c:pt idx="17" c:formatCode="yyyy&quot;年&quot;m&quot;月&quot;;@">
                  <c:v>44896</c:v>
                </c:pt>
                <c:pt idx="18" c:formatCode="yyyy&quot;年&quot;m&quot;月&quot;;@">
                  <c:v>44927</c:v>
                </c:pt>
                <c:pt idx="19" c:formatCode="yyyy&quot;年&quot;m&quot;月&quot;;@">
                  <c:v>44958</c:v>
                </c:pt>
                <c:pt idx="20" c:formatCode="yyyy&quot;年&quot;m&quot;月&quot;;@">
                  <c:v>44986</c:v>
                </c:pt>
                <c:pt idx="21" c:formatCode="yyyy&quot;年&quot;m&quot;月&quot;;@">
                  <c:v>45017</c:v>
                </c:pt>
                <c:pt idx="22" c:formatCode="yyyy&quot;年&quot;m&quot;月&quot;;@">
                  <c:v>45047</c:v>
                </c:pt>
                <c:pt idx="23" c:formatCode="yyyy&quot;年&quot;m&quot;月&quot;;@">
                  <c:v>45078</c:v>
                </c:pt>
                <c:pt idx="24" c:formatCode="yyyy&quot;年&quot;m&quot;月&quot;;@">
                  <c:v>45108</c:v>
                </c:pt>
                <c:pt idx="25" c:formatCode="yyyy&quot;年&quot;m&quot;月&quot;;@">
                  <c:v>45139</c:v>
                </c:pt>
                <c:pt idx="26" c:formatCode="yyyy&quot;年&quot;m&quot;月&quot;;@">
                  <c:v>45170</c:v>
                </c:pt>
                <c:pt idx="27" c:formatCode="yyyy&quot;年&quot;m&quot;月&quot;;@">
                  <c:v>45200</c:v>
                </c:pt>
                <c:pt idx="28" c:formatCode="yyyy&quot;年&quot;m&quot;月&quot;;@">
                  <c:v>45231</c:v>
                </c:pt>
                <c:pt idx="29" c:formatCode="yyyy&quot;年&quot;m&quot;月&quot;;@">
                  <c:v>45261</c:v>
                </c:pt>
                <c:pt idx="30" c:formatCode="yyyy&quot;年&quot;m&quot;月&quot;;@">
                  <c:v>45292</c:v>
                </c:pt>
                <c:pt idx="31" c:formatCode="yyyy&quot;年&quot;m&quot;月&quot;;@">
                  <c:v>45323</c:v>
                </c:pt>
                <c:pt idx="32" c:formatCode="yyyy&quot;年&quot;m&quot;月&quot;;@">
                  <c:v>45352</c:v>
                </c:pt>
                <c:pt idx="33" c:formatCode="yyyy&quot;年&quot;m&quot;月&quot;;@">
                  <c:v>45383</c:v>
                </c:pt>
                <c:pt idx="34" c:formatCode="yyyy&quot;年&quot;m&quot;月&quot;;@">
                  <c:v>45413</c:v>
                </c:pt>
                <c:pt idx="35" c:formatCode="yyyy&quot;年&quot;m&quot;月&quot;;@">
                  <c:v>45444</c:v>
                </c:pt>
                <c:pt idx="36" c:formatCode="yyyy&quot;年&quot;m&quot;月&quot;;@">
                  <c:v>45474</c:v>
                </c:pt>
                <c:pt idx="37" c:formatCode="yyyy&quot;年&quot;m&quot;月&quot;;@">
                  <c:v>45505</c:v>
                </c:pt>
                <c:pt idx="38" c:formatCode="yyyy&quot;年&quot;m&quot;月&quot;;@">
                  <c:v>45536</c:v>
                </c:pt>
                <c:pt idx="39" c:formatCode="yyyy&quot;年&quot;m&quot;月&quot;;@">
                  <c:v>45566</c:v>
                </c:pt>
                <c:pt idx="40" c:formatCode="yyyy&quot;年&quot;m&quot;月&quot;;@">
                  <c:v>45597</c:v>
                </c:pt>
                <c:pt idx="41" c:formatCode="yyyy&quot;年&quot;m&quot;月&quot;;@">
                  <c:v>45627</c:v>
                </c:pt>
                <c:pt idx="42" c:formatCode="yyyy&quot;年&quot;m&quot;月&quot;;@">
                  <c:v>45658</c:v>
                </c:pt>
                <c:pt idx="43" c:formatCode="yyyy&quot;年&quot;m&quot;月&quot;;@">
                  <c:v>45689</c:v>
                </c:pt>
                <c:pt idx="44" c:formatCode="yyyy&quot;年&quot;m&quot;月&quot;;@">
                  <c:v>45717</c:v>
                </c:pt>
                <c:pt idx="45" c:formatCode="yyyy&quot;年&quot;m&quot;月&quot;;@">
                  <c:v>45748</c:v>
                </c:pt>
                <c:pt idx="46" c:formatCode="yyyy&quot;年&quot;m&quot;月&quot;;@">
                  <c:v>45778</c:v>
                </c:pt>
                <c:pt idx="47" c:formatCode="yyyy&quot;年&quot;m&quot;月&quot;;@">
                  <c:v>45809</c:v>
                </c:pt>
                <c:pt idx="48" c:formatCode="yyyy&quot;年&quot;m&quot;月&quot;;@">
                  <c:v>45839</c:v>
                </c:pt>
                <c:pt idx="49" c:formatCode="yyyy&quot;年&quot;m&quot;月&quot;;@">
                  <c:v>45870</c:v>
                </c:pt>
                <c:pt idx="50" c:formatCode="yyyy&quot;年&quot;m&quot;月&quot;;@">
                  <c:v>45901</c:v>
                </c:pt>
                <c:pt idx="51" c:formatCode="yyyy&quot;年&quot;m&quot;月&quot;;@">
                  <c:v>45931</c:v>
                </c:pt>
                <c:pt idx="52" c:formatCode="yyyy&quot;年&quot;m&quot;月&quot;;@">
                  <c:v>45962</c:v>
                </c:pt>
                <c:pt idx="53" c:formatCode="yyyy&quot;年&quot;m&quot;月&quot;;@">
                  <c:v>45992</c:v>
                </c:pt>
                <c:pt idx="54" c:formatCode="yyyy&quot;年&quot;m&quot;月&quot;;@">
                  <c:v>46023</c:v>
                </c:pt>
                <c:pt idx="55" c:formatCode="yyyy&quot;年&quot;m&quot;月&quot;;@">
                  <c:v>46054</c:v>
                </c:pt>
                <c:pt idx="56" c:formatCode="yyyy&quot;年&quot;m&quot;月&quot;;@">
                  <c:v>46082</c:v>
                </c:pt>
                <c:pt idx="57" c:formatCode="yyyy&quot;年&quot;m&quot;月&quot;;@">
                  <c:v>46113</c:v>
                </c:pt>
                <c:pt idx="58" c:formatCode="yyyy&quot;年&quot;m&quot;月&quot;;@">
                  <c:v>46143</c:v>
                </c:pt>
                <c:pt idx="59" c:formatCode="yyyy&quot;年&quot;m&quot;月&quot;;@">
                  <c:v>46174</c:v>
                </c:pt>
                <c:pt idx="60" c:formatCode="yyyy&quot;年&quot;m&quot;月&quot;;@">
                  <c:v>46204</c:v>
                </c:pt>
                <c:pt idx="61" c:formatCode="yyyy&quot;年&quot;m&quot;月&quot;;@">
                  <c:v>46235</c:v>
                </c:pt>
              </c:numCache>
            </c:numRef>
          </c:cat>
          <c:val>
            <c:numRef>
              <c:f>淘汰母猪宰杀量!$B$3:$B$81</c:f>
              <c:numCache>
                <c:formatCode>General</c:formatCode>
                <c:ptCount val="79"/>
                <c:pt idx="0">
                  <c:v>199150</c:v>
                </c:pt>
                <c:pt idx="1">
                  <c:v>210984</c:v>
                </c:pt>
                <c:pt idx="2">
                  <c:v>219780</c:v>
                </c:pt>
                <c:pt idx="3">
                  <c:v>215286</c:v>
                </c:pt>
                <c:pt idx="4">
                  <c:v>210769</c:v>
                </c:pt>
                <c:pt idx="5">
                  <c:v>189143</c:v>
                </c:pt>
                <c:pt idx="6">
                  <c:v>149635</c:v>
                </c:pt>
                <c:pt idx="7">
                  <c:v>157861</c:v>
                </c:pt>
                <c:pt idx="8">
                  <c:v>166689</c:v>
                </c:pt>
                <c:pt idx="9">
                  <c:v>148385</c:v>
                </c:pt>
                <c:pt idx="10">
                  <c:v>139980</c:v>
                </c:pt>
                <c:pt idx="11">
                  <c:v>133470</c:v>
                </c:pt>
                <c:pt idx="12">
                  <c:v>125541</c:v>
                </c:pt>
                <c:pt idx="13">
                  <c:v>123455</c:v>
                </c:pt>
                <c:pt idx="14">
                  <c:v>140150</c:v>
                </c:pt>
                <c:pt idx="15">
                  <c:v>138157</c:v>
                </c:pt>
                <c:pt idx="16">
                  <c:v>141299</c:v>
                </c:pt>
                <c:pt idx="17">
                  <c:v>146423</c:v>
                </c:pt>
                <c:pt idx="18">
                  <c:v>165927</c:v>
                </c:pt>
                <c:pt idx="19">
                  <c:v>177553</c:v>
                </c:pt>
                <c:pt idx="20">
                  <c:v>179133</c:v>
                </c:pt>
                <c:pt idx="21">
                  <c:v>167259</c:v>
                </c:pt>
                <c:pt idx="22">
                  <c:v>172012</c:v>
                </c:pt>
                <c:pt idx="23">
                  <c:v>147261</c:v>
                </c:pt>
                <c:pt idx="24">
                  <c:v>143897</c:v>
                </c:pt>
                <c:pt idx="25">
                  <c:v>143935</c:v>
                </c:pt>
                <c:pt idx="26">
                  <c:v>139184</c:v>
                </c:pt>
                <c:pt idx="27">
                  <c:v>160953</c:v>
                </c:pt>
                <c:pt idx="28">
                  <c:v>174926</c:v>
                </c:pt>
                <c:pt idx="29">
                  <c:v>164397</c:v>
                </c:pt>
                <c:pt idx="30">
                  <c:v>116339</c:v>
                </c:pt>
                <c:pt idx="31">
                  <c:v>63863</c:v>
                </c:pt>
                <c:pt idx="32">
                  <c:v>102163</c:v>
                </c:pt>
                <c:pt idx="33">
                  <c:v>80594</c:v>
                </c:pt>
                <c:pt idx="34">
                  <c:v>78867</c:v>
                </c:pt>
                <c:pt idx="35">
                  <c:v>80405</c:v>
                </c:pt>
                <c:pt idx="36">
                  <c:v>84482</c:v>
                </c:pt>
                <c:pt idx="37">
                  <c:v>85291</c:v>
                </c:pt>
                <c:pt idx="38">
                  <c:v>82493</c:v>
                </c:pt>
                <c:pt idx="39">
                  <c:v>85829</c:v>
                </c:pt>
                <c:pt idx="40">
                  <c:v>96308</c:v>
                </c:pt>
                <c:pt idx="41">
                  <c:v>97695</c:v>
                </c:pt>
                <c:pt idx="42">
                  <c:v>79630</c:v>
                </c:pt>
                <c:pt idx="43">
                  <c:v>95329</c:v>
                </c:pt>
                <c:pt idx="44">
                  <c:v>106908</c:v>
                </c:pt>
                <c:pt idx="45">
                  <c:v>100479</c:v>
                </c:pt>
                <c:pt idx="46">
                  <c:v>101844</c:v>
                </c:pt>
                <c:pt idx="47">
                  <c:v>104278</c:v>
                </c:pt>
                <c:pt idx="48">
                  <c:v>103214</c:v>
                </c:pt>
                <c:pt idx="49">
                  <c:v>110133</c:v>
                </c:pt>
                <c:pt idx="50">
                  <c:v>130104</c:v>
                </c:pt>
                <c:pt idx="51">
                  <c:v>146248</c:v>
                </c:pt>
                <c:pt idx="52">
                  <c:v>140914</c:v>
                </c:pt>
                <c:pt idx="53">
                  <c:v>133501</c:v>
                </c:pt>
                <c:pt idx="54">
                  <c:v>108831</c:v>
                </c:pt>
                <c:pt idx="55">
                  <c:v>76891</c:v>
                </c:pt>
                <c:pt idx="56">
                  <c:v>122139</c:v>
                </c:pt>
                <c:pt idx="57">
                  <c:v>113349</c:v>
                </c:pt>
                <c:pt idx="58">
                  <c:v>123842</c:v>
                </c:pt>
                <c:pt idx="59">
                  <c:v>125624</c:v>
                </c:pt>
                <c:pt idx="60">
                  <c:v>118655</c:v>
                </c:pt>
                <c:pt idx="61">
                  <c:v>141229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7182288"/>
        <c:axId val="573717769"/>
      </c:barChart>
      <c:dateAx>
        <c:axId val="967182288"/>
        <c:scaling>
          <c:orientation val="minMax"/>
          <c:min val="45597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ysClr val="windowText" lastClr="000000"/>
                    </a:solidFill>
                  </a:rPr>
                  <a:t>头</a:t>
                </a:r>
                <a:r>
                  <a:rPr lang="en-US" altLang="zh-CN" b="1">
                    <a:solidFill>
                      <a:sysClr val="windowText" lastClr="000000"/>
                    </a:solidFill>
                  </a:rPr>
                  <a:t> </a:t>
                </a:r>
                <a:endParaRPr lang="en-US" altLang="zh-CN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0368472222222222"/>
              <c:y val="0.14097222222222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573717769"/>
        <c:crosses val="autoZero"/>
        <c:auto val="1"/>
        <c:lblOffset val="100"/>
        <c:baseTimeUnit val="months"/>
        <c:majorUnit val="3"/>
        <c:majorTimeUnit val="months"/>
      </c:dateAx>
      <c:valAx>
        <c:axId val="573717769"/>
        <c:scaling>
          <c:orientation val="minMax"/>
          <c:max val="160000"/>
          <c:min val="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96718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c97c5a4-7fac-4ac8-b7ce-eb3478f41d4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>
          <a:solidFill>
            <a:sysClr val="windowText" lastClr="000000"/>
          </a:solidFill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ysClr val="windowText" lastClr="000000"/>
                </a:solidFill>
              </a:rPr>
              <a:t>屠宰企业开工率变化趋势</a:t>
            </a:r>
            <a:endParaRPr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开工率!$A$5:$A$157</c:f>
              <c:numCache>
                <c:formatCode>yyyy"年"m"月";@</c:formatCode>
                <c:ptCount val="153"/>
                <c:pt idx="0" c:formatCode="yyyy&quot;年&quot;m&quot;月&quot;;@">
                  <c:v>42370</c:v>
                </c:pt>
                <c:pt idx="1" c:formatCode="yyyy&quot;年&quot;m&quot;月&quot;;@">
                  <c:v>42401</c:v>
                </c:pt>
                <c:pt idx="2" c:formatCode="yyyy&quot;年&quot;m&quot;月&quot;;@">
                  <c:v>42430</c:v>
                </c:pt>
                <c:pt idx="3" c:formatCode="yyyy&quot;年&quot;m&quot;月&quot;;@">
                  <c:v>42461</c:v>
                </c:pt>
                <c:pt idx="4" c:formatCode="yyyy&quot;年&quot;m&quot;月&quot;;@">
                  <c:v>42491</c:v>
                </c:pt>
                <c:pt idx="5" c:formatCode="yyyy&quot;年&quot;m&quot;月&quot;;@">
                  <c:v>42522</c:v>
                </c:pt>
                <c:pt idx="6" c:formatCode="yyyy&quot;年&quot;m&quot;月&quot;;@">
                  <c:v>42552</c:v>
                </c:pt>
                <c:pt idx="7" c:formatCode="yyyy&quot;年&quot;m&quot;月&quot;;@">
                  <c:v>42583</c:v>
                </c:pt>
                <c:pt idx="8" c:formatCode="yyyy&quot;年&quot;m&quot;月&quot;;@">
                  <c:v>42614</c:v>
                </c:pt>
                <c:pt idx="9" c:formatCode="yyyy&quot;年&quot;m&quot;月&quot;;@">
                  <c:v>42644</c:v>
                </c:pt>
                <c:pt idx="10" c:formatCode="yyyy&quot;年&quot;m&quot;月&quot;;@">
                  <c:v>42675</c:v>
                </c:pt>
                <c:pt idx="11" c:formatCode="yyyy&quot;年&quot;m&quot;月&quot;;@">
                  <c:v>42705</c:v>
                </c:pt>
                <c:pt idx="12" c:formatCode="yyyy&quot;年&quot;m&quot;月&quot;;@">
                  <c:v>42736</c:v>
                </c:pt>
                <c:pt idx="13" c:formatCode="yyyy&quot;年&quot;m&quot;月&quot;;@">
                  <c:v>42767</c:v>
                </c:pt>
                <c:pt idx="14" c:formatCode="yyyy&quot;年&quot;m&quot;月&quot;;@">
                  <c:v>42795</c:v>
                </c:pt>
                <c:pt idx="15" c:formatCode="yyyy&quot;年&quot;m&quot;月&quot;;@">
                  <c:v>42826</c:v>
                </c:pt>
                <c:pt idx="16" c:formatCode="yyyy&quot;年&quot;m&quot;月&quot;;@">
                  <c:v>42856</c:v>
                </c:pt>
                <c:pt idx="17" c:formatCode="yyyy&quot;年&quot;m&quot;月&quot;;@">
                  <c:v>42887</c:v>
                </c:pt>
                <c:pt idx="18" c:formatCode="yyyy&quot;年&quot;m&quot;月&quot;;@">
                  <c:v>42917</c:v>
                </c:pt>
                <c:pt idx="19" c:formatCode="yyyy&quot;年&quot;m&quot;月&quot;;@">
                  <c:v>42948</c:v>
                </c:pt>
                <c:pt idx="20" c:formatCode="yyyy&quot;年&quot;m&quot;月&quot;;@">
                  <c:v>42979</c:v>
                </c:pt>
                <c:pt idx="21" c:formatCode="yyyy&quot;年&quot;m&quot;月&quot;;@">
                  <c:v>43009</c:v>
                </c:pt>
                <c:pt idx="22" c:formatCode="yyyy&quot;年&quot;m&quot;月&quot;;@">
                  <c:v>43040</c:v>
                </c:pt>
                <c:pt idx="23" c:formatCode="yyyy&quot;年&quot;m&quot;月&quot;;@">
                  <c:v>43070</c:v>
                </c:pt>
                <c:pt idx="24" c:formatCode="yyyy&quot;年&quot;m&quot;月&quot;;@">
                  <c:v>43101</c:v>
                </c:pt>
                <c:pt idx="25" c:formatCode="yyyy&quot;年&quot;m&quot;月&quot;;@">
                  <c:v>43132</c:v>
                </c:pt>
                <c:pt idx="26" c:formatCode="yyyy&quot;年&quot;m&quot;月&quot;;@">
                  <c:v>43160</c:v>
                </c:pt>
                <c:pt idx="27" c:formatCode="yyyy&quot;年&quot;m&quot;月&quot;;@">
                  <c:v>43191</c:v>
                </c:pt>
                <c:pt idx="28" c:formatCode="yyyy&quot;年&quot;m&quot;月&quot;;@">
                  <c:v>43221</c:v>
                </c:pt>
                <c:pt idx="29" c:formatCode="yyyy&quot;年&quot;m&quot;月&quot;;@">
                  <c:v>43252</c:v>
                </c:pt>
                <c:pt idx="30" c:formatCode="yyyy&quot;年&quot;m&quot;月&quot;;@">
                  <c:v>43282</c:v>
                </c:pt>
                <c:pt idx="31" c:formatCode="yyyy&quot;年&quot;m&quot;月&quot;;@">
                  <c:v>43313</c:v>
                </c:pt>
                <c:pt idx="32" c:formatCode="yyyy&quot;年&quot;m&quot;月&quot;;@">
                  <c:v>43344</c:v>
                </c:pt>
                <c:pt idx="33" c:formatCode="yyyy&quot;年&quot;m&quot;月&quot;;@">
                  <c:v>43374</c:v>
                </c:pt>
                <c:pt idx="34" c:formatCode="yyyy&quot;年&quot;m&quot;月&quot;;@">
                  <c:v>43405</c:v>
                </c:pt>
                <c:pt idx="35" c:formatCode="yyyy&quot;年&quot;m&quot;月&quot;;@">
                  <c:v>43435</c:v>
                </c:pt>
                <c:pt idx="36" c:formatCode="yyyy&quot;年&quot;m&quot;月&quot;;@">
                  <c:v>43466</c:v>
                </c:pt>
                <c:pt idx="37" c:formatCode="yyyy&quot;年&quot;m&quot;月&quot;;@">
                  <c:v>43497</c:v>
                </c:pt>
                <c:pt idx="38" c:formatCode="yyyy&quot;年&quot;m&quot;月&quot;;@">
                  <c:v>43525</c:v>
                </c:pt>
                <c:pt idx="39" c:formatCode="yyyy&quot;年&quot;m&quot;月&quot;;@">
                  <c:v>43556</c:v>
                </c:pt>
                <c:pt idx="40" c:formatCode="yyyy&quot;年&quot;m&quot;月&quot;;@">
                  <c:v>43586</c:v>
                </c:pt>
                <c:pt idx="41" c:formatCode="yyyy&quot;年&quot;m&quot;月&quot;;@">
                  <c:v>43617</c:v>
                </c:pt>
                <c:pt idx="42" c:formatCode="yyyy&quot;年&quot;m&quot;月&quot;;@">
                  <c:v>43647</c:v>
                </c:pt>
                <c:pt idx="43" c:formatCode="yyyy&quot;年&quot;m&quot;月&quot;;@">
                  <c:v>43678</c:v>
                </c:pt>
                <c:pt idx="44" c:formatCode="yyyy&quot;年&quot;m&quot;月&quot;;@">
                  <c:v>43709</c:v>
                </c:pt>
                <c:pt idx="45" c:formatCode="yyyy&quot;年&quot;m&quot;月&quot;;@">
                  <c:v>43739</c:v>
                </c:pt>
                <c:pt idx="46" c:formatCode="yyyy&quot;年&quot;m&quot;月&quot;;@">
                  <c:v>43770</c:v>
                </c:pt>
                <c:pt idx="47" c:formatCode="yyyy&quot;年&quot;m&quot;月&quot;;@">
                  <c:v>43800</c:v>
                </c:pt>
                <c:pt idx="48" c:formatCode="yyyy&quot;年&quot;m&quot;月&quot;;@">
                  <c:v>43831</c:v>
                </c:pt>
                <c:pt idx="49" c:formatCode="yyyy&quot;年&quot;m&quot;月&quot;;@">
                  <c:v>43862</c:v>
                </c:pt>
                <c:pt idx="50" c:formatCode="yyyy&quot;年&quot;m&quot;月&quot;;@">
                  <c:v>43891</c:v>
                </c:pt>
                <c:pt idx="51" c:formatCode="yyyy&quot;年&quot;m&quot;月&quot;;@">
                  <c:v>43922</c:v>
                </c:pt>
                <c:pt idx="52" c:formatCode="yyyy&quot;年&quot;m&quot;月&quot;;@">
                  <c:v>43952</c:v>
                </c:pt>
                <c:pt idx="53" c:formatCode="yyyy&quot;年&quot;m&quot;月&quot;;@">
                  <c:v>43983</c:v>
                </c:pt>
                <c:pt idx="54" c:formatCode="yyyy&quot;年&quot;m&quot;月&quot;;@">
                  <c:v>44013</c:v>
                </c:pt>
                <c:pt idx="55" c:formatCode="yyyy&quot;年&quot;m&quot;月&quot;;@">
                  <c:v>44044</c:v>
                </c:pt>
                <c:pt idx="56" c:formatCode="yyyy&quot;年&quot;m&quot;月&quot;;@">
                  <c:v>44075</c:v>
                </c:pt>
                <c:pt idx="57" c:formatCode="yyyy&quot;年&quot;m&quot;月&quot;;@">
                  <c:v>44105</c:v>
                </c:pt>
                <c:pt idx="58" c:formatCode="yyyy&quot;年&quot;m&quot;月&quot;;@">
                  <c:v>44136</c:v>
                </c:pt>
                <c:pt idx="59" c:formatCode="yyyy&quot;年&quot;m&quot;月&quot;;@">
                  <c:v>44166</c:v>
                </c:pt>
                <c:pt idx="60" c:formatCode="yyyy&quot;年&quot;m&quot;月&quot;;@">
                  <c:v>44197</c:v>
                </c:pt>
                <c:pt idx="61" c:formatCode="yyyy&quot;年&quot;m&quot;月&quot;;@">
                  <c:v>44228</c:v>
                </c:pt>
                <c:pt idx="62" c:formatCode="yyyy&quot;年&quot;m&quot;月&quot;;@">
                  <c:v>44256</c:v>
                </c:pt>
                <c:pt idx="63" c:formatCode="yyyy&quot;年&quot;m&quot;月&quot;;@">
                  <c:v>44287</c:v>
                </c:pt>
                <c:pt idx="64" c:formatCode="yyyy&quot;年&quot;m&quot;月&quot;;@">
                  <c:v>44317</c:v>
                </c:pt>
                <c:pt idx="65" c:formatCode="yyyy&quot;年&quot;m&quot;月&quot;;@">
                  <c:v>44348</c:v>
                </c:pt>
                <c:pt idx="66" c:formatCode="yyyy&quot;年&quot;m&quot;月&quot;;@">
                  <c:v>44378</c:v>
                </c:pt>
                <c:pt idx="67" c:formatCode="yyyy&quot;年&quot;m&quot;月&quot;;@">
                  <c:v>44409</c:v>
                </c:pt>
                <c:pt idx="68" c:formatCode="yyyy&quot;年&quot;m&quot;月&quot;;@">
                  <c:v>44440</c:v>
                </c:pt>
                <c:pt idx="69" c:formatCode="yyyy&quot;年&quot;m&quot;月&quot;;@">
                  <c:v>44470</c:v>
                </c:pt>
                <c:pt idx="70" c:formatCode="yyyy&quot;年&quot;m&quot;月&quot;;@">
                  <c:v>44501</c:v>
                </c:pt>
                <c:pt idx="71" c:formatCode="yyyy&quot;年&quot;m&quot;月&quot;;@">
                  <c:v>44531</c:v>
                </c:pt>
                <c:pt idx="72" c:formatCode="yyyy&quot;年&quot;m&quot;月&quot;;@">
                  <c:v>44562</c:v>
                </c:pt>
                <c:pt idx="73" c:formatCode="yyyy&quot;年&quot;m&quot;月&quot;;@">
                  <c:v>44593</c:v>
                </c:pt>
                <c:pt idx="74" c:formatCode="yyyy&quot;年&quot;m&quot;月&quot;;@">
                  <c:v>44621</c:v>
                </c:pt>
                <c:pt idx="75" c:formatCode="yyyy&quot;年&quot;m&quot;月&quot;;@">
                  <c:v>44652</c:v>
                </c:pt>
                <c:pt idx="76" c:formatCode="yyyy&quot;年&quot;m&quot;月&quot;;@">
                  <c:v>44682</c:v>
                </c:pt>
                <c:pt idx="77" c:formatCode="yyyy&quot;年&quot;m&quot;月&quot;;@">
                  <c:v>44713</c:v>
                </c:pt>
                <c:pt idx="78" c:formatCode="yyyy&quot;年&quot;m&quot;月&quot;;@">
                  <c:v>44743</c:v>
                </c:pt>
                <c:pt idx="79" c:formatCode="yyyy&quot;年&quot;m&quot;月&quot;;@">
                  <c:v>44774</c:v>
                </c:pt>
                <c:pt idx="80" c:formatCode="yyyy&quot;年&quot;m&quot;月&quot;;@">
                  <c:v>44805</c:v>
                </c:pt>
                <c:pt idx="81" c:formatCode="yyyy&quot;年&quot;m&quot;月&quot;;@">
                  <c:v>44835</c:v>
                </c:pt>
                <c:pt idx="82" c:formatCode="yyyy&quot;年&quot;m&quot;月&quot;;@">
                  <c:v>44866</c:v>
                </c:pt>
                <c:pt idx="83" c:formatCode="yyyy&quot;年&quot;m&quot;月&quot;;@">
                  <c:v>44896</c:v>
                </c:pt>
                <c:pt idx="84" c:formatCode="yyyy&quot;年&quot;m&quot;月&quot;;@">
                  <c:v>44927</c:v>
                </c:pt>
                <c:pt idx="85" c:formatCode="yyyy&quot;年&quot;m&quot;月&quot;;@">
                  <c:v>44958</c:v>
                </c:pt>
                <c:pt idx="86" c:formatCode="yyyy&quot;年&quot;m&quot;月&quot;;@">
                  <c:v>44986</c:v>
                </c:pt>
                <c:pt idx="87" c:formatCode="yyyy&quot;年&quot;m&quot;月&quot;;@">
                  <c:v>45017</c:v>
                </c:pt>
                <c:pt idx="88" c:formatCode="yyyy&quot;年&quot;m&quot;月&quot;;@">
                  <c:v>45047</c:v>
                </c:pt>
                <c:pt idx="89" c:formatCode="yyyy&quot;年&quot;m&quot;月&quot;;@">
                  <c:v>45078</c:v>
                </c:pt>
                <c:pt idx="90" c:formatCode="yyyy&quot;年&quot;m&quot;月&quot;;@">
                  <c:v>45108</c:v>
                </c:pt>
                <c:pt idx="91" c:formatCode="yyyy&quot;年&quot;m&quot;月&quot;;@">
                  <c:v>45139</c:v>
                </c:pt>
                <c:pt idx="92" c:formatCode="yyyy&quot;年&quot;m&quot;月&quot;;@">
                  <c:v>45170</c:v>
                </c:pt>
                <c:pt idx="93" c:formatCode="yyyy&quot;年&quot;m&quot;月&quot;;@">
                  <c:v>45200</c:v>
                </c:pt>
                <c:pt idx="94" c:formatCode="yyyy&quot;年&quot;m&quot;月&quot;;@">
                  <c:v>45231</c:v>
                </c:pt>
                <c:pt idx="95" c:formatCode="yyyy&quot;年&quot;m&quot;月&quot;;@">
                  <c:v>45261</c:v>
                </c:pt>
                <c:pt idx="96" c:formatCode="yyyy&quot;年&quot;m&quot;月&quot;;@">
                  <c:v>45292</c:v>
                </c:pt>
                <c:pt idx="97" c:formatCode="yyyy&quot;年&quot;m&quot;月&quot;;@">
                  <c:v>45323</c:v>
                </c:pt>
                <c:pt idx="98" c:formatCode="yyyy&quot;年&quot;m&quot;月&quot;;@">
                  <c:v>45352</c:v>
                </c:pt>
                <c:pt idx="99" c:formatCode="yyyy&quot;年&quot;m&quot;月&quot;;@">
                  <c:v>45383</c:v>
                </c:pt>
                <c:pt idx="100" c:formatCode="yyyy&quot;年&quot;m&quot;月&quot;;@">
                  <c:v>45413</c:v>
                </c:pt>
                <c:pt idx="101" c:formatCode="yyyy&quot;年&quot;m&quot;月&quot;;@">
                  <c:v>45444</c:v>
                </c:pt>
                <c:pt idx="102" c:formatCode="yyyy&quot;年&quot;m&quot;月&quot;;@">
                  <c:v>45474</c:v>
                </c:pt>
                <c:pt idx="103" c:formatCode="yyyy&quot;年&quot;m&quot;月&quot;;@">
                  <c:v>45505</c:v>
                </c:pt>
                <c:pt idx="104" c:formatCode="yyyy&quot;年&quot;m&quot;月&quot;;@">
                  <c:v>45536</c:v>
                </c:pt>
                <c:pt idx="105" c:formatCode="yyyy&quot;年&quot;m&quot;月&quot;;@">
                  <c:v>45566</c:v>
                </c:pt>
                <c:pt idx="106" c:formatCode="yyyy&quot;年&quot;m&quot;月&quot;;@">
                  <c:v>45597</c:v>
                </c:pt>
                <c:pt idx="107" c:formatCode="yyyy&quot;年&quot;m&quot;月&quot;;@">
                  <c:v>45627</c:v>
                </c:pt>
                <c:pt idx="108" c:formatCode="yyyy&quot;年&quot;m&quot;月&quot;;@">
                  <c:v>45658</c:v>
                </c:pt>
                <c:pt idx="109" c:formatCode="yyyy&quot;年&quot;m&quot;月&quot;;@">
                  <c:v>45689</c:v>
                </c:pt>
                <c:pt idx="110" c:formatCode="yyyy&quot;年&quot;m&quot;月&quot;;@">
                  <c:v>45717</c:v>
                </c:pt>
                <c:pt idx="111" c:formatCode="yyyy&quot;年&quot;m&quot;月&quot;;@">
                  <c:v>45748</c:v>
                </c:pt>
                <c:pt idx="112" c:formatCode="yyyy&quot;年&quot;m&quot;月&quot;;@">
                  <c:v>45778</c:v>
                </c:pt>
                <c:pt idx="113" c:formatCode="yyyy&quot;年&quot;m&quot;月&quot;;@">
                  <c:v>45809</c:v>
                </c:pt>
                <c:pt idx="114" c:formatCode="yyyy&quot;年&quot;m&quot;月&quot;;@">
                  <c:v>45839</c:v>
                </c:pt>
                <c:pt idx="115" c:formatCode="yyyy&quot;年&quot;m&quot;月&quot;;@">
                  <c:v>45870</c:v>
                </c:pt>
                <c:pt idx="116" c:formatCode="yyyy&quot;年&quot;m&quot;月&quot;;@">
                  <c:v>45901</c:v>
                </c:pt>
                <c:pt idx="117" c:formatCode="yyyy&quot;年&quot;m&quot;月&quot;;@">
                  <c:v>45931</c:v>
                </c:pt>
                <c:pt idx="118" c:formatCode="yyyy&quot;年&quot;m&quot;月&quot;;@">
                  <c:v>45962</c:v>
                </c:pt>
                <c:pt idx="119" c:formatCode="yyyy&quot;年&quot;m&quot;月&quot;;@">
                  <c:v>45992</c:v>
                </c:pt>
                <c:pt idx="120" c:formatCode="yyyy&quot;年&quot;m&quot;月&quot;;@">
                  <c:v>46023</c:v>
                </c:pt>
                <c:pt idx="121" c:formatCode="yyyy&quot;年&quot;m&quot;月&quot;;@">
                  <c:v>46054</c:v>
                </c:pt>
                <c:pt idx="122" c:formatCode="yyyy&quot;年&quot;m&quot;月&quot;;@">
                  <c:v>46082</c:v>
                </c:pt>
                <c:pt idx="123" c:formatCode="yyyy&quot;年&quot;m&quot;月&quot;;@">
                  <c:v>46113</c:v>
                </c:pt>
                <c:pt idx="124" c:formatCode="yyyy&quot;年&quot;m&quot;月&quot;;@">
                  <c:v>46143</c:v>
                </c:pt>
                <c:pt idx="125" c:formatCode="yyyy&quot;年&quot;m&quot;月&quot;;@">
                  <c:v>46174</c:v>
                </c:pt>
                <c:pt idx="126" c:formatCode="yyyy&quot;年&quot;m&quot;月&quot;;@">
                  <c:v>46204</c:v>
                </c:pt>
                <c:pt idx="127" c:formatCode="yyyy&quot;年&quot;m&quot;月&quot;;@">
                  <c:v>46235</c:v>
                </c:pt>
              </c:numCache>
            </c:numRef>
          </c:cat>
          <c:val>
            <c:numRef>
              <c:f>开工率!$B$5:$B$157</c:f>
              <c:numCache>
                <c:formatCode>0.00%</c:formatCode>
                <c:ptCount val="153"/>
                <c:pt idx="0">
                  <c:v>0.565959376223608</c:v>
                </c:pt>
                <c:pt idx="1">
                  <c:v>0.246009937139839</c:v>
                </c:pt>
                <c:pt idx="2">
                  <c:v>0.34484793629573</c:v>
                </c:pt>
                <c:pt idx="3">
                  <c:v>0.370493645205557</c:v>
                </c:pt>
                <c:pt idx="4">
                  <c:v>0.376974647242735</c:v>
                </c:pt>
                <c:pt idx="5">
                  <c:v>0.342814334521687</c:v>
                </c:pt>
                <c:pt idx="6">
                  <c:v>0.355358660130719</c:v>
                </c:pt>
                <c:pt idx="7">
                  <c:v>0.364924633307869</c:v>
                </c:pt>
                <c:pt idx="8">
                  <c:v>0.396640448603684</c:v>
                </c:pt>
                <c:pt idx="9">
                  <c:v>0.307272595174433</c:v>
                </c:pt>
                <c:pt idx="10">
                  <c:v>0.38571599651982</c:v>
                </c:pt>
                <c:pt idx="11">
                  <c:v>0.467494795645531</c:v>
                </c:pt>
                <c:pt idx="12">
                  <c:v>0.429478003246753</c:v>
                </c:pt>
                <c:pt idx="13">
                  <c:v>0.221925748556999</c:v>
                </c:pt>
                <c:pt idx="14">
                  <c:v>0.359696020074696</c:v>
                </c:pt>
                <c:pt idx="15">
                  <c:v>0.383062147737883</c:v>
                </c:pt>
                <c:pt idx="16">
                  <c:v>0.431716120766488</c:v>
                </c:pt>
                <c:pt idx="17">
                  <c:v>0.402710549825991</c:v>
                </c:pt>
                <c:pt idx="18">
                  <c:v>0.395059096850861</c:v>
                </c:pt>
                <c:pt idx="19">
                  <c:v>0.410437554643069</c:v>
                </c:pt>
                <c:pt idx="20">
                  <c:v>0.440410741872507</c:v>
                </c:pt>
                <c:pt idx="21">
                  <c:v>0.317607054261098</c:v>
                </c:pt>
                <c:pt idx="22">
                  <c:v>0.447580290297937</c:v>
                </c:pt>
                <c:pt idx="23">
                  <c:v>0.479265187059672</c:v>
                </c:pt>
                <c:pt idx="24">
                  <c:v>0.454503881779985</c:v>
                </c:pt>
                <c:pt idx="25">
                  <c:v>0.3219257</c:v>
                </c:pt>
                <c:pt idx="26">
                  <c:v>0.446</c:v>
                </c:pt>
                <c:pt idx="27">
                  <c:v>0.5897</c:v>
                </c:pt>
                <c:pt idx="28">
                  <c:v>0.4717161</c:v>
                </c:pt>
                <c:pt idx="29">
                  <c:v>0.402710549825991</c:v>
                </c:pt>
                <c:pt idx="30">
                  <c:v>0.3454</c:v>
                </c:pt>
                <c:pt idx="31">
                  <c:v>0.3004376</c:v>
                </c:pt>
                <c:pt idx="32">
                  <c:v>0.3604107</c:v>
                </c:pt>
                <c:pt idx="33">
                  <c:v>0.317607054261098</c:v>
                </c:pt>
                <c:pt idx="34">
                  <c:v>0.3375803</c:v>
                </c:pt>
                <c:pt idx="35">
                  <c:v>0.43</c:v>
                </c:pt>
                <c:pt idx="36">
                  <c:v>0.684</c:v>
                </c:pt>
                <c:pt idx="37">
                  <c:v>0.4835</c:v>
                </c:pt>
                <c:pt idx="38">
                  <c:v>0.56</c:v>
                </c:pt>
                <c:pt idx="39">
                  <c:v>0.489</c:v>
                </c:pt>
                <c:pt idx="40">
                  <c:v>0.417</c:v>
                </c:pt>
                <c:pt idx="41">
                  <c:v>0.485</c:v>
                </c:pt>
                <c:pt idx="42">
                  <c:v>0.492</c:v>
                </c:pt>
                <c:pt idx="43">
                  <c:v>0.431</c:v>
                </c:pt>
                <c:pt idx="44">
                  <c:v>0.39</c:v>
                </c:pt>
                <c:pt idx="45">
                  <c:v>0.288</c:v>
                </c:pt>
                <c:pt idx="46">
                  <c:v>0.321</c:v>
                </c:pt>
                <c:pt idx="47">
                  <c:v>0.386</c:v>
                </c:pt>
                <c:pt idx="48">
                  <c:v>0.483</c:v>
                </c:pt>
                <c:pt idx="49">
                  <c:v>0.185</c:v>
                </c:pt>
                <c:pt idx="50">
                  <c:v>0.191</c:v>
                </c:pt>
                <c:pt idx="51">
                  <c:v>0.2</c:v>
                </c:pt>
                <c:pt idx="52">
                  <c:v>0.232</c:v>
                </c:pt>
                <c:pt idx="53">
                  <c:v>0.2008</c:v>
                </c:pt>
                <c:pt idx="54">
                  <c:v>0.188</c:v>
                </c:pt>
                <c:pt idx="55">
                  <c:v>0.197</c:v>
                </c:pt>
                <c:pt idx="56">
                  <c:v>0.31</c:v>
                </c:pt>
                <c:pt idx="57">
                  <c:v>0.305</c:v>
                </c:pt>
                <c:pt idx="58">
                  <c:v>0.43</c:v>
                </c:pt>
                <c:pt idx="59">
                  <c:v>0.5</c:v>
                </c:pt>
                <c:pt idx="60">
                  <c:v>0.608</c:v>
                </c:pt>
                <c:pt idx="61">
                  <c:v>0.3146</c:v>
                </c:pt>
                <c:pt idx="62">
                  <c:v>0.2309</c:v>
                </c:pt>
                <c:pt idx="63">
                  <c:v>0.3329</c:v>
                </c:pt>
                <c:pt idx="64">
                  <c:v>0.3936</c:v>
                </c:pt>
                <c:pt idx="65">
                  <c:v>0.4898</c:v>
                </c:pt>
                <c:pt idx="66">
                  <c:v>0.535</c:v>
                </c:pt>
                <c:pt idx="67">
                  <c:v>0.59</c:v>
                </c:pt>
                <c:pt idx="68">
                  <c:v>0.6002</c:v>
                </c:pt>
                <c:pt idx="69">
                  <c:v>0.646</c:v>
                </c:pt>
                <c:pt idx="70">
                  <c:v>0.6092</c:v>
                </c:pt>
                <c:pt idx="71">
                  <c:v>0.685</c:v>
                </c:pt>
                <c:pt idx="72">
                  <c:v>0.61</c:v>
                </c:pt>
                <c:pt idx="73">
                  <c:v>0.237</c:v>
                </c:pt>
                <c:pt idx="74">
                  <c:v>0.468</c:v>
                </c:pt>
                <c:pt idx="75">
                  <c:v>0.4523</c:v>
                </c:pt>
                <c:pt idx="76">
                  <c:v>0.486</c:v>
                </c:pt>
                <c:pt idx="77">
                  <c:v>0.4923</c:v>
                </c:pt>
                <c:pt idx="78">
                  <c:v>0.31</c:v>
                </c:pt>
                <c:pt idx="79">
                  <c:v>0.325</c:v>
                </c:pt>
                <c:pt idx="80">
                  <c:v>0.369</c:v>
                </c:pt>
                <c:pt idx="81">
                  <c:v>0.3922</c:v>
                </c:pt>
                <c:pt idx="82">
                  <c:v>0.4012</c:v>
                </c:pt>
                <c:pt idx="83">
                  <c:v>0.56</c:v>
                </c:pt>
                <c:pt idx="84">
                  <c:v>0.518</c:v>
                </c:pt>
                <c:pt idx="85">
                  <c:v>0.36</c:v>
                </c:pt>
                <c:pt idx="86">
                  <c:v>0.3702</c:v>
                </c:pt>
                <c:pt idx="87">
                  <c:v>0.435</c:v>
                </c:pt>
                <c:pt idx="88">
                  <c:v>0.415</c:v>
                </c:pt>
                <c:pt idx="89">
                  <c:v>0.465</c:v>
                </c:pt>
                <c:pt idx="90">
                  <c:v>0.49</c:v>
                </c:pt>
                <c:pt idx="91">
                  <c:v>0.473</c:v>
                </c:pt>
                <c:pt idx="92">
                  <c:v>0.492</c:v>
                </c:pt>
                <c:pt idx="93">
                  <c:v>0.485</c:v>
                </c:pt>
                <c:pt idx="94">
                  <c:v>0.553</c:v>
                </c:pt>
                <c:pt idx="95">
                  <c:v>0.585</c:v>
                </c:pt>
                <c:pt idx="96">
                  <c:v>0.617</c:v>
                </c:pt>
                <c:pt idx="97">
                  <c:v>0.286</c:v>
                </c:pt>
                <c:pt idx="98">
                  <c:v>0.3205</c:v>
                </c:pt>
                <c:pt idx="99">
                  <c:v>0.376</c:v>
                </c:pt>
                <c:pt idx="100">
                  <c:v>0.3856</c:v>
                </c:pt>
                <c:pt idx="101">
                  <c:v>0.317</c:v>
                </c:pt>
                <c:pt idx="102">
                  <c:v>0.3499</c:v>
                </c:pt>
                <c:pt idx="103">
                  <c:v>0.3637</c:v>
                </c:pt>
                <c:pt idx="104">
                  <c:v>0.4101</c:v>
                </c:pt>
                <c:pt idx="105">
                  <c:v>0.4196</c:v>
                </c:pt>
                <c:pt idx="106">
                  <c:v>0.495</c:v>
                </c:pt>
                <c:pt idx="107">
                  <c:v>0.5856</c:v>
                </c:pt>
                <c:pt idx="108">
                  <c:v>0.6499</c:v>
                </c:pt>
                <c:pt idx="109">
                  <c:v>0.2791</c:v>
                </c:pt>
                <c:pt idx="110">
                  <c:v>0.3586</c:v>
                </c:pt>
                <c:pt idx="111">
                  <c:v>0.3574</c:v>
                </c:pt>
                <c:pt idx="112">
                  <c:v>0.4056</c:v>
                </c:pt>
                <c:pt idx="113">
                  <c:v>0.3862</c:v>
                </c:pt>
                <c:pt idx="114">
                  <c:v>0.361</c:v>
                </c:pt>
                <c:pt idx="115">
                  <c:v>0.3879</c:v>
                </c:pt>
                <c:pt idx="116">
                  <c:v>0.4357</c:v>
                </c:pt>
                <c:pt idx="117">
                  <c:v>0.4881</c:v>
                </c:pt>
                <c:pt idx="118">
                  <c:v>0.5145</c:v>
                </c:pt>
                <c:pt idx="119">
                  <c:v>0.6208</c:v>
                </c:pt>
                <c:pt idx="120">
                  <c:v>0.5811</c:v>
                </c:pt>
                <c:pt idx="121">
                  <c:v>0.4514</c:v>
                </c:pt>
                <c:pt idx="122">
                  <c:v>0.4233</c:v>
                </c:pt>
                <c:pt idx="123">
                  <c:v>0.494</c:v>
                </c:pt>
                <c:pt idx="124">
                  <c:v>0.4772</c:v>
                </c:pt>
                <c:pt idx="125">
                  <c:v>0.4756</c:v>
                </c:pt>
                <c:pt idx="126">
                  <c:v>0.474</c:v>
                </c:pt>
                <c:pt idx="127">
                  <c:v>0.4774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00012767"/>
        <c:axId val="335437734"/>
      </c:lineChart>
      <c:dateAx>
        <c:axId val="600012767"/>
        <c:scaling>
          <c:orientation val="minMax"/>
          <c:min val="44228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27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335437734"/>
        <c:crosses val="autoZero"/>
        <c:auto val="1"/>
        <c:lblOffset val="100"/>
        <c:baseTimeUnit val="months"/>
        <c:majorUnit val="6"/>
        <c:majorTimeUnit val="months"/>
      </c:dateAx>
      <c:valAx>
        <c:axId val="335437734"/>
        <c:scaling>
          <c:orientation val="minMax"/>
          <c:max val="0.75"/>
          <c:min val="0.15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60001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d58d816-6d2f-44dc-89a6-15344536384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</a:defRPr>
      </a:pPr>
    </a:p>
  </c:txPr>
  <c:externalData r:id="rId1">
    <c:autoUpdate val="0"/>
  </c:externalData>
  <c:userShapes r:id="rId1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ysClr val="windowText" lastClr="000000"/>
                </a:solidFill>
              </a:rPr>
              <a:t>能繁母猪存栏量月度环比走势图</a:t>
            </a:r>
            <a:endParaRPr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numRef>
              <c:f>生产指标!$A$25:$A$97</c:f>
              <c:numCache>
                <c:formatCode>yyyy"年"m"月";@</c:formatCode>
                <c:ptCount val="73"/>
                <c:pt idx="0" c:formatCode="yyyy&quot;年&quot;m&quot;月&quot;;@">
                  <c:v>44562</c:v>
                </c:pt>
                <c:pt idx="1" c:formatCode="yyyy&quot;年&quot;m&quot;月&quot;;@">
                  <c:v>44593</c:v>
                </c:pt>
                <c:pt idx="2" c:formatCode="yyyy&quot;年&quot;m&quot;月&quot;;@">
                  <c:v>44621</c:v>
                </c:pt>
                <c:pt idx="3" c:formatCode="yyyy&quot;年&quot;m&quot;月&quot;;@">
                  <c:v>44652</c:v>
                </c:pt>
                <c:pt idx="4" c:formatCode="yyyy&quot;年&quot;m&quot;月&quot;;@">
                  <c:v>44682</c:v>
                </c:pt>
                <c:pt idx="5" c:formatCode="yyyy&quot;年&quot;m&quot;月&quot;;@">
                  <c:v>44713</c:v>
                </c:pt>
                <c:pt idx="6" c:formatCode="yyyy&quot;年&quot;m&quot;月&quot;;@">
                  <c:v>44743</c:v>
                </c:pt>
                <c:pt idx="7" c:formatCode="yyyy&quot;年&quot;m&quot;月&quot;;@">
                  <c:v>44774</c:v>
                </c:pt>
                <c:pt idx="8" c:formatCode="yyyy&quot;年&quot;m&quot;月&quot;;@">
                  <c:v>44805</c:v>
                </c:pt>
                <c:pt idx="9" c:formatCode="yyyy&quot;年&quot;m&quot;月&quot;;@">
                  <c:v>44835</c:v>
                </c:pt>
                <c:pt idx="10" c:formatCode="yyyy&quot;年&quot;m&quot;月&quot;;@">
                  <c:v>44866</c:v>
                </c:pt>
                <c:pt idx="11" c:formatCode="yyyy&quot;年&quot;m&quot;月&quot;;@">
                  <c:v>44896</c:v>
                </c:pt>
                <c:pt idx="12" c:formatCode="yyyy&quot;年&quot;m&quot;月&quot;;@">
                  <c:v>44927</c:v>
                </c:pt>
                <c:pt idx="13" c:formatCode="yyyy&quot;年&quot;m&quot;月&quot;;@">
                  <c:v>44958</c:v>
                </c:pt>
                <c:pt idx="14" c:formatCode="yyyy&quot;年&quot;m&quot;月&quot;;@">
                  <c:v>44986</c:v>
                </c:pt>
                <c:pt idx="15" c:formatCode="yyyy&quot;年&quot;m&quot;月&quot;;@">
                  <c:v>45017</c:v>
                </c:pt>
                <c:pt idx="16" c:formatCode="yyyy&quot;年&quot;m&quot;月&quot;;@">
                  <c:v>45047</c:v>
                </c:pt>
                <c:pt idx="17" c:formatCode="yyyy&quot;年&quot;m&quot;月&quot;;@">
                  <c:v>45078</c:v>
                </c:pt>
                <c:pt idx="18" c:formatCode="yyyy&quot;年&quot;m&quot;月&quot;;@">
                  <c:v>45108</c:v>
                </c:pt>
                <c:pt idx="19" c:formatCode="yyyy&quot;年&quot;m&quot;月&quot;;@">
                  <c:v>45139</c:v>
                </c:pt>
                <c:pt idx="20" c:formatCode="yyyy&quot;年&quot;m&quot;月&quot;;@">
                  <c:v>45170</c:v>
                </c:pt>
                <c:pt idx="21" c:formatCode="yyyy&quot;年&quot;m&quot;月&quot;;@">
                  <c:v>45200</c:v>
                </c:pt>
                <c:pt idx="22" c:formatCode="yyyy&quot;年&quot;m&quot;月&quot;;@">
                  <c:v>45231</c:v>
                </c:pt>
                <c:pt idx="23" c:formatCode="yyyy&quot;年&quot;m&quot;月&quot;;@">
                  <c:v>45261</c:v>
                </c:pt>
                <c:pt idx="24" c:formatCode="yyyy&quot;年&quot;m&quot;月&quot;;@">
                  <c:v>45292</c:v>
                </c:pt>
                <c:pt idx="25" c:formatCode="yyyy&quot;年&quot;m&quot;月&quot;;@">
                  <c:v>45323</c:v>
                </c:pt>
                <c:pt idx="26" c:formatCode="yyyy&quot;年&quot;m&quot;月&quot;;@">
                  <c:v>45352</c:v>
                </c:pt>
                <c:pt idx="27" c:formatCode="yyyy&quot;年&quot;m&quot;月&quot;;@">
                  <c:v>45383</c:v>
                </c:pt>
                <c:pt idx="28" c:formatCode="yyyy&quot;年&quot;m&quot;月&quot;;@">
                  <c:v>45413</c:v>
                </c:pt>
                <c:pt idx="29" c:formatCode="yyyy&quot;年&quot;m&quot;月&quot;;@">
                  <c:v>45444</c:v>
                </c:pt>
                <c:pt idx="30" c:formatCode="yyyy&quot;年&quot;m&quot;月&quot;;@">
                  <c:v>45474</c:v>
                </c:pt>
                <c:pt idx="31" c:formatCode="yyyy&quot;年&quot;m&quot;月&quot;;@">
                  <c:v>45505</c:v>
                </c:pt>
                <c:pt idx="32" c:formatCode="yyyy&quot;年&quot;m&quot;月&quot;;@">
                  <c:v>45536</c:v>
                </c:pt>
                <c:pt idx="33" c:formatCode="yyyy&quot;年&quot;m&quot;月&quot;;@">
                  <c:v>45566</c:v>
                </c:pt>
                <c:pt idx="34" c:formatCode="yyyy&quot;年&quot;m&quot;月&quot;;@">
                  <c:v>45597</c:v>
                </c:pt>
                <c:pt idx="35" c:formatCode="yyyy&quot;年&quot;m&quot;月&quot;;@">
                  <c:v>45627</c:v>
                </c:pt>
                <c:pt idx="36" c:formatCode="yyyy&quot;年&quot;m&quot;月&quot;;@">
                  <c:v>45658</c:v>
                </c:pt>
                <c:pt idx="37" c:formatCode="yyyy&quot;年&quot;m&quot;月&quot;;@">
                  <c:v>45689</c:v>
                </c:pt>
                <c:pt idx="38" c:formatCode="yyyy&quot;年&quot;m&quot;月&quot;;@">
                  <c:v>45717</c:v>
                </c:pt>
                <c:pt idx="39" c:formatCode="yyyy&quot;年&quot;m&quot;月&quot;;@">
                  <c:v>45748</c:v>
                </c:pt>
                <c:pt idx="40" c:formatCode="yyyy&quot;年&quot;m&quot;月&quot;;@">
                  <c:v>45778</c:v>
                </c:pt>
                <c:pt idx="41" c:formatCode="yyyy&quot;年&quot;m&quot;月&quot;;@">
                  <c:v>45809</c:v>
                </c:pt>
                <c:pt idx="42" c:formatCode="yyyy&quot;年&quot;m&quot;月&quot;;@">
                  <c:v>45839</c:v>
                </c:pt>
                <c:pt idx="43" c:formatCode="yyyy&quot;年&quot;m&quot;月&quot;;@">
                  <c:v>45870</c:v>
                </c:pt>
                <c:pt idx="44" c:formatCode="yyyy&quot;年&quot;m&quot;月&quot;;@">
                  <c:v>45901</c:v>
                </c:pt>
                <c:pt idx="45" c:formatCode="yyyy&quot;年&quot;m&quot;月&quot;;@">
                  <c:v>45931</c:v>
                </c:pt>
                <c:pt idx="46" c:formatCode="yyyy&quot;年&quot;m&quot;月&quot;;@">
                  <c:v>45962</c:v>
                </c:pt>
                <c:pt idx="47" c:formatCode="yyyy&quot;年&quot;m&quot;月&quot;;@">
                  <c:v>45992</c:v>
                </c:pt>
                <c:pt idx="48" c:formatCode="yyyy&quot;年&quot;m&quot;月&quot;;@">
                  <c:v>46023</c:v>
                </c:pt>
                <c:pt idx="49" c:formatCode="yyyy&quot;年&quot;m&quot;月&quot;;@">
                  <c:v>46054</c:v>
                </c:pt>
                <c:pt idx="50" c:formatCode="yyyy&quot;年&quot;m&quot;月&quot;;@">
                  <c:v>46082</c:v>
                </c:pt>
                <c:pt idx="51" c:formatCode="yyyy&quot;年&quot;m&quot;月&quot;;@">
                  <c:v>46113</c:v>
                </c:pt>
                <c:pt idx="52" c:formatCode="yyyy&quot;年&quot;m&quot;月&quot;;@">
                  <c:v>46143</c:v>
                </c:pt>
                <c:pt idx="53" c:formatCode="yyyy&quot;年&quot;m&quot;月&quot;;@">
                  <c:v>46174</c:v>
                </c:pt>
                <c:pt idx="54" c:formatCode="yyyy&quot;年&quot;m&quot;月&quot;;@">
                  <c:v>46204</c:v>
                </c:pt>
                <c:pt idx="55" c:formatCode="yyyy&quot;年&quot;m&quot;月&quot;;@">
                  <c:v>46235</c:v>
                </c:pt>
              </c:numCache>
            </c:numRef>
          </c:cat>
          <c:val>
            <c:numRef>
              <c:f>生产指标!$B$25:$B$97</c:f>
              <c:numCache>
                <c:formatCode>0.00%</c:formatCode>
                <c:ptCount val="73"/>
                <c:pt idx="0">
                  <c:v>-0.0078</c:v>
                </c:pt>
                <c:pt idx="1">
                  <c:v>-0.0068</c:v>
                </c:pt>
                <c:pt idx="2">
                  <c:v>-0.0079</c:v>
                </c:pt>
                <c:pt idx="3">
                  <c:v>0.038</c:v>
                </c:pt>
                <c:pt idx="4">
                  <c:v>0.0091</c:v>
                </c:pt>
                <c:pt idx="5">
                  <c:v>0.0032</c:v>
                </c:pt>
                <c:pt idx="6">
                  <c:v>0.0108</c:v>
                </c:pt>
                <c:pt idx="7">
                  <c:v>0.01</c:v>
                </c:pt>
                <c:pt idx="8">
                  <c:v>0.0142</c:v>
                </c:pt>
                <c:pt idx="9">
                  <c:v>0.0199</c:v>
                </c:pt>
                <c:pt idx="10">
                  <c:v>0.0013</c:v>
                </c:pt>
                <c:pt idx="11">
                  <c:v>-0.0074</c:v>
                </c:pt>
                <c:pt idx="12">
                  <c:v>-0.0028</c:v>
                </c:pt>
                <c:pt idx="13">
                  <c:v>-0.0119</c:v>
                </c:pt>
                <c:pt idx="14">
                  <c:v>-0.0114</c:v>
                </c:pt>
                <c:pt idx="15">
                  <c:v>-0.0011</c:v>
                </c:pt>
                <c:pt idx="16">
                  <c:v>0.0031</c:v>
                </c:pt>
                <c:pt idx="17">
                  <c:v>-0.0082</c:v>
                </c:pt>
                <c:pt idx="18">
                  <c:v>0.0002</c:v>
                </c:pt>
                <c:pt idx="19">
                  <c:v>0.002</c:v>
                </c:pt>
                <c:pt idx="20">
                  <c:v>-0.0023</c:v>
                </c:pt>
                <c:pt idx="21">
                  <c:v>-0.0032</c:v>
                </c:pt>
                <c:pt idx="22">
                  <c:v>-0.0138</c:v>
                </c:pt>
                <c:pt idx="23">
                  <c:v>-0.0072</c:v>
                </c:pt>
                <c:pt idx="24">
                  <c:v>0.0007</c:v>
                </c:pt>
                <c:pt idx="25">
                  <c:v>0.0072</c:v>
                </c:pt>
                <c:pt idx="26">
                  <c:v>0.0102</c:v>
                </c:pt>
                <c:pt idx="27">
                  <c:v>0.0045</c:v>
                </c:pt>
                <c:pt idx="28">
                  <c:v>0.0032</c:v>
                </c:pt>
                <c:pt idx="29">
                  <c:v>0.0046</c:v>
                </c:pt>
                <c:pt idx="30">
                  <c:v>0.011</c:v>
                </c:pt>
                <c:pt idx="31">
                  <c:v>0.0071</c:v>
                </c:pt>
                <c:pt idx="32">
                  <c:v>0.0064</c:v>
                </c:pt>
                <c:pt idx="33">
                  <c:v>0.0027</c:v>
                </c:pt>
                <c:pt idx="34">
                  <c:v>0.0056</c:v>
                </c:pt>
                <c:pt idx="35">
                  <c:v>0.0086</c:v>
                </c:pt>
                <c:pt idx="36">
                  <c:v>0.002</c:v>
                </c:pt>
                <c:pt idx="37">
                  <c:v>-0.0018</c:v>
                </c:pt>
                <c:pt idx="38">
                  <c:v>-0.0025</c:v>
                </c:pt>
                <c:pt idx="39">
                  <c:v>0.004</c:v>
                </c:pt>
                <c:pt idx="40">
                  <c:v>0.0045</c:v>
                </c:pt>
                <c:pt idx="41">
                  <c:v>0.0022</c:v>
                </c:pt>
                <c:pt idx="42">
                  <c:v>0.0014</c:v>
                </c:pt>
                <c:pt idx="43">
                  <c:v>0.0002</c:v>
                </c:pt>
                <c:pt idx="44">
                  <c:v>-0.0046</c:v>
                </c:pt>
                <c:pt idx="45">
                  <c:v>-0.0077</c:v>
                </c:pt>
                <c:pt idx="46">
                  <c:v>-0.0014</c:v>
                </c:pt>
                <c:pt idx="47">
                  <c:v>0.0036</c:v>
                </c:pt>
                <c:pt idx="48">
                  <c:v>0.0027</c:v>
                </c:pt>
                <c:pt idx="49">
                  <c:v>0.0039</c:v>
                </c:pt>
                <c:pt idx="50">
                  <c:v>-0.0007</c:v>
                </c:pt>
                <c:pt idx="51">
                  <c:v>-0.0011</c:v>
                </c:pt>
                <c:pt idx="52">
                  <c:v>-0.0085</c:v>
                </c:pt>
                <c:pt idx="53">
                  <c:v>-0.0091</c:v>
                </c:pt>
                <c:pt idx="54">
                  <c:v>-0.0001</c:v>
                </c:pt>
                <c:pt idx="55">
                  <c:v>-0.0167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6113273"/>
        <c:axId val="641661495"/>
      </c:barChart>
      <c:dateAx>
        <c:axId val="466113273"/>
        <c:scaling>
          <c:orientation val="minMax"/>
          <c:min val="45505"/>
        </c:scaling>
        <c:delete val="0"/>
        <c:axPos val="b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641661495"/>
        <c:crosses val="autoZero"/>
        <c:auto val="1"/>
        <c:lblOffset val="100"/>
        <c:baseTimeUnit val="months"/>
        <c:majorUnit val="2"/>
        <c:majorTimeUnit val="months"/>
      </c:dateAx>
      <c:valAx>
        <c:axId val="641661495"/>
        <c:scaling>
          <c:orientation val="minMax"/>
          <c:max val="0.01"/>
          <c:min val="-0.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46611327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18384cc-9a6e-43bb-9cc6-c60016f8d3a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>
          <a:solidFill>
            <a:sysClr val="windowText" lastClr="000000"/>
          </a:solidFill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ysClr val="windowText" lastClr="000000"/>
                </a:solidFill>
              </a:rPr>
              <a:t>能繁母猪存栏量环比走势图</a:t>
            </a:r>
            <a:endParaRPr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能繁母猪!$A$26:$A$246</c:f>
              <c:numCache>
                <c:formatCode>yyyy"年"m"月";@</c:formatCode>
                <c:ptCount val="221"/>
                <c:pt idx="0" c:formatCode="yyyy&quot;年&quot;m&quot;月&quot;;@">
                  <c:v>44562</c:v>
                </c:pt>
                <c:pt idx="1" c:formatCode="yyyy&quot;年&quot;m&quot;月&quot;;@">
                  <c:v>44593</c:v>
                </c:pt>
                <c:pt idx="2" c:formatCode="yyyy&quot;年&quot;m&quot;月&quot;;@">
                  <c:v>44621</c:v>
                </c:pt>
                <c:pt idx="3" c:formatCode="yyyy&quot;年&quot;m&quot;月&quot;;@">
                  <c:v>44652</c:v>
                </c:pt>
                <c:pt idx="4" c:formatCode="yyyy&quot;年&quot;m&quot;月&quot;;@">
                  <c:v>44682</c:v>
                </c:pt>
                <c:pt idx="5" c:formatCode="yyyy&quot;年&quot;m&quot;月&quot;;@">
                  <c:v>44713</c:v>
                </c:pt>
                <c:pt idx="6" c:formatCode="yyyy&quot;年&quot;m&quot;月&quot;;@">
                  <c:v>44743</c:v>
                </c:pt>
                <c:pt idx="7" c:formatCode="yyyy&quot;年&quot;m&quot;月&quot;;@">
                  <c:v>44774</c:v>
                </c:pt>
                <c:pt idx="8" c:formatCode="yyyy&quot;年&quot;m&quot;月&quot;;@">
                  <c:v>44805</c:v>
                </c:pt>
                <c:pt idx="9" c:formatCode="yyyy&quot;年&quot;m&quot;月&quot;;@">
                  <c:v>44835</c:v>
                </c:pt>
                <c:pt idx="10" c:formatCode="yyyy&quot;年&quot;m&quot;月&quot;;@">
                  <c:v>44866</c:v>
                </c:pt>
                <c:pt idx="11" c:formatCode="yyyy&quot;年&quot;m&quot;月&quot;;@">
                  <c:v>44896</c:v>
                </c:pt>
                <c:pt idx="12" c:formatCode="yyyy&quot;年&quot;m&quot;月&quot;;@">
                  <c:v>44927</c:v>
                </c:pt>
                <c:pt idx="13" c:formatCode="yyyy&quot;年&quot;m&quot;月&quot;;@">
                  <c:v>44958</c:v>
                </c:pt>
                <c:pt idx="14" c:formatCode="yyyy&quot;年&quot;m&quot;月&quot;;@">
                  <c:v>44986</c:v>
                </c:pt>
                <c:pt idx="15" c:formatCode="yyyy&quot;年&quot;m&quot;月&quot;;@">
                  <c:v>45017</c:v>
                </c:pt>
                <c:pt idx="16" c:formatCode="yyyy&quot;年&quot;m&quot;月&quot;;@">
                  <c:v>45047</c:v>
                </c:pt>
                <c:pt idx="17" c:formatCode="yyyy&quot;年&quot;m&quot;月&quot;;@">
                  <c:v>45078</c:v>
                </c:pt>
                <c:pt idx="18" c:formatCode="yyyy&quot;年&quot;m&quot;月&quot;;@">
                  <c:v>45108</c:v>
                </c:pt>
                <c:pt idx="19" c:formatCode="yyyy&quot;年&quot;m&quot;月&quot;;@">
                  <c:v>45139</c:v>
                </c:pt>
                <c:pt idx="20" c:formatCode="yyyy&quot;年&quot;m&quot;月&quot;;@">
                  <c:v>45170</c:v>
                </c:pt>
                <c:pt idx="21" c:formatCode="yyyy&quot;年&quot;m&quot;月&quot;;@">
                  <c:v>45200</c:v>
                </c:pt>
                <c:pt idx="22" c:formatCode="yyyy&quot;年&quot;m&quot;月&quot;;@">
                  <c:v>45231</c:v>
                </c:pt>
                <c:pt idx="23" c:formatCode="yyyy&quot;年&quot;m&quot;月&quot;;@">
                  <c:v>45261</c:v>
                </c:pt>
                <c:pt idx="24" c:formatCode="yyyy&quot;年&quot;m&quot;月&quot;;@">
                  <c:v>45292</c:v>
                </c:pt>
                <c:pt idx="25" c:formatCode="yyyy&quot;年&quot;m&quot;月&quot;;@">
                  <c:v>45323</c:v>
                </c:pt>
                <c:pt idx="26" c:formatCode="yyyy&quot;年&quot;m&quot;月&quot;;@">
                  <c:v>45352</c:v>
                </c:pt>
                <c:pt idx="27" c:formatCode="yyyy&quot;年&quot;m&quot;月&quot;;@">
                  <c:v>45383</c:v>
                </c:pt>
                <c:pt idx="28" c:formatCode="yyyy&quot;年&quot;m&quot;月&quot;;@">
                  <c:v>45413</c:v>
                </c:pt>
                <c:pt idx="29" c:formatCode="yyyy&quot;年&quot;m&quot;月&quot;;@">
                  <c:v>45444</c:v>
                </c:pt>
                <c:pt idx="30" c:formatCode="yyyy&quot;年&quot;m&quot;月&quot;;@">
                  <c:v>45474</c:v>
                </c:pt>
                <c:pt idx="31" c:formatCode="yyyy&quot;年&quot;m&quot;月&quot;;@">
                  <c:v>45505</c:v>
                </c:pt>
                <c:pt idx="32" c:formatCode="yyyy&quot;年&quot;m&quot;月&quot;;@">
                  <c:v>45536</c:v>
                </c:pt>
                <c:pt idx="33" c:formatCode="yyyy&quot;年&quot;m&quot;月&quot;;@">
                  <c:v>45566</c:v>
                </c:pt>
                <c:pt idx="34" c:formatCode="yyyy&quot;年&quot;m&quot;月&quot;;@">
                  <c:v>45597</c:v>
                </c:pt>
                <c:pt idx="35" c:formatCode="yyyy&quot;年&quot;m&quot;月&quot;;@">
                  <c:v>45627</c:v>
                </c:pt>
                <c:pt idx="36" c:formatCode="yyyy&quot;年&quot;m&quot;月&quot;;@">
                  <c:v>45658</c:v>
                </c:pt>
                <c:pt idx="37" c:formatCode="yyyy&quot;年&quot;m&quot;月&quot;;@">
                  <c:v>45689</c:v>
                </c:pt>
                <c:pt idx="38" c:formatCode="yyyy&quot;年&quot;m&quot;月&quot;;@">
                  <c:v>45717</c:v>
                </c:pt>
                <c:pt idx="39" c:formatCode="yyyy&quot;年&quot;m&quot;月&quot;;@">
                  <c:v>45748</c:v>
                </c:pt>
                <c:pt idx="40" c:formatCode="yyyy&quot;年&quot;m&quot;月&quot;;@">
                  <c:v>45778</c:v>
                </c:pt>
                <c:pt idx="41" c:formatCode="yyyy&quot;年&quot;m&quot;月&quot;;@">
                  <c:v>45809</c:v>
                </c:pt>
                <c:pt idx="42" c:formatCode="yyyy&quot;年&quot;m&quot;月&quot;;@">
                  <c:v>45839</c:v>
                </c:pt>
                <c:pt idx="43" c:formatCode="yyyy&quot;年&quot;m&quot;月&quot;;@">
                  <c:v>45870</c:v>
                </c:pt>
                <c:pt idx="44" c:formatCode="yyyy&quot;年&quot;m&quot;月&quot;;@">
                  <c:v>45901</c:v>
                </c:pt>
                <c:pt idx="45" c:formatCode="yyyy&quot;年&quot;m&quot;月&quot;;@">
                  <c:v>45931</c:v>
                </c:pt>
                <c:pt idx="46" c:formatCode="yyyy&quot;年&quot;m&quot;月&quot;;@">
                  <c:v>45962</c:v>
                </c:pt>
                <c:pt idx="47" c:formatCode="yyyy&quot;年&quot;m&quot;月&quot;;@">
                  <c:v>45992</c:v>
                </c:pt>
                <c:pt idx="48" c:formatCode="yyyy&quot;年&quot;m&quot;月&quot;;@">
                  <c:v>46023</c:v>
                </c:pt>
                <c:pt idx="49" c:formatCode="yyyy&quot;年&quot;m&quot;月&quot;;@">
                  <c:v>46054</c:v>
                </c:pt>
                <c:pt idx="50" c:formatCode="yyyy&quot;年&quot;m&quot;月&quot;;@">
                  <c:v>46082</c:v>
                </c:pt>
                <c:pt idx="51" c:formatCode="yyyy&quot;年&quot;m&quot;月&quot;;@">
                  <c:v>46113</c:v>
                </c:pt>
                <c:pt idx="52" c:formatCode="yyyy&quot;年&quot;m&quot;月&quot;;@">
                  <c:v>46143</c:v>
                </c:pt>
                <c:pt idx="53" c:formatCode="yyyy&quot;年&quot;m&quot;月&quot;;@">
                  <c:v>46174</c:v>
                </c:pt>
                <c:pt idx="54" c:formatCode="yyyy&quot;年&quot;m&quot;月&quot;;@">
                  <c:v>46204</c:v>
                </c:pt>
                <c:pt idx="55" c:formatCode="yyyy&quot;年&quot;m&quot;月&quot;;@">
                  <c:v>46235</c:v>
                </c:pt>
              </c:numCache>
            </c:numRef>
          </c:cat>
          <c:val>
            <c:numRef>
              <c:f>能繁母猪!$B$26:$B$246</c:f>
              <c:numCache>
                <c:formatCode>0.00%</c:formatCode>
                <c:ptCount val="221"/>
                <c:pt idx="0">
                  <c:v>-0.016</c:v>
                </c:pt>
                <c:pt idx="1">
                  <c:v>0.0032</c:v>
                </c:pt>
                <c:pt idx="2">
                  <c:v>-0.0123</c:v>
                </c:pt>
                <c:pt idx="3">
                  <c:v>-0.0013</c:v>
                </c:pt>
                <c:pt idx="4">
                  <c:v>0.0123</c:v>
                </c:pt>
                <c:pt idx="5">
                  <c:v>0.0071</c:v>
                </c:pt>
                <c:pt idx="6">
                  <c:v>0.0096</c:v>
                </c:pt>
                <c:pt idx="7">
                  <c:v>0.0163</c:v>
                </c:pt>
                <c:pt idx="8">
                  <c:v>0.0139</c:v>
                </c:pt>
                <c:pt idx="9">
                  <c:v>0.0173</c:v>
                </c:pt>
                <c:pt idx="10">
                  <c:v>-0.0005</c:v>
                </c:pt>
                <c:pt idx="11">
                  <c:v>-0.011</c:v>
                </c:pt>
                <c:pt idx="12">
                  <c:v>-0.0039</c:v>
                </c:pt>
                <c:pt idx="13">
                  <c:v>-0.0184</c:v>
                </c:pt>
                <c:pt idx="14">
                  <c:v>-0.0195</c:v>
                </c:pt>
                <c:pt idx="15">
                  <c:v>0.0004</c:v>
                </c:pt>
                <c:pt idx="16">
                  <c:v>-0.0093</c:v>
                </c:pt>
                <c:pt idx="17">
                  <c:v>-0.0168</c:v>
                </c:pt>
                <c:pt idx="18">
                  <c:v>-0.0022</c:v>
                </c:pt>
                <c:pt idx="19">
                  <c:v>0.0004</c:v>
                </c:pt>
                <c:pt idx="20">
                  <c:v>-0.0027</c:v>
                </c:pt>
                <c:pt idx="21">
                  <c:v>-0.0085</c:v>
                </c:pt>
                <c:pt idx="22">
                  <c:v>-0.0157</c:v>
                </c:pt>
                <c:pt idx="23">
                  <c:v>-0.0084</c:v>
                </c:pt>
                <c:pt idx="24">
                  <c:v>-0.0076</c:v>
                </c:pt>
                <c:pt idx="25">
                  <c:v>0.0028</c:v>
                </c:pt>
                <c:pt idx="26">
                  <c:v>0.0157</c:v>
                </c:pt>
                <c:pt idx="27">
                  <c:v>0.0096</c:v>
                </c:pt>
                <c:pt idx="28">
                  <c:v>0.0073</c:v>
                </c:pt>
                <c:pt idx="29">
                  <c:v>0.0061</c:v>
                </c:pt>
                <c:pt idx="30">
                  <c:v>0.0179</c:v>
                </c:pt>
                <c:pt idx="31">
                  <c:v>0.0052</c:v>
                </c:pt>
                <c:pt idx="32">
                  <c:v>0.006</c:v>
                </c:pt>
                <c:pt idx="33">
                  <c:v>0.0056</c:v>
                </c:pt>
                <c:pt idx="34">
                  <c:v>0.0034</c:v>
                </c:pt>
                <c:pt idx="35">
                  <c:v>0.0127</c:v>
                </c:pt>
                <c:pt idx="36">
                  <c:v>0.0063</c:v>
                </c:pt>
                <c:pt idx="37">
                  <c:v>-0.0005</c:v>
                </c:pt>
                <c:pt idx="38">
                  <c:v>0.001</c:v>
                </c:pt>
                <c:pt idx="39">
                  <c:v>0.0096</c:v>
                </c:pt>
                <c:pt idx="40">
                  <c:v>0.0092</c:v>
                </c:pt>
                <c:pt idx="41">
                  <c:v>0.0012</c:v>
                </c:pt>
                <c:pt idx="42">
                  <c:v>0.0052</c:v>
                </c:pt>
                <c:pt idx="43">
                  <c:v>0.0007</c:v>
                </c:pt>
                <c:pt idx="44">
                  <c:v>-0.0084</c:v>
                </c:pt>
                <c:pt idx="45">
                  <c:v>-0.008</c:v>
                </c:pt>
                <c:pt idx="46">
                  <c:v>0.0003</c:v>
                </c:pt>
                <c:pt idx="47">
                  <c:v>0.0054</c:v>
                </c:pt>
                <c:pt idx="48">
                  <c:v>0.0065</c:v>
                </c:pt>
                <c:pt idx="49">
                  <c:v>0.0073</c:v>
                </c:pt>
                <c:pt idx="50">
                  <c:v>-0.0057</c:v>
                </c:pt>
                <c:pt idx="51">
                  <c:v>-0.0071</c:v>
                </c:pt>
                <c:pt idx="52">
                  <c:v>-0.0113</c:v>
                </c:pt>
                <c:pt idx="53">
                  <c:v>-0.0133</c:v>
                </c:pt>
                <c:pt idx="54">
                  <c:v>-0.0021</c:v>
                </c:pt>
                <c:pt idx="55">
                  <c:v>-0.023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6456380"/>
        <c:axId val="169618252"/>
      </c:barChart>
      <c:dateAx>
        <c:axId val="396456380"/>
        <c:scaling>
          <c:orientation val="minMax"/>
          <c:max val="46235"/>
          <c:min val="45505"/>
        </c:scaling>
        <c:delete val="0"/>
        <c:axPos val="b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69618252"/>
        <c:crosses val="autoZero"/>
        <c:auto val="1"/>
        <c:lblOffset val="100"/>
        <c:baseTimeUnit val="months"/>
        <c:majorUnit val="2"/>
        <c:majorTimeUnit val="months"/>
      </c:dateAx>
      <c:valAx>
        <c:axId val="169618252"/>
        <c:scaling>
          <c:orientation val="minMax"/>
          <c:max val="0.015"/>
          <c:min val="-0.0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3964563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a278127-ea8e-4714-8941-093483c94fc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新生仔猪月度存栏量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1"/>
          <c:y val="0.174074074074074"/>
          <c:w val="0.870052631578947"/>
          <c:h val="0.77268518518518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月度供应测算!$G$38:$G$45</c:f>
              <c:numCache>
                <c:formatCode>yyyy"年"m"月";@</c:formatCode>
                <c:ptCount val="8"/>
                <c:pt idx="0" c:formatCode="yyyy&quot;年&quot;m&quot;月&quot;;@">
                  <c:v>46023</c:v>
                </c:pt>
                <c:pt idx="1" c:formatCode="yyyy&quot;年&quot;m&quot;月&quot;;@">
                  <c:v>46054</c:v>
                </c:pt>
                <c:pt idx="2" c:formatCode="yyyy&quot;年&quot;m&quot;月&quot;">
                  <c:v>46082</c:v>
                </c:pt>
                <c:pt idx="3" c:formatCode="yyyy&quot;年&quot;m&quot;月&quot;;@">
                  <c:v>46113</c:v>
                </c:pt>
                <c:pt idx="4" c:formatCode="yyyy&quot;年&quot;m&quot;月&quot;;@">
                  <c:v>46143</c:v>
                </c:pt>
                <c:pt idx="5" c:formatCode="yyyy&quot;年&quot;m&quot;月&quot;">
                  <c:v>46174</c:v>
                </c:pt>
                <c:pt idx="6" c:formatCode="yyyy&quot;年&quot;m&quot;月&quot;">
                  <c:v>46204</c:v>
                </c:pt>
                <c:pt idx="7" c:formatCode="yyyy&quot;年&quot;m&quot;月&quot;">
                  <c:v>46235</c:v>
                </c:pt>
              </c:numCache>
            </c:numRef>
          </c:cat>
          <c:val>
            <c:numRef>
              <c:f>月度供应测算!$H$38:$H$45</c:f>
              <c:numCache>
                <c:formatCode>0.00%</c:formatCode>
                <c:ptCount val="8"/>
                <c:pt idx="0">
                  <c:v>0.0023541077710786</c:v>
                </c:pt>
                <c:pt idx="1">
                  <c:v>-0.0011569537406615</c:v>
                </c:pt>
                <c:pt idx="2">
                  <c:v>-0.002</c:v>
                </c:pt>
                <c:pt idx="3">
                  <c:v>0.0052</c:v>
                </c:pt>
                <c:pt idx="4">
                  <c:v>0.0028</c:v>
                </c:pt>
                <c:pt idx="5">
                  <c:v>0.0046</c:v>
                </c:pt>
                <c:pt idx="6">
                  <c:v>0.0039</c:v>
                </c:pt>
                <c:pt idx="7">
                  <c:v>-0.0058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66851300"/>
        <c:axId val="52779044"/>
      </c:barChart>
      <c:dateAx>
        <c:axId val="26685130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779044"/>
        <c:crosses val="autoZero"/>
        <c:auto val="1"/>
        <c:lblOffset val="100"/>
        <c:baseTimeUnit val="months"/>
      </c:dateAx>
      <c:valAx>
        <c:axId val="527790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68513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da6f6ff-abba-4d05-a530-da5a02b9b4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理论商品猪出栏量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月度供应测算!$R$28:$R$45</c:f>
              <c:numCache>
                <c:formatCode>yyyy"年"m"月"</c:formatCode>
                <c:ptCount val="18"/>
                <c:pt idx="0" c:formatCode="yyyy&quot;年&quot;m&quot;月&quot;">
                  <c:v>45901</c:v>
                </c:pt>
                <c:pt idx="1" c:formatCode="yyyy&quot;年&quot;m&quot;月&quot;">
                  <c:v>45931</c:v>
                </c:pt>
                <c:pt idx="2" c:formatCode="yyyy&quot;年&quot;m&quot;月&quot;">
                  <c:v>45962</c:v>
                </c:pt>
                <c:pt idx="3" c:formatCode="yyyy&quot;年&quot;m&quot;月&quot;">
                  <c:v>45992</c:v>
                </c:pt>
                <c:pt idx="4" c:formatCode="yyyy&quot;年&quot;m&quot;月&quot;">
                  <c:v>46023</c:v>
                </c:pt>
                <c:pt idx="5" c:formatCode="yyyy&quot;年&quot;m&quot;月&quot;">
                  <c:v>46054</c:v>
                </c:pt>
                <c:pt idx="6" c:formatCode="yyyy&quot;年&quot;m&quot;月&quot;">
                  <c:v>46082</c:v>
                </c:pt>
                <c:pt idx="7" c:formatCode="yyyy&quot;年&quot;m&quot;月&quot;">
                  <c:v>46113</c:v>
                </c:pt>
                <c:pt idx="8" c:formatCode="yyyy&quot;年&quot;m&quot;月&quot;">
                  <c:v>46143</c:v>
                </c:pt>
                <c:pt idx="9" c:formatCode="yyyy&quot;年&quot;m&quot;月&quot;">
                  <c:v>46174</c:v>
                </c:pt>
                <c:pt idx="10" c:formatCode="yyyy&quot;年&quot;m&quot;月&quot;">
                  <c:v>46204</c:v>
                </c:pt>
                <c:pt idx="11" c:formatCode="yyyy&quot;年&quot;m&quot;月&quot;">
                  <c:v>46235</c:v>
                </c:pt>
                <c:pt idx="12" c:formatCode="yyyy&quot;年&quot;m&quot;月&quot;">
                  <c:v>46266</c:v>
                </c:pt>
                <c:pt idx="13" c:formatCode="yyyy&quot;年&quot;m&quot;月&quot;">
                  <c:v>46296</c:v>
                </c:pt>
                <c:pt idx="14" c:formatCode="yyyy&quot;年&quot;m&quot;月&quot;">
                  <c:v>46327</c:v>
                </c:pt>
                <c:pt idx="15" c:formatCode="yyyy&quot;年&quot;m&quot;月&quot;">
                  <c:v>46358</c:v>
                </c:pt>
                <c:pt idx="16" c:formatCode="yyyy&quot;年&quot;m&quot;月&quot;">
                  <c:v>46388</c:v>
                </c:pt>
                <c:pt idx="17" c:formatCode="yyyy&quot;年&quot;m&quot;月&quot;">
                  <c:v>46419</c:v>
                </c:pt>
              </c:numCache>
            </c:numRef>
          </c:cat>
          <c:val>
            <c:numRef>
              <c:f>月度供应测算!$S$28:$S$45</c:f>
              <c:numCache>
                <c:formatCode>0.00_ </c:formatCode>
                <c:ptCount val="18"/>
                <c:pt idx="0">
                  <c:v>15538012.7866391</c:v>
                </c:pt>
                <c:pt idx="1">
                  <c:v>16042219.6392748</c:v>
                </c:pt>
                <c:pt idx="2">
                  <c:v>16154655.2043525</c:v>
                </c:pt>
                <c:pt idx="3">
                  <c:v>15743664.8586898</c:v>
                </c:pt>
                <c:pt idx="4">
                  <c:v>15883388.8901806</c:v>
                </c:pt>
                <c:pt idx="5">
                  <c:v>16130945.0674867</c:v>
                </c:pt>
                <c:pt idx="6">
                  <c:v>16343535.3091546</c:v>
                </c:pt>
                <c:pt idx="7">
                  <c:v>16373924.2379092</c:v>
                </c:pt>
                <c:pt idx="8">
                  <c:v>16309122.0760653</c:v>
                </c:pt>
                <c:pt idx="9">
                  <c:v>16486720.0734379</c:v>
                </c:pt>
                <c:pt idx="10">
                  <c:v>16441567.2743015</c:v>
                </c:pt>
                <c:pt idx="11">
                  <c:v>16316304.8501197</c:v>
                </c:pt>
                <c:pt idx="12">
                  <c:v>16300313.9917891</c:v>
                </c:pt>
                <c:pt idx="13">
                  <c:v>16267543.2432225</c:v>
                </c:pt>
                <c:pt idx="14">
                  <c:v>16329147.2874904</c:v>
                </c:pt>
                <c:pt idx="15">
                  <c:v>16069782.802342</c:v>
                </c:pt>
                <c:pt idx="16">
                  <c:v>16201332.534452</c:v>
                </c:pt>
                <c:pt idx="17">
                  <c:v>16253916.9133831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03541442"/>
        <c:axId val="930379482"/>
      </c:barChart>
      <c:dateAx>
        <c:axId val="30354144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头</a:t>
                </a:r>
              </a:p>
            </c:rich>
          </c:tx>
          <c:layout>
            <c:manualLayout>
              <c:xMode val="edge"/>
              <c:yMode val="edge"/>
              <c:x val="0.0716184210526315"/>
              <c:y val="0.0796296296296296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0379482"/>
        <c:crosses val="autoZero"/>
        <c:auto val="1"/>
        <c:lblOffset val="100"/>
        <c:baseTimeUnit val="months"/>
      </c:dateAx>
      <c:valAx>
        <c:axId val="93037948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354144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212e66f-6fe7-4ba7-9bf8-2837170004f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3.png"/><Relationship Id="rId4" Type="http://schemas.openxmlformats.org/officeDocument/2006/relationships/hyperlink" Target="#&#29983;&#29482;&#25968;&#25454;&#24211;&#183;&#30446;&#24405;!A1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29983;&#29482;&#25968;&#25454;&#24211;&#183;&#30446;&#24405;!A1"/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29983;&#29482;&#25968;&#25454;&#24211;&#183;&#30446;&#24405;!A1"/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29983;&#29482;&#25968;&#25454;&#24211;&#183;&#30446;&#24405;!A1"/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hyperlink" Target="#&#29983;&#29482;&#25968;&#25454;&#24211;&#183;&#30446;&#24405;!A1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29983;&#29482;&#25968;&#25454;&#24211;&#183;&#30446;&#24405;!A1"/><Relationship Id="rId1" Type="http://schemas.openxmlformats.org/officeDocument/2006/relationships/chart" Target="../charts/chart9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9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hyperlink" Target="#&#29983;&#29482;&#25968;&#25454;&#24211;&#183;&#30446;&#24405;!A1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hyperlink" Target="#&#29983;&#29482;&#25968;&#25454;&#24211;&#183;&#30446;&#24405;!A1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29983;&#29482;&#25968;&#25454;&#24211;&#183;&#30446;&#24405;!A1"/><Relationship Id="rId1" Type="http://schemas.openxmlformats.org/officeDocument/2006/relationships/chart" Target="../charts/chart1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29983;&#29482;&#25968;&#25454;&#24211;&#183;&#30446;&#24405;!A1"/><Relationship Id="rId1" Type="http://schemas.openxmlformats.org/officeDocument/2006/relationships/chart" Target="../charts/chart16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29983;&#29482;&#25968;&#25454;&#24211;&#183;&#30446;&#24405;!A1"/><Relationship Id="rId1" Type="http://schemas.openxmlformats.org/officeDocument/2006/relationships/chart" Target="../charts/chart17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29983;&#29482;&#25968;&#25454;&#24211;&#183;&#30446;&#24405;!A1"/><Relationship Id="rId1" Type="http://schemas.openxmlformats.org/officeDocument/2006/relationships/chart" Target="../charts/chart18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29983;&#29482;&#25968;&#25454;&#24211;&#183;&#30446;&#24405;!A1"/><Relationship Id="rId1" Type="http://schemas.openxmlformats.org/officeDocument/2006/relationships/chart" Target="../charts/chart19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29983;&#29482;&#25968;&#25454;&#24211;&#183;&#30446;&#24405;!A1"/><Relationship Id="rId1" Type="http://schemas.openxmlformats.org/officeDocument/2006/relationships/chart" Target="../charts/chart20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7.xml.rels><?xml version="1.0" encoding="UTF-8" standalone="yes"?>
<Relationships xmlns="http://schemas.openxmlformats.org/package/2006/relationships"><Relationship Id="rId6" Type="http://schemas.openxmlformats.org/officeDocument/2006/relationships/image" Target="../media/image3.png"/><Relationship Id="rId5" Type="http://schemas.openxmlformats.org/officeDocument/2006/relationships/hyperlink" Target="#&#29983;&#29482;&#25968;&#25454;&#24211;&#183;&#30446;&#24405;!A1"/><Relationship Id="rId4" Type="http://schemas.openxmlformats.org/officeDocument/2006/relationships/image" Target="../media/image4.png"/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29983;&#29482;&#25968;&#25454;&#24211;&#183;&#30446;&#24405;!A1"/><Relationship Id="rId1" Type="http://schemas.openxmlformats.org/officeDocument/2006/relationships/chart" Target="../charts/chart24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29983;&#29482;&#25968;&#25454;&#24211;&#183;&#30446;&#24405;!A1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29983;&#29482;&#25968;&#25454;&#24211;&#183;&#30446;&#24405;!A1"/></Relationships>
</file>

<file path=xl/drawings/_rels/drawing43.xml.rels><?xml version="1.0" encoding="UTF-8" standalone="yes"?>
<Relationships xmlns="http://schemas.openxmlformats.org/package/2006/relationships"><Relationship Id="rId4" Type="http://schemas.openxmlformats.org/officeDocument/2006/relationships/image" Target="../media/image5.emf"/><Relationship Id="rId3" Type="http://schemas.openxmlformats.org/officeDocument/2006/relationships/hyperlink" Target="#&#29983;&#29482;&#25968;&#25454;&#24211;&#183;&#30446;&#24405;!A1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hyperlink" Target="#&#29983;&#29482;&#25968;&#25454;&#24211;&#183;&#30446;&#24405;!A1"/><Relationship Id="rId1" Type="http://schemas.openxmlformats.org/officeDocument/2006/relationships/chart" Target="../charts/chart27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hyperlink" Target="#&#29983;&#29482;&#25968;&#25454;&#24211;&#183;&#30446;&#24405;!A1"/><Relationship Id="rId1" Type="http://schemas.openxmlformats.org/officeDocument/2006/relationships/chart" Target="../charts/chart28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hyperlink" Target="#&#29983;&#29482;&#25968;&#25454;&#24211;&#183;&#30446;&#24405;!A1"/><Relationship Id="rId1" Type="http://schemas.openxmlformats.org/officeDocument/2006/relationships/chart" Target="../charts/chart29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hyperlink" Target="#&#29983;&#29482;&#25968;&#25454;&#24211;&#183;&#30446;&#24405;!A1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hyperlink" Target="#&#29983;&#29482;&#25968;&#25454;&#24211;&#183;&#30446;&#24405;!A1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hyperlink" Target="#&#29983;&#29482;&#25968;&#25454;&#24211;&#183;&#30446;&#24405;!A1"/></Relationships>
</file>

<file path=xl/drawings/_rels/drawing55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hyperlink" Target="#&#29983;&#29482;&#25968;&#25454;&#24211;&#183;&#30446;&#24405;!A1"/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247650</xdr:colOff>
      <xdr:row>2</xdr:row>
      <xdr:rowOff>171450</xdr:rowOff>
    </xdr:from>
    <xdr:to>
      <xdr:col>3</xdr:col>
      <xdr:colOff>620395</xdr:colOff>
      <xdr:row>2</xdr:row>
      <xdr:rowOff>831850</xdr:rowOff>
    </xdr:to>
    <xdr:pic>
      <xdr:nvPicPr>
        <xdr:cNvPr id="3" name="图片 2" descr="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47650" y="514350"/>
          <a:ext cx="2430145" cy="6604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2</xdr:row>
      <xdr:rowOff>171450</xdr:rowOff>
    </xdr:from>
    <xdr:to>
      <xdr:col>3</xdr:col>
      <xdr:colOff>620395</xdr:colOff>
      <xdr:row>2</xdr:row>
      <xdr:rowOff>831850</xdr:rowOff>
    </xdr:to>
    <xdr:pic>
      <xdr:nvPicPr>
        <xdr:cNvPr id="5" name="图片 4" descr="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47650" y="514350"/>
          <a:ext cx="2430145" cy="660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261620</xdr:colOff>
      <xdr:row>390</xdr:row>
      <xdr:rowOff>123825</xdr:rowOff>
    </xdr:from>
    <xdr:to>
      <xdr:col>9</xdr:col>
      <xdr:colOff>33020</xdr:colOff>
      <xdr:row>401</xdr:row>
      <xdr:rowOff>149225</xdr:rowOff>
    </xdr:to>
    <xdr:graphicFrame>
      <xdr:nvGraphicFramePr>
        <xdr:cNvPr id="3" name="图表 2"/>
        <xdr:cNvGraphicFramePr/>
      </xdr:nvGraphicFramePr>
      <xdr:xfrm>
        <a:off x="2261870" y="99133025"/>
        <a:ext cx="4591685" cy="281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121285</xdr:colOff>
      <xdr:row>0</xdr:row>
      <xdr:rowOff>247650</xdr:rowOff>
    </xdr:to>
    <xdr:pic>
      <xdr:nvPicPr>
        <xdr:cNvPr id="2" name="图片 1" descr="123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1121410" cy="247650"/>
        </a:xfrm>
        <a:prstGeom prst="rect">
          <a:avLst/>
        </a:prstGeom>
      </xdr:spPr>
    </xdr:pic>
    <xdr:clientData/>
  </xdr:twoCellAnchor>
  <xdr:twoCellAnchor>
    <xdr:from>
      <xdr:col>9</xdr:col>
      <xdr:colOff>42545</xdr:colOff>
      <xdr:row>390</xdr:row>
      <xdr:rowOff>127000</xdr:rowOff>
    </xdr:from>
    <xdr:to>
      <xdr:col>14</xdr:col>
      <xdr:colOff>841375</xdr:colOff>
      <xdr:row>401</xdr:row>
      <xdr:rowOff>152400</xdr:rowOff>
    </xdr:to>
    <xdr:graphicFrame>
      <xdr:nvGraphicFramePr>
        <xdr:cNvPr id="4" name="图表 3"/>
        <xdr:cNvGraphicFramePr/>
      </xdr:nvGraphicFramePr>
      <xdr:xfrm>
        <a:off x="6863080" y="99136200"/>
        <a:ext cx="4590415" cy="281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136525</xdr:colOff>
      <xdr:row>401</xdr:row>
      <xdr:rowOff>180975</xdr:rowOff>
    </xdr:from>
    <xdr:to>
      <xdr:col>12</xdr:col>
      <xdr:colOff>161925</xdr:colOff>
      <xdr:row>412</xdr:row>
      <xdr:rowOff>200025</xdr:rowOff>
    </xdr:to>
    <xdr:graphicFrame>
      <xdr:nvGraphicFramePr>
        <xdr:cNvPr id="5" name="图表 4"/>
        <xdr:cNvGraphicFramePr/>
      </xdr:nvGraphicFramePr>
      <xdr:xfrm>
        <a:off x="4213860" y="101984175"/>
        <a:ext cx="4826000" cy="281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0.0132117335177501</cdr:x>
      <cdr:y>0.0394079847746129</cdr:y>
    </cdr:from>
    <cdr:to>
      <cdr:x>0.16321173351775</cdr:x>
      <cdr:y>0.126213540330169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60656" y="108354"/>
          <a:ext cx="688657" cy="238676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p>
          <a:r>
            <a:rPr lang="zh-CN" altLang="en-US" sz="1000" b="1">
              <a:solidFill>
                <a:sysClr val="windowText" lastClr="000000"/>
              </a:solidFill>
            </a:rPr>
            <a:t>元</a:t>
          </a:r>
          <a:r>
            <a:rPr lang="en-US" altLang="zh-CN" sz="1200" b="1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/kg</a:t>
          </a:r>
          <a:endParaRPr lang="en-US" altLang="zh-CN" sz="1200" b="1">
            <a:solidFill>
              <a:sysClr val="windowText" lastClr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cdr:txBody>
    </cdr:sp>
  </cdr:relSizeAnchor>
  <cdr:relSizeAnchor xmlns:cdr="http://schemas.openxmlformats.org/drawingml/2006/chartDrawing">
    <cdr:from>
      <cdr:x>0.383333333333333</cdr:x>
      <cdr:y>0.364583333333333</cdr:y>
    </cdr:from>
    <cdr:to>
      <cdr:x>0.617916666666667</cdr:x>
      <cdr:y>0.578935185185185</cdr:y>
    </cdr:to>
    <cdr:pic xmlns:a="http://schemas.openxmlformats.org/drawingml/2006/main">
      <cdr:nvPicPr>
        <cdr:cNvPr id="3" name="图片 2"/>
        <cdr:cNvPicPr/>
      </cdr:nvPicPr>
      <cdr:blipFill>
        <a:blip xmlns:r="http://schemas.openxmlformats.org/officeDocument/2006/relationships" r:embed="rId1"/>
        <a:stretch>
          <a:fillRect/>
        </a:stretch>
      </cdr:blipFill>
      <cdr:spPr>
        <a:xfrm>
          <a:off x="1752600" y="1000125"/>
          <a:ext cx="1072515" cy="588010"/>
        </a:xfrm>
        <a:prstGeom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0.395833333333333</cdr:x>
      <cdr:y>0.368055555555556</cdr:y>
    </cdr:from>
    <cdr:to>
      <cdr:x>0.607361111111111</cdr:x>
      <cdr:y>0.561342592592593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/>
        <a:stretch>
          <a:fillRect/>
        </a:stretch>
      </cdr:blipFill>
      <cdr:spPr>
        <a:xfrm>
          <a:off x="1809750" y="1009650"/>
          <a:ext cx="967105" cy="530225"/>
        </a:xfrm>
        <a:prstGeom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0.0844907407407407</cdr:y>
    </cdr:from>
    <cdr:to>
      <cdr:x>0.132105263157895</cdr:x>
      <cdr:y>0.178240740740741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0" y="231775"/>
          <a:ext cx="637540" cy="25717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p>
          <a:r>
            <a:rPr lang="zh-CN" altLang="en-US" sz="1000" b="1">
              <a:solidFill>
                <a:sysClr val="windowText" lastClr="000000"/>
              </a:solidFill>
            </a:rPr>
            <a:t>元</a:t>
          </a:r>
          <a:r>
            <a:rPr lang="en-US" altLang="zh-CN" sz="1200" b="1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/kg</a:t>
          </a:r>
          <a:endParaRPr lang="en-US" altLang="zh-CN" sz="1200" b="1">
            <a:solidFill>
              <a:sysClr val="windowText" lastClr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cdr:txBody>
    </cdr:sp>
  </cdr:relSizeAnchor>
  <cdr:relSizeAnchor xmlns:cdr="http://schemas.openxmlformats.org/drawingml/2006/chartDrawing">
    <cdr:from>
      <cdr:x>0.386842105263158</cdr:x>
      <cdr:y>0.423611111111111</cdr:y>
    </cdr:from>
    <cdr:to>
      <cdr:x>0.608421052631579</cdr:x>
      <cdr:y>0.6375</cdr:y>
    </cdr:to>
    <cdr:pic xmlns:a="http://schemas.openxmlformats.org/drawingml/2006/main">
      <cdr:nvPicPr>
        <cdr:cNvPr id="3" name="图片 2"/>
        <cdr:cNvPicPr/>
      </cdr:nvPicPr>
      <cdr:blipFill>
        <a:blip xmlns:r="http://schemas.openxmlformats.org/officeDocument/2006/relationships" r:embed="rId1"/>
        <a:stretch>
          <a:fillRect/>
        </a:stretch>
      </cdr:blipFill>
      <cdr:spPr>
        <a:xfrm>
          <a:off x="1866900" y="1162050"/>
          <a:ext cx="1069340" cy="586740"/>
        </a:xfrm>
        <a:prstGeom prst="rect">
          <a:avLst/>
        </a:prstGeom>
      </cdr:spPr>
    </cdr:pic>
  </cdr:relSizeAnchor>
</c:userShapes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121285</xdr:colOff>
      <xdr:row>0</xdr:row>
      <xdr:rowOff>247650</xdr:rowOff>
    </xdr:to>
    <xdr:pic>
      <xdr:nvPicPr>
        <xdr:cNvPr id="3" name="图片 2" descr="123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1121410" cy="247650"/>
        </a:xfrm>
        <a:prstGeom prst="rect">
          <a:avLst/>
        </a:prstGeom>
      </xdr:spPr>
    </xdr:pic>
    <xdr:clientData/>
  </xdr:twoCellAnchor>
  <xdr:twoCellAnchor>
    <xdr:from>
      <xdr:col>10</xdr:col>
      <xdr:colOff>212725</xdr:colOff>
      <xdr:row>22</xdr:row>
      <xdr:rowOff>120650</xdr:rowOff>
    </xdr:from>
    <xdr:to>
      <xdr:col>14</xdr:col>
      <xdr:colOff>784225</xdr:colOff>
      <xdr:row>33</xdr:row>
      <xdr:rowOff>139700</xdr:rowOff>
    </xdr:to>
    <xdr:graphicFrame>
      <xdr:nvGraphicFramePr>
        <xdr:cNvPr id="4" name="图表 3"/>
        <xdr:cNvGraphicFramePr/>
      </xdr:nvGraphicFramePr>
      <xdr:xfrm>
        <a:off x="10213975" y="5708650"/>
        <a:ext cx="4572000" cy="281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0.389583333333333</cdr:x>
      <cdr:y>0.375</cdr:y>
    </cdr:from>
    <cdr:to>
      <cdr:x>0.608888888888889</cdr:x>
      <cdr:y>0.575462962962963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/>
        <a:stretch>
          <a:fillRect/>
        </a:stretch>
      </cdr:blipFill>
      <cdr:spPr>
        <a:xfrm>
          <a:off x="1781175" y="1028700"/>
          <a:ext cx="1002665" cy="549910"/>
        </a:xfrm>
        <a:prstGeom prst="rect">
          <a:avLst/>
        </a:prstGeom>
      </cdr:spPr>
    </cdr:pic>
  </cdr:relSizeAnchor>
  <cdr:relSizeAnchor xmlns:cdr="http://schemas.openxmlformats.org/drawingml/2006/chartDrawing">
    <cdr:from>
      <cdr:x>0.0243055555555556</cdr:x>
      <cdr:y>0.158564814814814</cdr:y>
    </cdr:from>
    <cdr:to>
      <cdr:x>0.126388888888889</cdr:x>
      <cdr:y>0.248842592592592</cdr:y>
    </cdr:to>
    <cdr:sp>
      <cdr:nvSpPr>
        <cdr:cNvPr id="3" name="矩形 2"/>
        <cdr:cNvSpPr/>
      </cdr:nvSpPr>
      <cdr:spPr xmlns:a="http://schemas.openxmlformats.org/drawingml/2006/main">
        <a:xfrm xmlns:a="http://schemas.openxmlformats.org/drawingml/2006/main">
          <a:off x="111125" y="434975"/>
          <a:ext cx="466725" cy="24765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p>
          <a:r>
            <a:rPr lang="en-US" altLang="zh-CN" sz="1200" b="1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kg</a:t>
          </a:r>
          <a:endParaRPr lang="en-US" altLang="zh-CN" sz="1200" b="1">
            <a:solidFill>
              <a:sysClr val="windowText" lastClr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10795</xdr:colOff>
      <xdr:row>0</xdr:row>
      <xdr:rowOff>20955</xdr:rowOff>
    </xdr:from>
    <xdr:to>
      <xdr:col>1</xdr:col>
      <xdr:colOff>0</xdr:colOff>
      <xdr:row>0</xdr:row>
      <xdr:rowOff>268605</xdr:rowOff>
    </xdr:to>
    <xdr:pic>
      <xdr:nvPicPr>
        <xdr:cNvPr id="3" name="图片 2" descr="123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0795" y="20955"/>
          <a:ext cx="1122680" cy="247650"/>
        </a:xfrm>
        <a:prstGeom prst="rect">
          <a:avLst/>
        </a:prstGeom>
      </xdr:spPr>
    </xdr:pic>
    <xdr:clientData/>
  </xdr:twoCellAnchor>
  <xdr:twoCellAnchor>
    <xdr:from>
      <xdr:col>4</xdr:col>
      <xdr:colOff>285750</xdr:colOff>
      <xdr:row>329</xdr:row>
      <xdr:rowOff>241300</xdr:rowOff>
    </xdr:from>
    <xdr:to>
      <xdr:col>11</xdr:col>
      <xdr:colOff>34925</xdr:colOff>
      <xdr:row>339</xdr:row>
      <xdr:rowOff>222250</xdr:rowOff>
    </xdr:to>
    <xdr:graphicFrame>
      <xdr:nvGraphicFramePr>
        <xdr:cNvPr id="4" name="图表 3"/>
        <xdr:cNvGraphicFramePr/>
      </xdr:nvGraphicFramePr>
      <xdr:xfrm>
        <a:off x="3677920" y="911193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0.390789473684211</cdr:x>
      <cdr:y>0.381944444444444</cdr:y>
    </cdr:from>
    <cdr:to>
      <cdr:x>0.613026315789474</cdr:x>
      <cdr:y>0.596296296296296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/>
        <a:stretch>
          <a:fillRect/>
        </a:stretch>
      </cdr:blipFill>
      <cdr:spPr>
        <a:xfrm>
          <a:off x="1885950" y="1047750"/>
          <a:ext cx="1072515" cy="588010"/>
        </a:xfrm>
        <a:prstGeom prst="rect">
          <a:avLst/>
        </a:prstGeom>
      </cdr:spPr>
    </cdr:pic>
  </cdr:relSizeAnchor>
</c:userShapes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936625</xdr:colOff>
      <xdr:row>244</xdr:row>
      <xdr:rowOff>53975</xdr:rowOff>
    </xdr:from>
    <xdr:to>
      <xdr:col>9</xdr:col>
      <xdr:colOff>508000</xdr:colOff>
      <xdr:row>255</xdr:row>
      <xdr:rowOff>73025</xdr:rowOff>
    </xdr:to>
    <xdr:graphicFrame>
      <xdr:nvGraphicFramePr>
        <xdr:cNvPr id="4" name="图表 3"/>
        <xdr:cNvGraphicFramePr/>
      </xdr:nvGraphicFramePr>
      <xdr:xfrm>
        <a:off x="4937125" y="62283975"/>
        <a:ext cx="4572000" cy="281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121285</xdr:colOff>
      <xdr:row>0</xdr:row>
      <xdr:rowOff>247650</xdr:rowOff>
    </xdr:to>
    <xdr:pic>
      <xdr:nvPicPr>
        <xdr:cNvPr id="2" name="图片 1" descr="123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1121410" cy="247650"/>
        </a:xfrm>
        <a:prstGeom prst="rect">
          <a:avLst/>
        </a:prstGeom>
      </xdr:spPr>
    </xdr:pic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0.385416666666667</cdr:x>
      <cdr:y>0.4375</cdr:y>
    </cdr:from>
    <cdr:to>
      <cdr:x>0.627361111111111</cdr:x>
      <cdr:y>0.658564814814815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/>
        <a:stretch>
          <a:fillRect/>
        </a:stretch>
      </cdr:blipFill>
      <cdr:spPr>
        <a:xfrm>
          <a:off x="1762125" y="1200150"/>
          <a:ext cx="1106170" cy="606425"/>
        </a:xfrm>
        <a:prstGeom prst="rect">
          <a:avLst/>
        </a:prstGeom>
      </cdr:spPr>
    </cdr:pic>
  </cdr:relSizeAnchor>
  <cdr:relSizeAnchor xmlns:cdr="http://schemas.openxmlformats.org/drawingml/2006/chartDrawing">
    <cdr:from>
      <cdr:x>0.0243055555555556</cdr:x>
      <cdr:y>0.108796296296296</cdr:y>
    </cdr:from>
    <cdr:to>
      <cdr:x>0.147222222222222</cdr:x>
      <cdr:y>0.219907407407407</cdr:y>
    </cdr:to>
    <cdr:sp>
      <cdr:nvSpPr>
        <cdr:cNvPr id="3" name="矩形 2"/>
        <cdr:cNvSpPr/>
      </cdr:nvSpPr>
      <cdr:spPr xmlns:a="http://schemas.openxmlformats.org/drawingml/2006/main">
        <a:xfrm xmlns:a="http://schemas.openxmlformats.org/drawingml/2006/main">
          <a:off x="111125" y="298450"/>
          <a:ext cx="561975" cy="30480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p>
          <a:r>
            <a:rPr lang="zh-CN" altLang="en-US" sz="1000" b="1">
              <a:solidFill>
                <a:sysClr val="windowText" lastClr="000000"/>
              </a:solidFill>
            </a:rPr>
            <a:t>元</a:t>
          </a:r>
          <a:r>
            <a:rPr lang="en-US" altLang="zh-CN" sz="1000" b="1">
              <a:solidFill>
                <a:sysClr val="windowText" lastClr="000000"/>
              </a:solidFill>
            </a:rPr>
            <a:t>/</a:t>
          </a:r>
          <a:r>
            <a:rPr lang="zh-CN" altLang="en-US" sz="1000" b="1">
              <a:solidFill>
                <a:sysClr val="windowText" lastClr="000000"/>
              </a:solidFill>
            </a:rPr>
            <a:t>头</a:t>
          </a:r>
          <a:endParaRPr lang="zh-CN" altLang="en-US" sz="1000" b="1">
            <a:solidFill>
              <a:sysClr val="windowText" lastClr="000000"/>
            </a:solidFill>
          </a:endParaRPr>
        </a:p>
      </cdr:txBody>
    </cdr:sp>
  </cdr:relSizeAnchor>
</c:userShapes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247650</xdr:rowOff>
    </xdr:to>
    <xdr:pic>
      <xdr:nvPicPr>
        <xdr:cNvPr id="2" name="图片 1" descr="123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1171575" cy="247650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231</xdr:row>
      <xdr:rowOff>180975</xdr:rowOff>
    </xdr:from>
    <xdr:to>
      <xdr:col>9</xdr:col>
      <xdr:colOff>524510</xdr:colOff>
      <xdr:row>242</xdr:row>
      <xdr:rowOff>200025</xdr:rowOff>
    </xdr:to>
    <xdr:graphicFrame>
      <xdr:nvGraphicFramePr>
        <xdr:cNvPr id="4" name="图表 3"/>
        <xdr:cNvGraphicFramePr/>
      </xdr:nvGraphicFramePr>
      <xdr:xfrm>
        <a:off x="4516120" y="58854975"/>
        <a:ext cx="4572635" cy="281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66675</xdr:colOff>
      <xdr:row>242</xdr:row>
      <xdr:rowOff>209550</xdr:rowOff>
    </xdr:from>
    <xdr:to>
      <xdr:col>9</xdr:col>
      <xdr:colOff>530860</xdr:colOff>
      <xdr:row>253</xdr:row>
      <xdr:rowOff>158750</xdr:rowOff>
    </xdr:to>
    <xdr:graphicFrame>
      <xdr:nvGraphicFramePr>
        <xdr:cNvPr id="3" name="图表 2"/>
        <xdr:cNvGraphicFramePr/>
      </xdr:nvGraphicFramePr>
      <xdr:xfrm>
        <a:off x="4516120" y="61677550"/>
        <a:ext cx="457898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0.0319400083321761</cdr:x>
      <cdr:y>0.155324074074074</cdr:y>
    </cdr:from>
    <cdr:to>
      <cdr:x>0.167476739341758</cdr:x>
      <cdr:y>0.24212962962963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146050" y="426085"/>
          <a:ext cx="619760" cy="23812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p>
          <a:r>
            <a:rPr lang="zh-CN" altLang="en-US" sz="1000" b="1"/>
            <a:t>元</a:t>
          </a:r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/kg</a:t>
          </a:r>
          <a:endParaRPr lang="en-US" altLang="zh-CN" sz="1200" b="1">
            <a:latin typeface="宋体" panose="02010600030101010101" pitchFamily="7" charset="-122"/>
            <a:ea typeface="宋体" panose="02010600030101010101" pitchFamily="7" charset="-122"/>
          </a:endParaRPr>
        </a:p>
      </cdr:txBody>
    </cdr:sp>
  </cdr:relSizeAnchor>
  <cdr:relSizeAnchor xmlns:cdr="http://schemas.openxmlformats.org/drawingml/2006/chartDrawing">
    <cdr:from>
      <cdr:x>0.393695320094431</cdr:x>
      <cdr:y>0.392361111111111</cdr:y>
    </cdr:from>
    <cdr:to>
      <cdr:x>0.601305374253576</cdr:x>
      <cdr:y>0.582175925925926</cdr:y>
    </cdr:to>
    <cdr:pic xmlns:a="http://schemas.openxmlformats.org/drawingml/2006/main">
      <cdr:nvPicPr>
        <cdr:cNvPr id="3" name="图片 2"/>
        <cdr:cNvPicPr/>
      </cdr:nvPicPr>
      <cdr:blipFill>
        <a:blip xmlns:r="http://schemas.openxmlformats.org/officeDocument/2006/relationships" r:embed="rId1"/>
        <a:stretch>
          <a:fillRect/>
        </a:stretch>
      </cdr:blipFill>
      <cdr:spPr>
        <a:xfrm>
          <a:off x="1800225" y="1076325"/>
          <a:ext cx="949325" cy="520700"/>
        </a:xfrm>
        <a:prstGeom prst="rect">
          <a:avLst/>
        </a:prstGeom>
      </cdr:spPr>
    </cdr:pic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0.0312023297739565</cdr:x>
      <cdr:y>0.167220902612827</cdr:y>
    </cdr:from>
    <cdr:to>
      <cdr:x>0.176951879073637</cdr:x>
      <cdr:y>0.252731591448931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142875" y="447040"/>
          <a:ext cx="667385" cy="22860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p>
          <a:r>
            <a:rPr lang="zh-CN" altLang="en-US" sz="1000" b="1"/>
            <a:t>元</a:t>
          </a:r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/kg</a:t>
          </a:r>
          <a:endParaRPr lang="en-US" altLang="zh-CN" sz="1200" b="1">
            <a:latin typeface="宋体" panose="02010600030101010101" pitchFamily="7" charset="-122"/>
            <a:ea typeface="宋体" panose="02010600030101010101" pitchFamily="7" charset="-122"/>
          </a:endParaRPr>
        </a:p>
      </cdr:txBody>
    </cdr:sp>
  </cdr:relSizeAnchor>
  <cdr:relSizeAnchor xmlns:cdr="http://schemas.openxmlformats.org/drawingml/2006/chartDrawing">
    <cdr:from>
      <cdr:x>0.399389821106643</cdr:x>
      <cdr:y>0.374109263657957</cdr:y>
    </cdr:from>
    <cdr:to>
      <cdr:x>0.614339203993898</cdr:x>
      <cdr:y>0.576009501187648</cdr:y>
    </cdr:to>
    <cdr:pic xmlns:a="http://schemas.openxmlformats.org/drawingml/2006/main">
      <cdr:nvPicPr>
        <cdr:cNvPr id="3" name="图片 2"/>
        <cdr:cNvPicPr/>
      </cdr:nvPicPr>
      <cdr:blipFill>
        <a:blip xmlns:r="http://schemas.openxmlformats.org/officeDocument/2006/relationships" r:embed="rId1"/>
        <a:stretch>
          <a:fillRect/>
        </a:stretch>
      </cdr:blipFill>
      <cdr:spPr>
        <a:xfrm>
          <a:off x="1828800" y="1000125"/>
          <a:ext cx="984250" cy="539750"/>
        </a:xfrm>
        <a:prstGeom prst="rect">
          <a:avLst/>
        </a:prstGeom>
      </cdr:spPr>
    </cdr:pic>
  </cdr:relSizeAnchor>
</c:userShapes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758825</xdr:colOff>
      <xdr:row>256</xdr:row>
      <xdr:rowOff>239395</xdr:rowOff>
    </xdr:from>
    <xdr:to>
      <xdr:col>8</xdr:col>
      <xdr:colOff>330200</xdr:colOff>
      <xdr:row>268</xdr:row>
      <xdr:rowOff>4445</xdr:rowOff>
    </xdr:to>
    <xdr:graphicFrame>
      <xdr:nvGraphicFramePr>
        <xdr:cNvPr id="2" name="图表 1"/>
        <xdr:cNvGraphicFramePr/>
      </xdr:nvGraphicFramePr>
      <xdr:xfrm>
        <a:off x="3576320" y="65517395"/>
        <a:ext cx="4572000" cy="281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635</xdr:rowOff>
    </xdr:from>
    <xdr:to>
      <xdr:col>1</xdr:col>
      <xdr:colOff>36195</xdr:colOff>
      <xdr:row>0</xdr:row>
      <xdr:rowOff>248285</xdr:rowOff>
    </xdr:to>
    <xdr:pic>
      <xdr:nvPicPr>
        <xdr:cNvPr id="3" name="图片 2" descr="123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635"/>
          <a:ext cx="1122680" cy="247650"/>
        </a:xfrm>
        <a:prstGeom prst="rect">
          <a:avLst/>
        </a:prstGeom>
      </xdr:spPr>
    </xdr:pic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0.0218703703703703</cdr:x>
      <cdr:y>0.0373776578788006</cdr:y>
    </cdr:from>
    <cdr:to>
      <cdr:x>0.180203703703704</cdr:x>
      <cdr:y>0.11376654676769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99991" y="102772"/>
          <a:ext cx="723900" cy="21003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zh-CN" altLang="en-US" sz="1000" b="1"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元</a:t>
          </a:r>
          <a:r>
            <a:rPr lang="en-US" altLang="zh-CN" sz="1000" b="1"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/</a:t>
          </a:r>
          <a:r>
            <a:rPr lang="zh-CN" altLang="en-US" sz="1000" b="1"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斤</a:t>
          </a:r>
          <a:endParaRPr lang="zh-CN" altLang="en-US" sz="1000" b="1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cdr:txBody>
    </cdr:sp>
  </cdr:relSizeAnchor>
  <cdr:relSizeAnchor xmlns:cdr="http://schemas.openxmlformats.org/drawingml/2006/chartDrawing">
    <cdr:from>
      <cdr:x>0.38125</cdr:x>
      <cdr:y>0.395833333333333</cdr:y>
    </cdr:from>
    <cdr:to>
      <cdr:x>0.615833333333333</cdr:x>
      <cdr:y>0.610185185185185</cdr:y>
    </cdr:to>
    <cdr:pic xmlns:a="http://schemas.openxmlformats.org/drawingml/2006/main">
      <cdr:nvPicPr>
        <cdr:cNvPr id="3" name="图片 2"/>
        <cdr:cNvPicPr/>
      </cdr:nvPicPr>
      <cdr:blipFill>
        <a:blip xmlns:r="http://schemas.openxmlformats.org/officeDocument/2006/relationships" r:embed="rId1"/>
        <a:stretch>
          <a:fillRect/>
        </a:stretch>
      </cdr:blipFill>
      <cdr:spPr>
        <a:xfrm>
          <a:off x="1743075" y="1085850"/>
          <a:ext cx="1072515" cy="588010"/>
        </a:xfrm>
        <a:prstGeom prst="rect">
          <a:avLst/>
        </a:prstGeom>
      </cdr:spPr>
    </cdr:pic>
  </cdr:relSizeAnchor>
</c:userShapes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92075</xdr:colOff>
      <xdr:row>160</xdr:row>
      <xdr:rowOff>98425</xdr:rowOff>
    </xdr:from>
    <xdr:to>
      <xdr:col>9</xdr:col>
      <xdr:colOff>568960</xdr:colOff>
      <xdr:row>171</xdr:row>
      <xdr:rowOff>225425</xdr:rowOff>
    </xdr:to>
    <xdr:graphicFrame>
      <xdr:nvGraphicFramePr>
        <xdr:cNvPr id="2" name="图表 1"/>
        <xdr:cNvGraphicFramePr/>
      </xdr:nvGraphicFramePr>
      <xdr:xfrm>
        <a:off x="3542030" y="38706425"/>
        <a:ext cx="4575810" cy="2781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0.0237938596491228</cdr:x>
      <cdr:y>0.137803468208092</cdr:y>
    </cdr:from>
    <cdr:to>
      <cdr:x>0.144057017543859</cdr:x>
      <cdr:y>0.214104046242775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108786" y="378460"/>
          <a:ext cx="549843" cy="20955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zh-CN" altLang="en-US" sz="1000" b="1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元</a:t>
          </a:r>
          <a:r>
            <a:rPr lang="en-US" altLang="zh-CN" sz="1000" b="1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/</a:t>
          </a:r>
          <a:r>
            <a:rPr lang="zh-CN" altLang="en-US" sz="1000" b="1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斤</a:t>
          </a:r>
          <a:endParaRPr lang="zh-CN" altLang="en-US" sz="1000" b="1">
            <a:solidFill>
              <a:sysClr val="windowText" lastClr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cdr:txBody>
    </cdr:sp>
  </cdr:relSizeAnchor>
</c:userShapes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121285</xdr:colOff>
      <xdr:row>0</xdr:row>
      <xdr:rowOff>247650</xdr:rowOff>
    </xdr:to>
    <xdr:pic>
      <xdr:nvPicPr>
        <xdr:cNvPr id="3" name="图片 2" descr="123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1121410" cy="247650"/>
        </a:xfrm>
        <a:prstGeom prst="rect">
          <a:avLst/>
        </a:prstGeom>
      </xdr:spPr>
    </xdr:pic>
    <xdr:clientData/>
  </xdr:twoCellAnchor>
  <xdr:twoCellAnchor>
    <xdr:from>
      <xdr:col>2</xdr:col>
      <xdr:colOff>306070</xdr:colOff>
      <xdr:row>293</xdr:row>
      <xdr:rowOff>252730</xdr:rowOff>
    </xdr:from>
    <xdr:to>
      <xdr:col>6</xdr:col>
      <xdr:colOff>877570</xdr:colOff>
      <xdr:row>305</xdr:row>
      <xdr:rowOff>17780</xdr:rowOff>
    </xdr:to>
    <xdr:graphicFrame>
      <xdr:nvGraphicFramePr>
        <xdr:cNvPr id="5" name="图表 4"/>
        <xdr:cNvGraphicFramePr/>
      </xdr:nvGraphicFramePr>
      <xdr:xfrm>
        <a:off x="2306320" y="74928730"/>
        <a:ext cx="4572000" cy="281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890270</xdr:colOff>
      <xdr:row>293</xdr:row>
      <xdr:rowOff>252730</xdr:rowOff>
    </xdr:from>
    <xdr:to>
      <xdr:col>11</xdr:col>
      <xdr:colOff>461645</xdr:colOff>
      <xdr:row>305</xdr:row>
      <xdr:rowOff>17780</xdr:rowOff>
    </xdr:to>
    <xdr:graphicFrame>
      <xdr:nvGraphicFramePr>
        <xdr:cNvPr id="2" name="图表 1"/>
        <xdr:cNvGraphicFramePr/>
      </xdr:nvGraphicFramePr>
      <xdr:xfrm>
        <a:off x="6891020" y="74928730"/>
        <a:ext cx="4572000" cy="281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0.406514657980456</cdr:x>
      <cdr:y>0.374109263657957</cdr:y>
    </cdr:from>
    <cdr:to>
      <cdr:x>0.58371335504886</cdr:x>
      <cdr:y>0.551306413301663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/>
        <a:stretch>
          <a:fillRect/>
        </a:stretch>
      </cdr:blipFill>
      <cdr:spPr>
        <a:xfrm>
          <a:off x="1981200" y="1000125"/>
          <a:ext cx="863600" cy="473710"/>
        </a:xfrm>
        <a:prstGeom prst="rect">
          <a:avLst/>
        </a:prstGeom>
      </cdr:spPr>
    </cdr:pic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0.395296117880419</cdr:x>
      <cdr:y>0.391923990498812</cdr:y>
    </cdr:from>
    <cdr:to>
      <cdr:x>0.61490507225843</cdr:x>
      <cdr:y>0.593824228028504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/>
        <a:stretch>
          <a:fillRect/>
        </a:stretch>
      </cdr:blipFill>
      <cdr:spPr>
        <a:xfrm>
          <a:off x="1771650" y="1047750"/>
          <a:ext cx="984250" cy="539750"/>
        </a:xfrm>
        <a:prstGeom prst="rect">
          <a:avLst/>
        </a:prstGeom>
      </cdr:spPr>
    </cdr:pic>
  </cdr:relSizeAnchor>
</c:userShapes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121285</xdr:colOff>
      <xdr:row>0</xdr:row>
      <xdr:rowOff>247650</xdr:rowOff>
    </xdr:to>
    <xdr:pic>
      <xdr:nvPicPr>
        <xdr:cNvPr id="3" name="图片 2" descr="123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1121410" cy="247650"/>
        </a:xfrm>
        <a:prstGeom prst="rect">
          <a:avLst/>
        </a:prstGeom>
      </xdr:spPr>
    </xdr:pic>
    <xdr:clientData/>
  </xdr:twoCellAnchor>
  <xdr:twoCellAnchor>
    <xdr:from>
      <xdr:col>6</xdr:col>
      <xdr:colOff>796925</xdr:colOff>
      <xdr:row>397</xdr:row>
      <xdr:rowOff>238125</xdr:rowOff>
    </xdr:from>
    <xdr:to>
      <xdr:col>11</xdr:col>
      <xdr:colOff>368300</xdr:colOff>
      <xdr:row>409</xdr:row>
      <xdr:rowOff>3175</xdr:rowOff>
    </xdr:to>
    <xdr:graphicFrame>
      <xdr:nvGraphicFramePr>
        <xdr:cNvPr id="4" name="图表 3"/>
        <xdr:cNvGraphicFramePr/>
      </xdr:nvGraphicFramePr>
      <xdr:xfrm>
        <a:off x="6797675" y="101203125"/>
        <a:ext cx="4572000" cy="281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219710</xdr:colOff>
      <xdr:row>397</xdr:row>
      <xdr:rowOff>238760</xdr:rowOff>
    </xdr:from>
    <xdr:to>
      <xdr:col>6</xdr:col>
      <xdr:colOff>791210</xdr:colOff>
      <xdr:row>409</xdr:row>
      <xdr:rowOff>3810</xdr:rowOff>
    </xdr:to>
    <xdr:graphicFrame>
      <xdr:nvGraphicFramePr>
        <xdr:cNvPr id="6" name="图表 5"/>
        <xdr:cNvGraphicFramePr/>
      </xdr:nvGraphicFramePr>
      <xdr:xfrm>
        <a:off x="2219960" y="101203760"/>
        <a:ext cx="4572000" cy="281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0.409468548068047</cdr:x>
      <cdr:y>0.370546318289786</cdr:y>
    </cdr:from>
    <cdr:to>
      <cdr:x>0.599498879071608</cdr:x>
      <cdr:y>0.558194774346793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/>
        <a:stretch>
          <a:fillRect/>
        </a:stretch>
      </cdr:blipFill>
      <cdr:spPr>
        <a:xfrm>
          <a:off x="1971675" y="990600"/>
          <a:ext cx="915035" cy="501650"/>
        </a:xfrm>
        <a:prstGeom prst="rect">
          <a:avLst/>
        </a:prstGeom>
      </cdr:spPr>
    </cdr:pic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0.399578003428722</cdr:x>
      <cdr:y>0.391923990498812</cdr:y>
    </cdr:from>
    <cdr:to>
      <cdr:x>0.603982592641435</cdr:x>
      <cdr:y>0.593824228028504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/>
        <a:stretch>
          <a:fillRect/>
        </a:stretch>
      </cdr:blipFill>
      <cdr:spPr>
        <a:xfrm>
          <a:off x="1924050" y="1047750"/>
          <a:ext cx="984250" cy="539750"/>
        </a:xfrm>
        <a:prstGeom prst="rect">
          <a:avLst/>
        </a:prstGeom>
      </cdr:spPr>
    </cdr:pic>
  </cdr:relSizeAnchor>
</c:userShapes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76200</xdr:rowOff>
    </xdr:to>
    <xdr:pic>
      <xdr:nvPicPr>
        <xdr:cNvPr id="2" name="图片 1" descr="123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1124585" cy="247650"/>
        </a:xfrm>
        <a:prstGeom prst="rect">
          <a:avLst/>
        </a:prstGeom>
      </xdr:spPr>
    </xdr:pic>
    <xdr:clientData/>
  </xdr:twoCellAnchor>
  <xdr:twoCellAnchor>
    <xdr:from>
      <xdr:col>2</xdr:col>
      <xdr:colOff>666750</xdr:colOff>
      <xdr:row>370</xdr:row>
      <xdr:rowOff>180975</xdr:rowOff>
    </xdr:from>
    <xdr:to>
      <xdr:col>10</xdr:col>
      <xdr:colOff>6350</xdr:colOff>
      <xdr:row>380</xdr:row>
      <xdr:rowOff>257175</xdr:rowOff>
    </xdr:to>
    <xdr:graphicFrame>
      <xdr:nvGraphicFramePr>
        <xdr:cNvPr id="3" name="图表 2"/>
        <xdr:cNvGraphicFramePr/>
      </xdr:nvGraphicFramePr>
      <xdr:xfrm>
        <a:off x="2705735" y="987647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0.0453947368421053</cdr:x>
      <cdr:y>0.0659722222222222</cdr:y>
    </cdr:from>
    <cdr:to>
      <cdr:x>0.205263157894737</cdr:x>
      <cdr:y>0.166666666666667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219075" y="180975"/>
          <a:ext cx="771525" cy="27622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p>
          <a:r>
            <a:rPr lang="zh-CN" altLang="en-US" sz="1000" b="1">
              <a:solidFill>
                <a:sysClr val="windowText" lastClr="000000"/>
              </a:solidFill>
            </a:rPr>
            <a:t>元</a:t>
          </a:r>
          <a:r>
            <a:rPr lang="en-US" altLang="zh-CN" sz="1000" b="1">
              <a:solidFill>
                <a:sysClr val="windowText" lastClr="000000"/>
              </a:solidFill>
            </a:rPr>
            <a:t>/</a:t>
          </a:r>
          <a:r>
            <a:rPr lang="zh-CN" altLang="en-US" sz="1000" b="1">
              <a:solidFill>
                <a:sysClr val="windowText" lastClr="000000"/>
              </a:solidFill>
            </a:rPr>
            <a:t>头</a:t>
          </a:r>
          <a:endParaRPr lang="zh-CN" altLang="en-US" sz="1000" b="1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0.400657894736842</cdr:x>
      <cdr:y>0.385416666666667</cdr:y>
    </cdr:from>
    <cdr:to>
      <cdr:x>0.593815789473684</cdr:x>
      <cdr:y>0.571759259259259</cdr:y>
    </cdr:to>
    <cdr:pic xmlns:a="http://schemas.openxmlformats.org/drawingml/2006/main">
      <cdr:nvPicPr>
        <cdr:cNvPr id="3" name="图片 2"/>
        <cdr:cNvPicPr/>
      </cdr:nvPicPr>
      <cdr:blipFill>
        <a:blip xmlns:r="http://schemas.openxmlformats.org/officeDocument/2006/relationships" r:embed="rId1"/>
        <a:stretch>
          <a:fillRect/>
        </a:stretch>
      </cdr:blipFill>
      <cdr:spPr>
        <a:xfrm>
          <a:off x="1933575" y="1057275"/>
          <a:ext cx="932180" cy="511175"/>
        </a:xfrm>
        <a:prstGeom prst="rect">
          <a:avLst/>
        </a:prstGeom>
      </cdr:spPr>
    </cdr:pic>
  </cdr:relSizeAnchor>
</c:userShapes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269875</xdr:colOff>
      <xdr:row>308</xdr:row>
      <xdr:rowOff>152400</xdr:rowOff>
    </xdr:from>
    <xdr:to>
      <xdr:col>8</xdr:col>
      <xdr:colOff>841375</xdr:colOff>
      <xdr:row>319</xdr:row>
      <xdr:rowOff>171450</xdr:rowOff>
    </xdr:to>
    <xdr:graphicFrame>
      <xdr:nvGraphicFramePr>
        <xdr:cNvPr id="2" name="图表 1"/>
        <xdr:cNvGraphicFramePr/>
      </xdr:nvGraphicFramePr>
      <xdr:xfrm>
        <a:off x="4565650" y="78511400"/>
        <a:ext cx="4572000" cy="281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121285</xdr:colOff>
      <xdr:row>0</xdr:row>
      <xdr:rowOff>247650</xdr:rowOff>
    </xdr:to>
    <xdr:pic>
      <xdr:nvPicPr>
        <xdr:cNvPr id="3" name="图片 2" descr="123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1121410" cy="247650"/>
        </a:xfrm>
        <a:prstGeom prst="rect">
          <a:avLst/>
        </a:prstGeom>
      </xdr:spPr>
    </xdr:pic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0.0234722222222222</cdr:x>
      <cdr:y>0.135648148148148</cdr:y>
    </cdr:from>
    <cdr:to>
      <cdr:x>0.144583333333333</cdr:x>
      <cdr:y>0.239583333333333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107315" y="372110"/>
          <a:ext cx="553720" cy="28511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zh-CN" altLang="en-US" sz="1000" b="1"/>
            <a:t>元</a:t>
          </a:r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/kg</a:t>
          </a:r>
          <a:endParaRPr lang="en-US" altLang="zh-CN" sz="1200" b="1">
            <a:latin typeface="宋体" panose="02010600030101010101" pitchFamily="7" charset="-122"/>
            <a:ea typeface="宋体" panose="02010600030101010101" pitchFamily="7" charset="-122"/>
          </a:endParaRPr>
        </a:p>
      </cdr:txBody>
    </cdr:sp>
  </cdr:relSizeAnchor>
  <cdr:relSizeAnchor xmlns:cdr="http://schemas.openxmlformats.org/drawingml/2006/chartDrawing">
    <cdr:from>
      <cdr:x>0.406735033259424</cdr:x>
      <cdr:y>0.404745608031029</cdr:y>
    </cdr:from>
    <cdr:to>
      <cdr:x>0.620842572062084</cdr:x>
      <cdr:y>0.597992242756103</cdr:y>
    </cdr:to>
    <cdr:pic xmlns:a="http://schemas.openxmlformats.org/drawingml/2006/main">
      <cdr:nvPicPr>
        <cdr:cNvPr id="3" name="图片 2"/>
        <cdr:cNvPicPr/>
      </cdr:nvPicPr>
      <cdr:blipFill>
        <a:blip xmlns:r="http://schemas.openxmlformats.org/officeDocument/2006/relationships" r:embed="rId1"/>
        <a:stretch>
          <a:fillRect/>
        </a:stretch>
      </cdr:blipFill>
      <cdr:spPr>
        <a:xfrm>
          <a:off x="1863725" y="1126490"/>
          <a:ext cx="981075" cy="537845"/>
        </a:xfrm>
        <a:prstGeom prst="rect">
          <a:avLst/>
        </a:prstGeom>
      </cdr:spPr>
    </cdr:pic>
  </cdr:relSizeAnchor>
  <cdr:relSizeAnchor xmlns:cdr="http://schemas.openxmlformats.org/drawingml/2006/chartDrawing">
    <cdr:from>
      <cdr:x>0.864305555555556</cdr:x>
      <cdr:y>0.13125</cdr:y>
    </cdr:from>
    <cdr:to>
      <cdr:x>1</cdr:x>
      <cdr:y>0.233101851851852</cdr:y>
    </cdr:to>
    <cdr:sp>
      <cdr:nvSpPr>
        <cdr:cNvPr id="4" name="矩形 3"/>
        <cdr:cNvSpPr/>
      </cdr:nvSpPr>
      <cdr:spPr xmlns:a="http://schemas.openxmlformats.org/drawingml/2006/main">
        <a:xfrm xmlns:a="http://schemas.openxmlformats.org/drawingml/2006/main">
          <a:off x="3951605" y="360045"/>
          <a:ext cx="620395" cy="27940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p>
          <a:r>
            <a:rPr lang="zh-CN" altLang="en-US" sz="1000" b="1"/>
            <a:t>元</a:t>
          </a:r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/kg</a:t>
          </a:r>
          <a:endParaRPr lang="en-US" altLang="zh-CN" sz="1200" b="1">
            <a:latin typeface="宋体" panose="02010600030101010101" pitchFamily="7" charset="-122"/>
            <a:ea typeface="宋体" panose="02010600030101010101" pitchFamily="7" charset="-122"/>
          </a:endParaRPr>
        </a:p>
      </cdr:txBody>
    </cdr:sp>
  </cdr:relSizeAnchor>
</c:userShapes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983615</xdr:colOff>
      <xdr:row>396</xdr:row>
      <xdr:rowOff>52705</xdr:rowOff>
    </xdr:from>
    <xdr:to>
      <xdr:col>7</xdr:col>
      <xdr:colOff>554990</xdr:colOff>
      <xdr:row>407</xdr:row>
      <xdr:rowOff>71755</xdr:rowOff>
    </xdr:to>
    <xdr:graphicFrame>
      <xdr:nvGraphicFramePr>
        <xdr:cNvPr id="2" name="图表 1"/>
        <xdr:cNvGraphicFramePr/>
      </xdr:nvGraphicFramePr>
      <xdr:xfrm>
        <a:off x="2983865" y="100763705"/>
        <a:ext cx="4572000" cy="281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121285</xdr:colOff>
      <xdr:row>0</xdr:row>
      <xdr:rowOff>247650</xdr:rowOff>
    </xdr:to>
    <xdr:pic>
      <xdr:nvPicPr>
        <xdr:cNvPr id="3" name="图片 2" descr="123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1121410" cy="247650"/>
        </a:xfrm>
        <a:prstGeom prst="rect">
          <a:avLst/>
        </a:prstGeom>
      </xdr:spPr>
    </xdr:pic>
    <xdr:clientData/>
  </xdr:twoCell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0.0361111111111111</cdr:x>
      <cdr:y>0.0717592592592593</cdr:y>
    </cdr:from>
    <cdr:to>
      <cdr:x>0.181944444444444</cdr:x>
      <cdr:y>0.162037037037037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165100" y="196850"/>
          <a:ext cx="666750" cy="24765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zh-CN" altLang="en-US" sz="1000" b="1">
              <a:solidFill>
                <a:sysClr val="windowText" lastClr="000000"/>
              </a:solidFill>
            </a:rPr>
            <a:t>元</a:t>
          </a:r>
          <a:r>
            <a:rPr lang="en-US" altLang="zh-CN" sz="1200" b="1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/</a:t>
          </a:r>
          <a:r>
            <a:rPr lang="en-US" sz="1200" b="1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kg</a:t>
          </a:r>
          <a:endParaRPr lang="en-US" sz="1200" b="1">
            <a:solidFill>
              <a:sysClr val="windowText" lastClr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cdr:txBody>
    </cdr:sp>
  </cdr:relSizeAnchor>
  <cdr:relSizeAnchor xmlns:cdr="http://schemas.openxmlformats.org/drawingml/2006/chartDrawing">
    <cdr:from>
      <cdr:x>0.395833333333333</cdr:x>
      <cdr:y>0.354166666666667</cdr:y>
    </cdr:from>
    <cdr:to>
      <cdr:x>0.599722222222222</cdr:x>
      <cdr:y>0.540509259259259</cdr:y>
    </cdr:to>
    <cdr:pic xmlns:a="http://schemas.openxmlformats.org/drawingml/2006/main">
      <cdr:nvPicPr>
        <cdr:cNvPr id="3" name="图片 2"/>
        <cdr:cNvPicPr/>
      </cdr:nvPicPr>
      <cdr:blipFill>
        <a:blip xmlns:r="http://schemas.openxmlformats.org/officeDocument/2006/relationships" r:embed="rId1"/>
        <a:stretch>
          <a:fillRect/>
        </a:stretch>
      </cdr:blipFill>
      <cdr:spPr>
        <a:xfrm>
          <a:off x="1809750" y="971550"/>
          <a:ext cx="932180" cy="511175"/>
        </a:xfrm>
        <a:prstGeom prst="rect">
          <a:avLst/>
        </a:prstGeom>
      </cdr:spPr>
    </cdr:pic>
  </cdr:relSizeAnchor>
</c:userShapes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121285</xdr:colOff>
      <xdr:row>0</xdr:row>
      <xdr:rowOff>247650</xdr:rowOff>
    </xdr:to>
    <xdr:pic>
      <xdr:nvPicPr>
        <xdr:cNvPr id="2" name="图片 1" descr="123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1121410" cy="247650"/>
        </a:xfrm>
        <a:prstGeom prst="rect">
          <a:avLst/>
        </a:prstGeom>
      </xdr:spPr>
    </xdr:pic>
    <xdr:clientData/>
  </xdr:twoCellAnchor>
  <xdr:twoCellAnchor>
    <xdr:from>
      <xdr:col>2</xdr:col>
      <xdr:colOff>390525</xdr:colOff>
      <xdr:row>23</xdr:row>
      <xdr:rowOff>66675</xdr:rowOff>
    </xdr:from>
    <xdr:to>
      <xdr:col>6</xdr:col>
      <xdr:colOff>962025</xdr:colOff>
      <xdr:row>34</xdr:row>
      <xdr:rowOff>85725</xdr:rowOff>
    </xdr:to>
    <xdr:graphicFrame>
      <xdr:nvGraphicFramePr>
        <xdr:cNvPr id="3" name="图表 2"/>
        <xdr:cNvGraphicFramePr/>
      </xdr:nvGraphicFramePr>
      <xdr:xfrm>
        <a:off x="2390775" y="5908675"/>
        <a:ext cx="4572000" cy="281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0.395833333333333</cdr:x>
      <cdr:y>0.399305555555556</cdr:y>
    </cdr:from>
    <cdr:to>
      <cdr:x>0.607361111111111</cdr:x>
      <cdr:y>0.592592592592593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/>
        <a:stretch>
          <a:fillRect/>
        </a:stretch>
      </cdr:blipFill>
      <cdr:spPr>
        <a:xfrm>
          <a:off x="1809750" y="1095375"/>
          <a:ext cx="967105" cy="530225"/>
        </a:xfrm>
        <a:prstGeom prst="rect">
          <a:avLst/>
        </a:prstGeom>
      </cdr:spPr>
    </cdr:pic>
  </cdr:relSizeAnchor>
  <cdr:relSizeAnchor xmlns:cdr="http://schemas.openxmlformats.org/drawingml/2006/chartDrawing">
    <cdr:from>
      <cdr:x>0</cdr:x>
      <cdr:y>0.193287037037037</cdr:y>
    </cdr:from>
    <cdr:to>
      <cdr:x>0.141527777777778</cdr:x>
      <cdr:y>0.290509259259259</cdr:y>
    </cdr:to>
    <cdr:sp>
      <cdr:nvSpPr>
        <cdr:cNvPr id="3" name="矩形 2"/>
        <cdr:cNvSpPr/>
      </cdr:nvSpPr>
      <cdr:spPr xmlns:a="http://schemas.openxmlformats.org/drawingml/2006/main">
        <a:xfrm xmlns:a="http://schemas.openxmlformats.org/drawingml/2006/main">
          <a:off x="0" y="530225"/>
          <a:ext cx="647065" cy="26670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p>
          <a:r>
            <a:rPr lang="zh-CN" altLang="en-US" sz="1000" b="1"/>
            <a:t>元</a:t>
          </a:r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/kg</a:t>
          </a:r>
          <a:endParaRPr lang="en-US" altLang="zh-CN" sz="1200" b="1">
            <a:latin typeface="宋体" panose="02010600030101010101" pitchFamily="7" charset="-122"/>
            <a:ea typeface="宋体" panose="02010600030101010101" pitchFamily="7" charset="-122"/>
          </a:endParaRPr>
        </a:p>
      </cdr:txBody>
    </cdr:sp>
  </cdr:relSizeAnchor>
</c:userShapes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15875</xdr:colOff>
      <xdr:row>2</xdr:row>
      <xdr:rowOff>147955</xdr:rowOff>
    </xdr:from>
    <xdr:to>
      <xdr:col>17</xdr:col>
      <xdr:colOff>473075</xdr:colOff>
      <xdr:row>13</xdr:row>
      <xdr:rowOff>167005</xdr:rowOff>
    </xdr:to>
    <xdr:graphicFrame>
      <xdr:nvGraphicFramePr>
        <xdr:cNvPr id="2" name="图表 1"/>
        <xdr:cNvGraphicFramePr/>
      </xdr:nvGraphicFramePr>
      <xdr:xfrm>
        <a:off x="9456420" y="655955"/>
        <a:ext cx="4572000" cy="281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435610</xdr:colOff>
      <xdr:row>0</xdr:row>
      <xdr:rowOff>247650</xdr:rowOff>
    </xdr:to>
    <xdr:pic>
      <xdr:nvPicPr>
        <xdr:cNvPr id="3" name="图片 2" descr="123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1121410" cy="247650"/>
        </a:xfrm>
        <a:prstGeom prst="rect">
          <a:avLst/>
        </a:prstGeom>
      </xdr:spPr>
    </xdr:pic>
    <xdr:clientData/>
  </xdr:two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0.408430422830213</cdr:x>
      <cdr:y>0.41566265060241</cdr:y>
    </cdr:from>
    <cdr:to>
      <cdr:x>0.590129598114936</cdr:x>
      <cdr:y>0.599036144578313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/>
        <a:stretch>
          <a:fillRect/>
        </a:stretch>
      </cdr:blipFill>
      <cdr:spPr>
        <a:xfrm>
          <a:off x="1981200" y="1095375"/>
          <a:ext cx="881380" cy="483235"/>
        </a:xfrm>
        <a:prstGeom prst="rect">
          <a:avLst/>
        </a:prstGeom>
      </cdr:spPr>
    </cdr:pic>
  </cdr:relSizeAnchor>
</c:userShapes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777875</xdr:colOff>
      <xdr:row>493</xdr:row>
      <xdr:rowOff>0</xdr:rowOff>
    </xdr:from>
    <xdr:to>
      <xdr:col>7</xdr:col>
      <xdr:colOff>349250</xdr:colOff>
      <xdr:row>504</xdr:row>
      <xdr:rowOff>19050</xdr:rowOff>
    </xdr:to>
    <xdr:graphicFrame>
      <xdr:nvGraphicFramePr>
        <xdr:cNvPr id="7" name="图表 6"/>
        <xdr:cNvGraphicFramePr/>
      </xdr:nvGraphicFramePr>
      <xdr:xfrm>
        <a:off x="2778125" y="125222000"/>
        <a:ext cx="4572000" cy="281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121285</xdr:colOff>
      <xdr:row>0</xdr:row>
      <xdr:rowOff>247650</xdr:rowOff>
    </xdr:to>
    <xdr:pic>
      <xdr:nvPicPr>
        <xdr:cNvPr id="2" name="图片 1" descr="123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1121410" cy="247650"/>
        </a:xfrm>
        <a:prstGeom prst="rect">
          <a:avLst/>
        </a:prstGeom>
      </xdr:spPr>
    </xdr:pic>
    <xdr:clientData/>
  </xdr:twoCell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0.3875</cdr:x>
      <cdr:y>0.375</cdr:y>
    </cdr:from>
    <cdr:to>
      <cdr:x>0.618194444444444</cdr:x>
      <cdr:y>0.58587962962963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/>
        <a:stretch>
          <a:fillRect/>
        </a:stretch>
      </cdr:blipFill>
      <cdr:spPr>
        <a:xfrm>
          <a:off x="1771650" y="1028700"/>
          <a:ext cx="1054735" cy="578485"/>
        </a:xfrm>
        <a:prstGeom prst="rect">
          <a:avLst/>
        </a:prstGeom>
      </cdr:spPr>
    </cdr:pic>
  </cdr:relSizeAnchor>
</c:userShapes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762000</xdr:colOff>
      <xdr:row>28</xdr:row>
      <xdr:rowOff>79375</xdr:rowOff>
    </xdr:from>
    <xdr:to>
      <xdr:col>16</xdr:col>
      <xdr:colOff>333375</xdr:colOff>
      <xdr:row>39</xdr:row>
      <xdr:rowOff>98425</xdr:rowOff>
    </xdr:to>
    <xdr:graphicFrame>
      <xdr:nvGraphicFramePr>
        <xdr:cNvPr id="2" name="图表 1"/>
        <xdr:cNvGraphicFramePr/>
      </xdr:nvGraphicFramePr>
      <xdr:xfrm>
        <a:off x="11763375" y="7318375"/>
        <a:ext cx="4572000" cy="281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241300</xdr:colOff>
      <xdr:row>28</xdr:row>
      <xdr:rowOff>60325</xdr:rowOff>
    </xdr:from>
    <xdr:to>
      <xdr:col>25</xdr:col>
      <xdr:colOff>812800</xdr:colOff>
      <xdr:row>39</xdr:row>
      <xdr:rowOff>79375</xdr:rowOff>
    </xdr:to>
    <xdr:graphicFrame>
      <xdr:nvGraphicFramePr>
        <xdr:cNvPr id="6" name="图表 5"/>
        <xdr:cNvGraphicFramePr/>
      </xdr:nvGraphicFramePr>
      <xdr:xfrm>
        <a:off x="21243925" y="7299325"/>
        <a:ext cx="4572000" cy="281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955675</xdr:colOff>
      <xdr:row>31</xdr:row>
      <xdr:rowOff>250825</xdr:rowOff>
    </xdr:from>
    <xdr:to>
      <xdr:col>24</xdr:col>
      <xdr:colOff>10160</xdr:colOff>
      <xdr:row>34</xdr:row>
      <xdr:rowOff>81280</xdr:rowOff>
    </xdr:to>
    <xdr:pic>
      <xdr:nvPicPr>
        <xdr:cNvPr id="9" name="图片 8"/>
        <xdr:cNvPicPr/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8425" y="8251825"/>
          <a:ext cx="1054735" cy="5924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121285</xdr:colOff>
      <xdr:row>0</xdr:row>
      <xdr:rowOff>247650</xdr:rowOff>
    </xdr:to>
    <xdr:pic>
      <xdr:nvPicPr>
        <xdr:cNvPr id="12" name="图片 11" descr="123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121410" cy="247650"/>
        </a:xfrm>
        <a:prstGeom prst="rect">
          <a:avLst/>
        </a:prstGeom>
      </xdr:spPr>
    </xdr:pic>
    <xdr:clientData/>
  </xdr:twoCellAnchor>
  <xdr:twoCellAnchor>
    <xdr:from>
      <xdr:col>1</xdr:col>
      <xdr:colOff>739775</xdr:colOff>
      <xdr:row>26</xdr:row>
      <xdr:rowOff>53975</xdr:rowOff>
    </xdr:from>
    <xdr:to>
      <xdr:col>6</xdr:col>
      <xdr:colOff>565150</xdr:colOff>
      <xdr:row>37</xdr:row>
      <xdr:rowOff>73025</xdr:rowOff>
    </xdr:to>
    <xdr:graphicFrame>
      <xdr:nvGraphicFramePr>
        <xdr:cNvPr id="5" name="图表 4"/>
        <xdr:cNvGraphicFramePr/>
      </xdr:nvGraphicFramePr>
      <xdr:xfrm>
        <a:off x="1739900" y="6784975"/>
        <a:ext cx="4826000" cy="281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0.394736842105263</cdr:x>
      <cdr:y>0.395833333333333</cdr:y>
    </cdr:from>
    <cdr:to>
      <cdr:x>0.613026315789474</cdr:x>
      <cdr:y>0.606481481481482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/>
        <a:stretch>
          <a:fillRect/>
        </a:stretch>
      </cdr:blipFill>
      <cdr:spPr>
        <a:xfrm>
          <a:off x="1905000" y="1085850"/>
          <a:ext cx="1053465" cy="577850"/>
        </a:xfrm>
        <a:prstGeom prst="rect">
          <a:avLst/>
        </a:prstGeom>
      </cdr:spPr>
    </cdr:pic>
  </cdr:relSizeAnchor>
</c:userShapes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539750</xdr:colOff>
      <xdr:row>186</xdr:row>
      <xdr:rowOff>31750</xdr:rowOff>
    </xdr:from>
    <xdr:to>
      <xdr:col>9</xdr:col>
      <xdr:colOff>201295</xdr:colOff>
      <xdr:row>197</xdr:row>
      <xdr:rowOff>50800</xdr:rowOff>
    </xdr:to>
    <xdr:graphicFrame>
      <xdr:nvGraphicFramePr>
        <xdr:cNvPr id="2" name="图表 1"/>
        <xdr:cNvGraphicFramePr/>
      </xdr:nvGraphicFramePr>
      <xdr:xfrm>
        <a:off x="3740150" y="47275750"/>
        <a:ext cx="4824730" cy="281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247650</xdr:rowOff>
    </xdr:to>
    <xdr:pic>
      <xdr:nvPicPr>
        <xdr:cNvPr id="3" name="图片 2" descr="123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1209675" cy="247650"/>
        </a:xfrm>
        <a:prstGeom prst="rect">
          <a:avLst/>
        </a:prstGeom>
      </xdr:spPr>
    </xdr:pic>
    <xdr:clientData/>
  </xdr:twoCell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0.0275600383192195</cdr:x>
      <cdr:y>0.0627873923584985</cdr:y>
    </cdr:from>
    <cdr:to>
      <cdr:x>0.162976704985886</cdr:x>
      <cdr:y>0.187787392358498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132952" y="172238"/>
          <a:ext cx="653263" cy="34290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p>
          <a:r>
            <a:rPr lang="zh-CN" altLang="en-US" sz="1000" b="1">
              <a:solidFill>
                <a:sysClr val="windowText" lastClr="000000"/>
              </a:solidFill>
            </a:rPr>
            <a:t>头</a:t>
          </a:r>
          <a:endParaRPr lang="en-US" altLang="zh-CN" sz="1000" b="1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0.391666666666667</cdr:x>
      <cdr:y>0.395833333333333</cdr:y>
    </cdr:from>
    <cdr:to>
      <cdr:x>0.614861111111111</cdr:x>
      <cdr:y>0.599768518518519</cdr:y>
    </cdr:to>
    <cdr:pic xmlns:a="http://schemas.openxmlformats.org/drawingml/2006/main">
      <cdr:nvPicPr>
        <cdr:cNvPr id="3" name="图片 2"/>
        <cdr:cNvPicPr/>
      </cdr:nvPicPr>
      <cdr:blipFill>
        <a:blip xmlns:r="http://schemas.openxmlformats.org/officeDocument/2006/relationships" r:embed="rId1"/>
        <a:stretch>
          <a:fillRect/>
        </a:stretch>
      </cdr:blipFill>
      <cdr:spPr>
        <a:xfrm>
          <a:off x="1790700" y="1085850"/>
          <a:ext cx="1020445" cy="559435"/>
        </a:xfrm>
        <a:prstGeom prst="rect">
          <a:avLst/>
        </a:prstGeom>
      </cdr:spPr>
    </cdr:pic>
  </cdr:relSizeAnchor>
</c:userShapes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121285</xdr:colOff>
      <xdr:row>0</xdr:row>
      <xdr:rowOff>247650</xdr:rowOff>
    </xdr:to>
    <xdr:pic>
      <xdr:nvPicPr>
        <xdr:cNvPr id="3" name="图片 2" descr="12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1121410" cy="24765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121285</xdr:colOff>
      <xdr:row>0</xdr:row>
      <xdr:rowOff>247650</xdr:rowOff>
    </xdr:to>
    <xdr:pic>
      <xdr:nvPicPr>
        <xdr:cNvPr id="3" name="图片 2" descr="12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1121410" cy="24765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133350</xdr:colOff>
      <xdr:row>1</xdr:row>
      <xdr:rowOff>3175</xdr:rowOff>
    </xdr:to>
    <xdr:pic>
      <xdr:nvPicPr>
        <xdr:cNvPr id="2" name="图片 1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1133475" cy="257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153</xdr:col>
      <xdr:colOff>614045</xdr:colOff>
      <xdr:row>13</xdr:row>
      <xdr:rowOff>86995</xdr:rowOff>
    </xdr:from>
    <xdr:to>
      <xdr:col>158</xdr:col>
      <xdr:colOff>185420</xdr:colOff>
      <xdr:row>24</xdr:row>
      <xdr:rowOff>99695</xdr:rowOff>
    </xdr:to>
    <xdr:graphicFrame>
      <xdr:nvGraphicFramePr>
        <xdr:cNvPr id="3" name="图表 2"/>
        <xdr:cNvGraphicFramePr/>
      </xdr:nvGraphicFramePr>
      <xdr:xfrm>
        <a:off x="153633170" y="3465195"/>
        <a:ext cx="4572000" cy="2806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133350</xdr:colOff>
      <xdr:row>1</xdr:row>
      <xdr:rowOff>3175</xdr:rowOff>
    </xdr:to>
    <xdr:pic>
      <xdr:nvPicPr>
        <xdr:cNvPr id="4" name="图片 3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1133475" cy="257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398145</xdr:colOff>
      <xdr:row>45</xdr:row>
      <xdr:rowOff>62230</xdr:rowOff>
    </xdr:from>
    <xdr:to>
      <xdr:col>6</xdr:col>
      <xdr:colOff>969645</xdr:colOff>
      <xdr:row>56</xdr:row>
      <xdr:rowOff>74930</xdr:rowOff>
    </xdr:to>
    <xdr:graphicFrame>
      <xdr:nvGraphicFramePr>
        <xdr:cNvPr id="5" name="图表 4"/>
        <xdr:cNvGraphicFramePr/>
      </xdr:nvGraphicFramePr>
      <xdr:xfrm>
        <a:off x="2398395" y="11568430"/>
        <a:ext cx="4572000" cy="2806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0.0361111111111111</cdr:x>
      <cdr:y>0.157772621809745</cdr:y>
    </cdr:from>
    <cdr:to>
      <cdr:x>0.140277777777778</cdr:x>
      <cdr:y>0.237819025522042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165100" y="431800"/>
          <a:ext cx="476250" cy="21907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zh-CN" altLang="en-US" sz="1000" b="1"/>
            <a:t>头</a:t>
          </a:r>
          <a:endParaRPr lang="zh-CN" altLang="en-US" sz="1000" b="1"/>
        </a:p>
      </cdr:txBody>
    </cdr:sp>
  </cdr:relSizeAnchor>
  <cdr:relSizeAnchor xmlns:cdr="http://schemas.openxmlformats.org/drawingml/2006/chartDrawing">
    <cdr:from>
      <cdr:x>0.391666666666667</cdr:x>
      <cdr:y>0.384526558891455</cdr:y>
    </cdr:from>
    <cdr:to>
      <cdr:x>0.614861111111111</cdr:x>
      <cdr:y>0.587990762124711</cdr:y>
    </cdr:to>
    <cdr:pic xmlns:a="http://schemas.openxmlformats.org/drawingml/2006/main">
      <cdr:nvPicPr>
        <cdr:cNvPr id="3" name="图片 2"/>
        <cdr:cNvPicPr/>
      </cdr:nvPicPr>
      <cdr:blipFill>
        <a:blip xmlns:r="http://schemas.openxmlformats.org/officeDocument/2006/relationships" r:embed="rId1"/>
        <a:stretch>
          <a:fillRect/>
        </a:stretch>
      </cdr:blipFill>
      <cdr:spPr>
        <a:xfrm>
          <a:off x="1790700" y="1057275"/>
          <a:ext cx="1020445" cy="559435"/>
        </a:xfrm>
        <a:prstGeom prst="rect">
          <a:avLst/>
        </a:prstGeom>
      </cdr:spPr>
    </cdr:pic>
  </cdr:relSizeAnchor>
</c:userShapes>
</file>

<file path=xl/drawings/drawing45.xml><?xml version="1.0" encoding="utf-8"?>
<c:userShapes xmlns:c="http://schemas.openxmlformats.org/drawingml/2006/chart">
  <cdr:relSizeAnchor xmlns:cdr="http://schemas.openxmlformats.org/drawingml/2006/chartDrawing">
    <cdr:from>
      <cdr:x>0.392061955469506</cdr:x>
      <cdr:y>0.384250474383302</cdr:y>
    </cdr:from>
    <cdr:to>
      <cdr:x>0.609874152952565</cdr:x>
      <cdr:y>0.589184060721063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/>
        <a:stretch>
          <a:fillRect/>
        </a:stretch>
      </cdr:blipFill>
      <cdr:spPr>
        <a:xfrm>
          <a:off x="1800225" y="1028700"/>
          <a:ext cx="1000125" cy="548640"/>
        </a:xfrm>
        <a:prstGeom prst="rect">
          <a:avLst/>
        </a:prstGeom>
      </cdr:spPr>
    </cdr:pic>
  </cdr:relSizeAnchor>
</c:userShapes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546100</xdr:colOff>
      <xdr:row>115</xdr:row>
      <xdr:rowOff>82550</xdr:rowOff>
    </xdr:from>
    <xdr:to>
      <xdr:col>7</xdr:col>
      <xdr:colOff>117475</xdr:colOff>
      <xdr:row>126</xdr:row>
      <xdr:rowOff>101600</xdr:rowOff>
    </xdr:to>
    <xdr:graphicFrame>
      <xdr:nvGraphicFramePr>
        <xdr:cNvPr id="2" name="图表 1"/>
        <xdr:cNvGraphicFramePr/>
      </xdr:nvGraphicFramePr>
      <xdr:xfrm>
        <a:off x="2546350" y="29419550"/>
        <a:ext cx="4572000" cy="281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133350</xdr:colOff>
      <xdr:row>1</xdr:row>
      <xdr:rowOff>3175</xdr:rowOff>
    </xdr:to>
    <xdr:pic>
      <xdr:nvPicPr>
        <xdr:cNvPr id="4" name="图片 3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1133475" cy="257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7.xml><?xml version="1.0" encoding="utf-8"?>
<c:userShapes xmlns:c="http://schemas.openxmlformats.org/drawingml/2006/chart">
  <cdr:relSizeAnchor xmlns:cdr="http://schemas.openxmlformats.org/drawingml/2006/chartDrawing">
    <cdr:from>
      <cdr:x>0.402083333333333</cdr:x>
      <cdr:y>0.350694444444444</cdr:y>
    </cdr:from>
    <cdr:to>
      <cdr:x>0.609722222222222</cdr:x>
      <cdr:y>0.540509259259259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/>
        <a:stretch>
          <a:fillRect/>
        </a:stretch>
      </cdr:blipFill>
      <cdr:spPr>
        <a:xfrm>
          <a:off x="1838325" y="962025"/>
          <a:ext cx="949325" cy="520700"/>
        </a:xfrm>
        <a:prstGeom prst="rect">
          <a:avLst/>
        </a:prstGeom>
      </cdr:spPr>
    </cdr:pic>
  </cdr:relSizeAnchor>
</c:userShapes>
</file>

<file path=xl/drawings/drawing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133350</xdr:colOff>
      <xdr:row>1</xdr:row>
      <xdr:rowOff>3175</xdr:rowOff>
    </xdr:to>
    <xdr:pic>
      <xdr:nvPicPr>
        <xdr:cNvPr id="3" name="图片 2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1133475" cy="257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233680</xdr:colOff>
      <xdr:row>61</xdr:row>
      <xdr:rowOff>165100</xdr:rowOff>
    </xdr:from>
    <xdr:to>
      <xdr:col>8</xdr:col>
      <xdr:colOff>805180</xdr:colOff>
      <xdr:row>72</xdr:row>
      <xdr:rowOff>177800</xdr:rowOff>
    </xdr:to>
    <xdr:graphicFrame>
      <xdr:nvGraphicFramePr>
        <xdr:cNvPr id="7" name="图表 6"/>
        <xdr:cNvGraphicFramePr/>
      </xdr:nvGraphicFramePr>
      <xdr:xfrm>
        <a:off x="4234180" y="15938500"/>
        <a:ext cx="4572000" cy="2806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.xml><?xml version="1.0" encoding="utf-8"?>
<c:userShapes xmlns:c="http://schemas.openxmlformats.org/drawingml/2006/chart">
  <cdr:relSizeAnchor xmlns:cdr="http://schemas.openxmlformats.org/drawingml/2006/chartDrawing">
    <cdr:from>
      <cdr:x>0.393075356415479</cdr:x>
      <cdr:y>0.392557022809124</cdr:y>
    </cdr:from>
    <cdr:to>
      <cdr:x>0.603530210454854</cdr:x>
      <cdr:y>0.596638655462185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/>
        <a:stretch>
          <a:fillRect/>
        </a:stretch>
      </cdr:blipFill>
      <cdr:spPr>
        <a:xfrm>
          <a:off x="1838325" y="1038225"/>
          <a:ext cx="984250" cy="539750"/>
        </a:xfrm>
        <a:prstGeom prst="rect">
          <a:avLst/>
        </a:prstGeom>
      </cdr:spPr>
    </cdr:pic>
  </cdr:relSizeAnchor>
</c:userShapes>
</file>

<file path=xl/drawings/drawing5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133985</xdr:colOff>
      <xdr:row>1</xdr:row>
      <xdr:rowOff>3175</xdr:rowOff>
    </xdr:to>
    <xdr:pic>
      <xdr:nvPicPr>
        <xdr:cNvPr id="3" name="图片 2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1133475" cy="257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194945</xdr:colOff>
      <xdr:row>61</xdr:row>
      <xdr:rowOff>19050</xdr:rowOff>
    </xdr:from>
    <xdr:to>
      <xdr:col>7</xdr:col>
      <xdr:colOff>766445</xdr:colOff>
      <xdr:row>72</xdr:row>
      <xdr:rowOff>44450</xdr:rowOff>
    </xdr:to>
    <xdr:graphicFrame>
      <xdr:nvGraphicFramePr>
        <xdr:cNvPr id="5" name="图表 4"/>
        <xdr:cNvGraphicFramePr/>
      </xdr:nvGraphicFramePr>
      <xdr:xfrm>
        <a:off x="3193415" y="15640050"/>
        <a:ext cx="4569460" cy="281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1.xml><?xml version="1.0" encoding="utf-8"?>
<c:userShapes xmlns:c="http://schemas.openxmlformats.org/drawingml/2006/chart">
  <cdr:relSizeAnchor xmlns:cdr="http://schemas.openxmlformats.org/drawingml/2006/chartDrawing">
    <cdr:from>
      <cdr:x>0.381181318681319</cdr:x>
      <cdr:y>0.388361045130641</cdr:y>
    </cdr:from>
    <cdr:to>
      <cdr:x>0.605631868131868</cdr:x>
      <cdr:y>0.601187648456057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/>
        <a:stretch>
          <a:fillRect/>
        </a:stretch>
      </cdr:blipFill>
      <cdr:spPr>
        <a:xfrm>
          <a:off x="1762125" y="1038225"/>
          <a:ext cx="1037590" cy="568960"/>
        </a:xfrm>
        <a:prstGeom prst="rect">
          <a:avLst/>
        </a:prstGeom>
      </cdr:spPr>
    </cdr:pic>
  </cdr:relSizeAnchor>
</c:userShapes>
</file>

<file path=xl/drawings/drawing5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133350</xdr:colOff>
      <xdr:row>1</xdr:row>
      <xdr:rowOff>3175</xdr:rowOff>
    </xdr:to>
    <xdr:pic>
      <xdr:nvPicPr>
        <xdr:cNvPr id="3" name="图片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1133475" cy="257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133350</xdr:colOff>
      <xdr:row>1</xdr:row>
      <xdr:rowOff>3175</xdr:rowOff>
    </xdr:to>
    <xdr:pic>
      <xdr:nvPicPr>
        <xdr:cNvPr id="3" name="图片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1133475" cy="257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133350</xdr:colOff>
      <xdr:row>1</xdr:row>
      <xdr:rowOff>3175</xdr:rowOff>
    </xdr:to>
    <xdr:pic>
      <xdr:nvPicPr>
        <xdr:cNvPr id="3" name="图片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1133475" cy="257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29845</xdr:colOff>
      <xdr:row>0</xdr:row>
      <xdr:rowOff>1270</xdr:rowOff>
    </xdr:from>
    <xdr:to>
      <xdr:col>1</xdr:col>
      <xdr:colOff>238760</xdr:colOff>
      <xdr:row>0</xdr:row>
      <xdr:rowOff>248285</xdr:rowOff>
    </xdr:to>
    <xdr:pic>
      <xdr:nvPicPr>
        <xdr:cNvPr id="2" name="图片 1" descr="123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9845" y="1270"/>
          <a:ext cx="1126490" cy="247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29845</xdr:colOff>
      <xdr:row>0</xdr:row>
      <xdr:rowOff>0</xdr:rowOff>
    </xdr:from>
    <xdr:to>
      <xdr:col>1</xdr:col>
      <xdr:colOff>238760</xdr:colOff>
      <xdr:row>0</xdr:row>
      <xdr:rowOff>247015</xdr:rowOff>
    </xdr:to>
    <xdr:pic>
      <xdr:nvPicPr>
        <xdr:cNvPr id="3" name="图片 2" descr="123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9845" y="0"/>
          <a:ext cx="1126490" cy="247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533400</xdr:colOff>
      <xdr:row>45</xdr:row>
      <xdr:rowOff>203200</xdr:rowOff>
    </xdr:from>
    <xdr:to>
      <xdr:col>5</xdr:col>
      <xdr:colOff>857250</xdr:colOff>
      <xdr:row>56</xdr:row>
      <xdr:rowOff>151130</xdr:rowOff>
    </xdr:to>
    <xdr:graphicFrame>
      <xdr:nvGraphicFramePr>
        <xdr:cNvPr id="4" name="图表 3"/>
        <xdr:cNvGraphicFramePr/>
      </xdr:nvGraphicFramePr>
      <xdr:xfrm>
        <a:off x="533400" y="11728450"/>
        <a:ext cx="5464810" cy="2755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381000</xdr:colOff>
      <xdr:row>49</xdr:row>
      <xdr:rowOff>196850</xdr:rowOff>
    </xdr:from>
    <xdr:to>
      <xdr:col>10</xdr:col>
      <xdr:colOff>765175</xdr:colOff>
      <xdr:row>60</xdr:row>
      <xdr:rowOff>146050</xdr:rowOff>
    </xdr:to>
    <xdr:graphicFrame>
      <xdr:nvGraphicFramePr>
        <xdr:cNvPr id="7" name="图表 6"/>
        <xdr:cNvGraphicFramePr/>
      </xdr:nvGraphicFramePr>
      <xdr:xfrm>
        <a:off x="6879590" y="12743180"/>
        <a:ext cx="5235575" cy="27571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1.xml"/><Relationship Id="rId1" Type="http://schemas.openxmlformats.org/officeDocument/2006/relationships/comments" Target="../comments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3.xml"/><Relationship Id="rId1" Type="http://schemas.openxmlformats.org/officeDocument/2006/relationships/comments" Target="../comments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U25"/>
  <sheetViews>
    <sheetView tabSelected="1" workbookViewId="0">
      <selection activeCell="F5" sqref="F5"/>
    </sheetView>
  </sheetViews>
  <sheetFormatPr defaultColWidth="9" defaultRowHeight="13.5"/>
  <cols>
    <col min="1" max="5" width="9" style="280"/>
    <col min="6" max="6" width="24.5083333333333" style="280" customWidth="1"/>
    <col min="7" max="10" width="9" style="280"/>
    <col min="11" max="11" width="21.125" style="280" customWidth="1"/>
    <col min="12" max="16384" width="9" style="280"/>
  </cols>
  <sheetData>
    <row r="3" ht="75" customHeight="1" spans="1:21">
      <c r="A3" s="281" t="s">
        <v>0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S3" s="281"/>
      <c r="T3" s="281"/>
      <c r="U3" s="281"/>
    </row>
    <row r="6" ht="30" customHeight="1" spans="1:21">
      <c r="E6" s="282"/>
      <c r="F6" s="283" t="s">
        <v>1</v>
      </c>
      <c r="G6" s="282"/>
      <c r="H6" s="282"/>
      <c r="I6" s="282"/>
      <c r="J6" s="282"/>
      <c r="K6" s="283" t="s">
        <v>2</v>
      </c>
      <c r="L6" s="282"/>
      <c r="M6" s="282"/>
      <c r="N6" s="282"/>
    </row>
    <row r="7" ht="30" customHeight="1" spans="1:21">
      <c r="E7" s="282"/>
      <c r="F7" s="283" t="s">
        <v>3</v>
      </c>
      <c r="G7" s="282"/>
      <c r="H7" s="282"/>
      <c r="I7" s="282"/>
      <c r="J7" s="282"/>
      <c r="K7" s="283" t="s">
        <v>4</v>
      </c>
      <c r="L7" s="282"/>
      <c r="M7" s="282"/>
      <c r="N7" s="282"/>
    </row>
    <row r="8" ht="30" customHeight="1" spans="1:21">
      <c r="E8" s="282"/>
      <c r="F8" s="283" t="s">
        <v>5</v>
      </c>
      <c r="G8" s="282"/>
      <c r="H8" s="282"/>
      <c r="I8" s="282"/>
      <c r="J8" s="282"/>
      <c r="K8" s="283" t="s">
        <v>6</v>
      </c>
      <c r="L8" s="282"/>
      <c r="M8" s="282"/>
      <c r="N8" s="282"/>
    </row>
    <row r="9" ht="30" customHeight="1" spans="1:21">
      <c r="E9" s="282"/>
      <c r="F9" s="283" t="s">
        <v>7</v>
      </c>
      <c r="G9" s="282"/>
      <c r="H9" s="282"/>
      <c r="I9" s="282"/>
      <c r="J9" s="282"/>
      <c r="K9" s="283" t="s">
        <v>8</v>
      </c>
      <c r="L9" s="282"/>
      <c r="M9" s="282"/>
      <c r="N9" s="282"/>
    </row>
    <row r="10" ht="30" customHeight="1" spans="1:21">
      <c r="E10" s="282"/>
      <c r="F10" s="283" t="s">
        <v>9</v>
      </c>
      <c r="G10" s="282"/>
      <c r="H10" s="282"/>
      <c r="I10" s="282"/>
      <c r="J10" s="282"/>
      <c r="K10" s="283" t="s">
        <v>10</v>
      </c>
      <c r="L10" s="282"/>
      <c r="M10" s="282"/>
      <c r="N10" s="282"/>
    </row>
    <row r="11" ht="30" customHeight="1" spans="1:21">
      <c r="E11" s="282"/>
      <c r="F11" s="283" t="s">
        <v>11</v>
      </c>
      <c r="G11" s="282"/>
      <c r="H11" s="282"/>
      <c r="I11" s="282"/>
      <c r="J11" s="282"/>
      <c r="K11" s="283" t="s">
        <v>12</v>
      </c>
      <c r="L11" s="282"/>
      <c r="M11" s="282"/>
      <c r="N11" s="282"/>
    </row>
    <row r="12" ht="30" customHeight="1" spans="1:21">
      <c r="E12" s="282"/>
      <c r="F12" s="283" t="s">
        <v>13</v>
      </c>
      <c r="G12" s="282"/>
      <c r="H12" s="282"/>
      <c r="I12" s="282"/>
      <c r="J12" s="282"/>
      <c r="K12" s="283" t="s">
        <v>14</v>
      </c>
      <c r="L12" s="282"/>
      <c r="M12" s="282"/>
      <c r="N12" s="282"/>
    </row>
    <row r="13" ht="30" customHeight="1" spans="1:21">
      <c r="E13" s="282"/>
      <c r="F13" s="283" t="s">
        <v>15</v>
      </c>
      <c r="G13" s="282"/>
      <c r="H13" s="282"/>
      <c r="I13" s="282"/>
      <c r="J13" s="282"/>
      <c r="K13" s="283" t="s">
        <v>16</v>
      </c>
      <c r="L13" s="282"/>
      <c r="M13" s="282"/>
      <c r="N13" s="282"/>
    </row>
    <row r="14" ht="30" customHeight="1" spans="1:21">
      <c r="E14" s="282"/>
      <c r="F14" s="283" t="s">
        <v>17</v>
      </c>
      <c r="G14" s="282"/>
      <c r="H14" s="282"/>
      <c r="I14" s="282"/>
      <c r="J14" s="282"/>
      <c r="K14" s="283" t="s">
        <v>18</v>
      </c>
      <c r="L14" s="282"/>
      <c r="M14" s="282"/>
      <c r="N14" s="282"/>
    </row>
    <row r="15" ht="30" customHeight="1" spans="1:21">
      <c r="E15" s="282"/>
      <c r="F15" s="283" t="s">
        <v>19</v>
      </c>
      <c r="G15" s="282"/>
      <c r="H15" s="282"/>
      <c r="I15" s="282"/>
      <c r="J15" s="282"/>
      <c r="K15" s="283" t="s">
        <v>20</v>
      </c>
      <c r="L15" s="282"/>
      <c r="M15" s="282"/>
      <c r="N15" s="282"/>
    </row>
    <row r="16" ht="30" customHeight="1" spans="1:21">
      <c r="E16" s="282"/>
      <c r="F16" s="283" t="s">
        <v>21</v>
      </c>
      <c r="G16" s="282"/>
      <c r="H16" s="282"/>
      <c r="I16" s="282"/>
      <c r="J16" s="282"/>
      <c r="K16" s="283" t="s">
        <v>22</v>
      </c>
      <c r="L16" s="283"/>
      <c r="M16" s="282"/>
      <c r="N16" s="282"/>
    </row>
    <row r="17" ht="30" customHeight="1" spans="5:14">
      <c r="E17" s="282"/>
      <c r="F17" s="283" t="s">
        <v>23</v>
      </c>
      <c r="G17" s="282"/>
      <c r="H17" s="282"/>
      <c r="I17" s="282"/>
      <c r="J17" s="282"/>
      <c r="K17" s="283" t="s">
        <v>24</v>
      </c>
      <c r="L17" s="283"/>
      <c r="M17" s="282"/>
      <c r="N17" s="282"/>
    </row>
    <row r="18" ht="30" customHeight="1" spans="5:14">
      <c r="E18" s="282"/>
      <c r="F18" s="283" t="s">
        <v>25</v>
      </c>
      <c r="G18" s="282"/>
      <c r="H18" s="282"/>
      <c r="I18" s="282"/>
      <c r="J18" s="282"/>
      <c r="L18" s="282"/>
      <c r="M18" s="282"/>
      <c r="N18" s="282"/>
    </row>
    <row r="19" ht="30" customHeight="1" spans="5:14">
      <c r="E19" s="282"/>
      <c r="F19" s="283" t="s">
        <v>26</v>
      </c>
      <c r="G19" s="282"/>
      <c r="H19" s="282"/>
      <c r="I19" s="282"/>
      <c r="J19" s="282"/>
      <c r="L19" s="282"/>
      <c r="M19" s="282"/>
      <c r="N19" s="282"/>
    </row>
    <row r="20" ht="30" customHeight="1" spans="5:14">
      <c r="E20" s="284"/>
      <c r="G20" s="284"/>
      <c r="H20" s="284"/>
    </row>
    <row r="21" ht="30" customHeight="1" spans="5:14">
      <c r="E21" s="284"/>
      <c r="G21" s="284"/>
      <c r="H21" s="284"/>
    </row>
    <row r="22" ht="30" customHeight="1" spans="5:14">
      <c r="E22" s="284"/>
      <c r="G22" s="284"/>
      <c r="H22" s="284"/>
    </row>
    <row r="23" ht="30" customHeight="1" spans="5:14">
      <c r="E23" s="284"/>
      <c r="G23" s="284"/>
      <c r="H23" s="284"/>
    </row>
    <row r="24" ht="30" customHeight="1" spans="5:14">
      <c r="E24" s="284"/>
      <c r="G24" s="284"/>
      <c r="H24" s="284"/>
    </row>
    <row r="25" ht="30" customHeight="1" spans="5:14">
      <c r="E25" s="284"/>
      <c r="G25" s="284"/>
      <c r="H25" s="284"/>
    </row>
  </sheetData>
  <mergeCells count="1">
    <mergeCell ref="A3:U3"/>
  </mergeCells>
  <hyperlinks>
    <hyperlink ref="F6" location="出栏价!A1" display="周度-商品猪出栏价"/>
    <hyperlink ref="F7" location="体重!A1" display="周度-体重"/>
    <hyperlink ref="F8" location="养殖利润!A1" display="周度-养殖利润最新"/>
    <hyperlink ref="F9" location="养殖成本预期、当期!A1" display="周度-当期、预期成本"/>
    <hyperlink ref="F10" location="毛白价差!A1" display="周度-毛白价差"/>
    <hyperlink ref="F11" location="二元母猪!A1" display="周度-50公斤二元母猪价格"/>
    <hyperlink ref="F12" location="'15公斤仔猪'!A1" display="周度-规模场15公斤仔猪出栏价"/>
    <hyperlink ref="F13" location="标肥价差!A1" display="标肥价差"/>
    <hyperlink ref="F15" location="冻品库存多样本!A1" display="冻品库存多样本"/>
    <hyperlink ref="F16" location="猪肉价!A1" display="猪肉价"/>
    <hyperlink ref="K7" location="日度屠宰量!A1" display="日度屠宰量"/>
    <hyperlink ref="K8" location="淘汰母猪宰杀量!A1" display="淘汰母猪宰杀量"/>
    <hyperlink ref="K9" location="开工率!A1" display="开工率"/>
    <hyperlink ref="K10" location="生产指标!A1" display="生产指标"/>
    <hyperlink ref="K11" location="能繁母猪!A1" display="能繁母猪"/>
    <hyperlink ref="K12" location="小猪!A1" display="小猪"/>
    <hyperlink ref="K13" location="大猪!A1" display="大猪"/>
    <hyperlink ref="K14" location="商品猪!A1" display="商品猪"/>
    <hyperlink ref="F17" location="二号鲜冻价!A1" display="二号鲜冻价"/>
    <hyperlink ref="F18" location="'周度口径屠宰量（2022.10.28）'!A1" display="周度口径屠宰量（2022.10.28）"/>
    <hyperlink ref="K15" location="冻品库存率季节性!A1" display="冻品库存率季节性"/>
    <hyperlink ref="K16" location="月度供应测算!A1" display="涌益样本测算（月度更新）"/>
    <hyperlink ref="K6" location="猪肉价季节性!A1" display="猪肉价季节性"/>
    <hyperlink ref="K17" location="猪肉月均价!A1" display="猪肉月均价"/>
    <hyperlink ref="F14" location="'150公斤标肥价差'!A1" display="150公斤标肥价差"/>
    <hyperlink ref="F19" location="'90kg与150kg大猪出栏占比'!A1" display="90kg与150kg大猪出栏占比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A457"/>
  <sheetViews>
    <sheetView workbookViewId="0">
      <pane ySplit="2" topLeftCell="A388" activePane="bottomLeft" state="frozen"/>
      <selection/>
      <selection pane="bottomLeft" activeCell="B416" sqref="B416"/>
    </sheetView>
  </sheetViews>
  <sheetFormatPr defaultColWidth="9" defaultRowHeight="20" customHeight="1"/>
  <cols>
    <col min="1" max="1" width="13.125" style="273" customWidth="1"/>
    <col min="2" max="2" width="13.125" style="274" customWidth="1"/>
    <col min="3" max="3" width="9" style="271"/>
    <col min="4" max="4" width="9.125" style="271"/>
    <col min="5" max="5" width="9.13333333333333" style="275" customWidth="1"/>
    <col min="6" max="12" width="9" style="271"/>
    <col min="13" max="13" width="13.7583333333333" style="271"/>
    <col min="14" max="14" width="9" style="271"/>
    <col min="15" max="15" width="13.7583333333333" style="271"/>
    <col min="16" max="19" width="9" style="271"/>
    <col min="20" max="20" width="9.125" style="271"/>
    <col min="21" max="16384" width="9" style="271"/>
  </cols>
  <sheetData>
    <row r="2" customFormat="1" customHeight="1" spans="1:12">
      <c r="A2" s="276" t="s">
        <v>27</v>
      </c>
      <c r="B2" s="240" t="s">
        <v>28</v>
      </c>
      <c r="D2" s="276" t="s">
        <v>29</v>
      </c>
      <c r="E2" s="240" t="s">
        <v>30</v>
      </c>
      <c r="F2" s="240" t="s">
        <v>31</v>
      </c>
      <c r="G2" s="240" t="s">
        <v>32</v>
      </c>
      <c r="H2" s="240" t="s">
        <v>33</v>
      </c>
      <c r="I2" s="240" t="s">
        <v>34</v>
      </c>
      <c r="J2" s="240" t="s">
        <v>35</v>
      </c>
      <c r="K2" s="240" t="s">
        <v>36</v>
      </c>
      <c r="L2" s="240" t="s">
        <v>37</v>
      </c>
    </row>
    <row r="3" s="268" customFormat="1" customHeight="1" spans="1:12">
      <c r="A3" s="158">
        <v>43307</v>
      </c>
      <c r="B3" s="142">
        <v>13.23</v>
      </c>
      <c r="D3" s="188">
        <v>43467</v>
      </c>
      <c r="E3" s="142">
        <v>12.53</v>
      </c>
      <c r="F3" s="142">
        <v>34.12</v>
      </c>
      <c r="G3" s="142">
        <v>36.73</v>
      </c>
      <c r="H3" s="142">
        <v>15.71</v>
      </c>
      <c r="I3" s="142">
        <v>15.47</v>
      </c>
      <c r="J3" s="142">
        <v>14.23</v>
      </c>
      <c r="K3" s="142">
        <v>15.8</v>
      </c>
      <c r="L3" s="142">
        <v>12.3</v>
      </c>
    </row>
    <row r="4" s="268" customFormat="1" customHeight="1" spans="1:12">
      <c r="A4" s="158">
        <v>43314</v>
      </c>
      <c r="B4" s="142">
        <v>13.53</v>
      </c>
      <c r="D4" s="188">
        <v>43474</v>
      </c>
      <c r="E4" s="142">
        <v>12.3</v>
      </c>
      <c r="F4" s="142">
        <v>36.13</v>
      </c>
      <c r="G4" s="142">
        <v>35.96</v>
      </c>
      <c r="H4" s="142">
        <v>14.34</v>
      </c>
      <c r="I4" s="142">
        <v>14.76</v>
      </c>
      <c r="J4" s="142">
        <v>13.81</v>
      </c>
      <c r="K4" s="142">
        <v>16.14</v>
      </c>
      <c r="L4" s="142">
        <v>12.49</v>
      </c>
    </row>
    <row r="5" s="268" customFormat="1" customHeight="1" spans="1:12">
      <c r="A5" s="158">
        <v>43321</v>
      </c>
      <c r="B5" s="142">
        <v>14.01</v>
      </c>
      <c r="D5" s="188">
        <v>43481</v>
      </c>
      <c r="E5" s="142">
        <v>11.67</v>
      </c>
      <c r="F5" s="142">
        <v>36.42</v>
      </c>
      <c r="G5" s="142">
        <v>35.87</v>
      </c>
      <c r="H5" s="142">
        <v>14.02</v>
      </c>
      <c r="I5" s="142">
        <v>14.28</v>
      </c>
      <c r="J5" s="142">
        <v>13.69</v>
      </c>
      <c r="K5" s="142">
        <v>15.73</v>
      </c>
      <c r="L5" s="142">
        <v>12.69</v>
      </c>
    </row>
    <row r="6" s="268" customFormat="1" customHeight="1" spans="1:12">
      <c r="A6" s="158">
        <v>43328</v>
      </c>
      <c r="B6" s="142">
        <v>14.22</v>
      </c>
      <c r="D6" s="188">
        <v>43488</v>
      </c>
      <c r="E6" s="142">
        <v>10.7</v>
      </c>
      <c r="F6" s="142">
        <v>37.36</v>
      </c>
      <c r="G6" s="142">
        <v>34.07</v>
      </c>
      <c r="H6" s="142">
        <v>14.07</v>
      </c>
      <c r="I6" s="197">
        <v>14.07</v>
      </c>
      <c r="J6" s="142">
        <v>14.27</v>
      </c>
      <c r="K6" s="142">
        <v>15.4</v>
      </c>
      <c r="L6" s="142">
        <v>13.06</v>
      </c>
    </row>
    <row r="7" s="268" customFormat="1" customHeight="1" spans="1:12">
      <c r="A7" s="158">
        <v>43335</v>
      </c>
      <c r="B7" s="142">
        <v>13.81</v>
      </c>
      <c r="D7" s="182">
        <v>43494</v>
      </c>
      <c r="E7" s="142">
        <v>10.86</v>
      </c>
      <c r="F7" s="142">
        <v>38.71</v>
      </c>
      <c r="G7" s="142">
        <v>32.25</v>
      </c>
      <c r="H7" s="142">
        <v>13.34</v>
      </c>
      <c r="I7" s="197">
        <v>14.59</v>
      </c>
      <c r="J7" s="142">
        <v>15.6</v>
      </c>
      <c r="K7" s="142">
        <v>15.62</v>
      </c>
      <c r="L7" s="142">
        <v>12.84</v>
      </c>
    </row>
    <row r="8" s="268" customFormat="1" customHeight="1" spans="1:12">
      <c r="A8" s="158">
        <v>43342</v>
      </c>
      <c r="B8" s="142">
        <v>13.63</v>
      </c>
      <c r="D8" s="182">
        <v>43501</v>
      </c>
      <c r="E8" s="142">
        <v>11.84</v>
      </c>
      <c r="F8" s="142">
        <v>38.74</v>
      </c>
      <c r="G8" s="142">
        <v>29.88</v>
      </c>
      <c r="H8" s="142">
        <v>12.25</v>
      </c>
      <c r="I8" s="197">
        <v>15.49</v>
      </c>
      <c r="J8" s="277"/>
      <c r="K8" s="142">
        <v>14.61</v>
      </c>
      <c r="L8" s="142">
        <v>12.3</v>
      </c>
    </row>
    <row r="9" s="268" customFormat="1" customHeight="1" spans="1:12">
      <c r="A9" s="158">
        <v>43349</v>
      </c>
      <c r="B9" s="142">
        <v>14.07</v>
      </c>
      <c r="D9" s="188">
        <v>43508</v>
      </c>
      <c r="E9" s="142">
        <v>12.44</v>
      </c>
      <c r="F9" s="142">
        <v>37.28</v>
      </c>
      <c r="G9" s="142">
        <v>27.79</v>
      </c>
      <c r="H9" s="142">
        <v>12.44</v>
      </c>
      <c r="I9" s="197">
        <v>15.83</v>
      </c>
      <c r="J9" s="142">
        <v>14.22</v>
      </c>
      <c r="K9" s="142">
        <v>14.81</v>
      </c>
      <c r="L9" s="142">
        <v>11.76</v>
      </c>
    </row>
    <row r="10" s="268" customFormat="1" customHeight="1" spans="1:12">
      <c r="A10" s="158">
        <v>43356</v>
      </c>
      <c r="B10" s="142">
        <v>14.37</v>
      </c>
      <c r="D10" s="188">
        <v>43522</v>
      </c>
      <c r="E10" s="142">
        <v>12.23</v>
      </c>
      <c r="F10" s="142">
        <v>36.77</v>
      </c>
      <c r="G10" s="142">
        <v>28.95</v>
      </c>
      <c r="H10" s="142">
        <v>12.48</v>
      </c>
      <c r="I10" s="197">
        <v>15.7</v>
      </c>
      <c r="J10" s="142">
        <v>13.77</v>
      </c>
      <c r="K10" s="142">
        <v>14.7</v>
      </c>
      <c r="L10" s="142">
        <v>10.93</v>
      </c>
    </row>
    <row r="11" s="268" customFormat="1" customHeight="1" spans="1:12">
      <c r="A11" s="158">
        <v>43363</v>
      </c>
      <c r="B11" s="142">
        <v>14.11</v>
      </c>
      <c r="D11" s="188">
        <v>43529</v>
      </c>
      <c r="E11" s="142">
        <v>12.04</v>
      </c>
      <c r="F11" s="142">
        <v>36.8</v>
      </c>
      <c r="G11" s="142">
        <v>28.38</v>
      </c>
      <c r="H11" s="142">
        <v>12.12</v>
      </c>
      <c r="I11" s="197">
        <v>15.14</v>
      </c>
      <c r="J11" s="142">
        <v>14.19</v>
      </c>
      <c r="K11" s="142">
        <v>14.56</v>
      </c>
      <c r="L11" s="142">
        <v>10.56</v>
      </c>
    </row>
    <row r="12" s="268" customFormat="1" customHeight="1" spans="1:12">
      <c r="A12" s="158">
        <v>43370</v>
      </c>
      <c r="B12" s="142">
        <v>13.98</v>
      </c>
      <c r="D12" s="188">
        <v>43536</v>
      </c>
      <c r="E12" s="142">
        <v>14.7</v>
      </c>
      <c r="F12" s="142">
        <v>36.41</v>
      </c>
      <c r="G12" s="142">
        <v>27.73</v>
      </c>
      <c r="H12" s="142">
        <v>11.86</v>
      </c>
      <c r="I12" s="197">
        <v>15.12</v>
      </c>
      <c r="J12" s="142">
        <v>14.46</v>
      </c>
      <c r="K12" s="142">
        <v>14.57</v>
      </c>
      <c r="L12" s="142">
        <v>10.18</v>
      </c>
    </row>
    <row r="13" s="268" customFormat="1" customHeight="1" spans="1:12">
      <c r="A13" s="158">
        <v>43377</v>
      </c>
      <c r="B13" s="142">
        <v>13.75</v>
      </c>
      <c r="D13" s="188">
        <v>43543</v>
      </c>
      <c r="E13" s="142">
        <v>14.82</v>
      </c>
      <c r="F13" s="142">
        <v>35.14</v>
      </c>
      <c r="G13" s="142">
        <v>26.55</v>
      </c>
      <c r="H13" s="142">
        <v>11.83</v>
      </c>
      <c r="I13" s="197">
        <v>14.88</v>
      </c>
      <c r="J13" s="142">
        <v>14.77</v>
      </c>
      <c r="K13" s="142">
        <v>14.65</v>
      </c>
      <c r="L13" s="142">
        <v>10.06</v>
      </c>
    </row>
    <row r="14" s="268" customFormat="1" customHeight="1" spans="1:12">
      <c r="A14" s="158">
        <v>43384</v>
      </c>
      <c r="B14" s="142">
        <v>13.99</v>
      </c>
      <c r="D14" s="188">
        <v>43550</v>
      </c>
      <c r="E14" s="142">
        <v>15.64</v>
      </c>
      <c r="F14" s="142">
        <v>34.25</v>
      </c>
      <c r="G14" s="142">
        <v>25.1</v>
      </c>
      <c r="H14" s="142">
        <v>12.18</v>
      </c>
      <c r="I14" s="197">
        <v>14.55</v>
      </c>
      <c r="J14" s="142">
        <v>15.13</v>
      </c>
      <c r="K14" s="142">
        <v>14.66</v>
      </c>
      <c r="L14" s="142">
        <v>9.68</v>
      </c>
    </row>
    <row r="15" s="268" customFormat="1" customHeight="1" spans="1:12">
      <c r="A15" s="158">
        <v>43391</v>
      </c>
      <c r="B15" s="142">
        <v>13.78</v>
      </c>
      <c r="D15" s="188">
        <v>43557</v>
      </c>
      <c r="E15" s="142">
        <v>14.93</v>
      </c>
      <c r="F15" s="142">
        <v>33.63</v>
      </c>
      <c r="G15" s="142">
        <v>22.95</v>
      </c>
      <c r="H15" s="142">
        <v>12.47</v>
      </c>
      <c r="I15" s="197">
        <v>14.28</v>
      </c>
      <c r="J15" s="142">
        <v>15.19</v>
      </c>
      <c r="K15" s="142">
        <v>14.6</v>
      </c>
      <c r="L15" s="142">
        <v>9.38</v>
      </c>
    </row>
    <row r="16" s="268" customFormat="1" customHeight="1" spans="1:12">
      <c r="A16" s="158">
        <v>43398</v>
      </c>
      <c r="B16" s="142">
        <v>13.38</v>
      </c>
      <c r="D16" s="188">
        <v>43564</v>
      </c>
      <c r="E16" s="142">
        <v>14.94</v>
      </c>
      <c r="F16" s="142">
        <v>33.55</v>
      </c>
      <c r="G16" s="142">
        <v>22.45</v>
      </c>
      <c r="H16" s="142">
        <v>12.25</v>
      </c>
      <c r="I16" s="197">
        <v>14.05</v>
      </c>
      <c r="J16" s="142">
        <v>15.18</v>
      </c>
      <c r="K16" s="142">
        <v>14.6</v>
      </c>
      <c r="L16" s="142">
        <v>8.99</v>
      </c>
    </row>
    <row r="17" s="268" customFormat="1" customHeight="1" spans="1:15">
      <c r="A17" s="158">
        <v>43405</v>
      </c>
      <c r="B17" s="142">
        <v>13.43</v>
      </c>
      <c r="D17" s="188">
        <v>43571</v>
      </c>
      <c r="E17" s="142">
        <v>15.03</v>
      </c>
      <c r="F17" s="142">
        <v>33.11</v>
      </c>
      <c r="G17" s="142">
        <v>23.41</v>
      </c>
      <c r="H17" s="142">
        <v>13.49</v>
      </c>
      <c r="I17" s="142">
        <v>14.74</v>
      </c>
      <c r="J17" s="142">
        <v>15.11</v>
      </c>
      <c r="K17" s="142">
        <v>14.83</v>
      </c>
      <c r="L17" s="142">
        <v>8.78</v>
      </c>
    </row>
    <row r="18" s="268" customFormat="1" customHeight="1" spans="1:15">
      <c r="A18" s="158">
        <v>43412</v>
      </c>
      <c r="B18" s="142">
        <v>13.3</v>
      </c>
      <c r="D18" s="188">
        <v>43578</v>
      </c>
      <c r="E18" s="142">
        <v>14.75</v>
      </c>
      <c r="F18" s="142">
        <v>32.18</v>
      </c>
      <c r="G18" s="142">
        <v>22.74</v>
      </c>
      <c r="H18" s="142">
        <v>14.55</v>
      </c>
      <c r="I18" s="197">
        <v>14.62</v>
      </c>
      <c r="J18" s="142">
        <v>15.05</v>
      </c>
      <c r="K18" s="142">
        <v>14.96</v>
      </c>
      <c r="L18" s="142">
        <v>9.69</v>
      </c>
    </row>
    <row r="19" s="268" customFormat="1" customHeight="1" spans="1:15">
      <c r="A19" s="158">
        <v>43419</v>
      </c>
      <c r="B19" s="142">
        <v>13.03</v>
      </c>
      <c r="D19" s="188">
        <v>43585</v>
      </c>
      <c r="E19" s="142">
        <v>14.77</v>
      </c>
      <c r="F19" s="142">
        <v>31.22</v>
      </c>
      <c r="G19" s="142">
        <v>21.22</v>
      </c>
      <c r="H19" s="142">
        <v>14.96</v>
      </c>
      <c r="I19" s="142">
        <v>14.34</v>
      </c>
      <c r="J19" s="142">
        <v>14.89</v>
      </c>
      <c r="K19" s="142">
        <v>14.79</v>
      </c>
      <c r="L19" s="142">
        <v>9.94</v>
      </c>
    </row>
    <row r="20" s="268" customFormat="1" customHeight="1" spans="1:15">
      <c r="A20" s="158">
        <v>43426</v>
      </c>
      <c r="B20" s="142">
        <v>12.72</v>
      </c>
      <c r="D20" s="188">
        <v>43592</v>
      </c>
      <c r="E20" s="142">
        <v>15.25</v>
      </c>
      <c r="F20" s="142">
        <v>29</v>
      </c>
      <c r="G20" s="142">
        <v>19.29</v>
      </c>
      <c r="H20" s="142">
        <v>15.09</v>
      </c>
      <c r="I20" s="142">
        <v>14.21</v>
      </c>
      <c r="J20" s="142">
        <v>14.96</v>
      </c>
      <c r="K20" s="142">
        <v>14.81</v>
      </c>
      <c r="L20" s="142">
        <v>9.81</v>
      </c>
    </row>
    <row r="21" s="268" customFormat="1" customHeight="1" spans="1:15">
      <c r="A21" s="158">
        <v>43433</v>
      </c>
      <c r="B21" s="142">
        <v>12.76</v>
      </c>
      <c r="D21" s="188">
        <v>43599</v>
      </c>
      <c r="E21" s="142">
        <v>14.96</v>
      </c>
      <c r="F21" s="142">
        <v>27.25</v>
      </c>
      <c r="G21" s="142">
        <v>18.33</v>
      </c>
      <c r="H21" s="142">
        <v>15.54</v>
      </c>
      <c r="I21" s="142">
        <v>14.18</v>
      </c>
      <c r="J21" s="142">
        <v>15.19</v>
      </c>
      <c r="K21" s="142">
        <v>14.77</v>
      </c>
      <c r="L21" s="142">
        <v>9.64</v>
      </c>
    </row>
    <row r="22" s="268" customFormat="1" customHeight="1" spans="1:15">
      <c r="A22" s="158">
        <v>43440</v>
      </c>
      <c r="B22" s="142">
        <v>13.12</v>
      </c>
      <c r="D22" s="188">
        <v>43606</v>
      </c>
      <c r="E22" s="142">
        <v>14.87</v>
      </c>
      <c r="F22" s="142">
        <v>29.37</v>
      </c>
      <c r="G22" s="142">
        <v>17.92</v>
      </c>
      <c r="H22" s="142">
        <v>15.78</v>
      </c>
      <c r="I22" s="142">
        <v>14.44</v>
      </c>
      <c r="J22" s="142">
        <v>15.88</v>
      </c>
      <c r="K22" s="142">
        <v>14.51</v>
      </c>
      <c r="L22" s="142">
        <v>9.56</v>
      </c>
    </row>
    <row r="23" s="268" customFormat="1" customHeight="1" spans="1:15">
      <c r="A23" s="158">
        <v>43447</v>
      </c>
      <c r="B23" s="142">
        <v>13.02</v>
      </c>
      <c r="D23" s="188">
        <v>43613</v>
      </c>
      <c r="E23" s="142">
        <v>14.82</v>
      </c>
      <c r="F23" s="142">
        <v>30.55</v>
      </c>
      <c r="G23" s="142">
        <v>16.89</v>
      </c>
      <c r="H23" s="142">
        <v>15.79</v>
      </c>
      <c r="I23" s="142">
        <v>14.33</v>
      </c>
      <c r="J23" s="142">
        <v>17.11</v>
      </c>
      <c r="K23" s="142">
        <v>14.41</v>
      </c>
      <c r="L23" s="142">
        <v>9.65</v>
      </c>
      <c r="M23" s="278"/>
      <c r="N23" s="278"/>
      <c r="O23" s="278"/>
    </row>
    <row r="24" s="268" customFormat="1" customHeight="1" spans="1:15">
      <c r="A24" s="158">
        <v>43454</v>
      </c>
      <c r="B24" s="142">
        <v>12.97</v>
      </c>
      <c r="D24" s="188">
        <v>43620</v>
      </c>
      <c r="E24" s="142">
        <v>14.91</v>
      </c>
      <c r="F24" s="142">
        <v>31.93</v>
      </c>
      <c r="G24" s="142">
        <v>15.36</v>
      </c>
      <c r="H24" s="142">
        <v>15.81</v>
      </c>
      <c r="I24" s="142">
        <v>14.27</v>
      </c>
      <c r="J24" s="142">
        <v>18.16</v>
      </c>
      <c r="K24" s="142">
        <v>14.38</v>
      </c>
      <c r="L24" s="142">
        <v>9.6</v>
      </c>
    </row>
    <row r="25" s="268" customFormat="1" customHeight="1" spans="1:15">
      <c r="A25" s="158">
        <v>43461</v>
      </c>
      <c r="B25" s="142">
        <v>12.43</v>
      </c>
      <c r="D25" s="188">
        <v>43627</v>
      </c>
      <c r="E25" s="142">
        <v>15.65</v>
      </c>
      <c r="F25" s="142">
        <v>33.43</v>
      </c>
      <c r="G25" s="142">
        <v>14.33</v>
      </c>
      <c r="H25" s="245">
        <v>16.22</v>
      </c>
      <c r="I25" s="142">
        <v>14.37</v>
      </c>
      <c r="J25" s="142">
        <v>18.83</v>
      </c>
      <c r="K25" s="142">
        <v>14</v>
      </c>
      <c r="L25" s="142">
        <v>9.53</v>
      </c>
    </row>
    <row r="26" s="268" customFormat="1" customHeight="1" spans="1:15">
      <c r="A26" s="158">
        <v>43469</v>
      </c>
      <c r="B26" s="142">
        <v>12.53</v>
      </c>
      <c r="D26" s="188">
        <v>43634</v>
      </c>
      <c r="E26" s="142">
        <v>15.86</v>
      </c>
      <c r="F26" s="142">
        <v>34.63</v>
      </c>
      <c r="G26" s="142">
        <v>12.83</v>
      </c>
      <c r="H26" s="245">
        <v>17.04</v>
      </c>
      <c r="I26" s="142">
        <v>13.92</v>
      </c>
      <c r="J26" s="142">
        <v>18.56</v>
      </c>
      <c r="K26" s="142">
        <v>14.17</v>
      </c>
      <c r="L26" s="142">
        <v>9.57</v>
      </c>
    </row>
    <row r="27" s="268" customFormat="1" customHeight="1" spans="1:15">
      <c r="A27" s="158">
        <v>43475</v>
      </c>
      <c r="B27" s="142">
        <v>12.3</v>
      </c>
      <c r="D27" s="188">
        <v>43641</v>
      </c>
      <c r="E27" s="142">
        <v>16.54</v>
      </c>
      <c r="F27" s="142">
        <v>36.05</v>
      </c>
      <c r="G27" s="142">
        <v>16</v>
      </c>
      <c r="H27" s="142">
        <v>19.2</v>
      </c>
      <c r="I27" s="142">
        <v>13.94</v>
      </c>
      <c r="J27" s="142">
        <v>17.68</v>
      </c>
      <c r="K27" s="142">
        <v>14.4</v>
      </c>
      <c r="L27" s="142">
        <v>9.57</v>
      </c>
    </row>
    <row r="28" s="268" customFormat="1" customHeight="1" spans="1:15">
      <c r="A28" s="158">
        <v>43482</v>
      </c>
      <c r="B28" s="142">
        <v>11.67</v>
      </c>
      <c r="D28" s="188">
        <v>43648</v>
      </c>
      <c r="E28" s="142">
        <v>17.28</v>
      </c>
      <c r="F28" s="142">
        <v>37.77</v>
      </c>
      <c r="G28" s="142">
        <v>16.12</v>
      </c>
      <c r="H28" s="142">
        <v>22.41</v>
      </c>
      <c r="I28" s="142">
        <v>14</v>
      </c>
      <c r="J28" s="142">
        <v>18.05</v>
      </c>
      <c r="K28" s="142">
        <v>15</v>
      </c>
      <c r="L28" s="142">
        <v>10</v>
      </c>
    </row>
    <row r="29" s="268" customFormat="1" customHeight="1" spans="1:15">
      <c r="A29" s="158">
        <v>43489</v>
      </c>
      <c r="B29" s="142">
        <v>10.7</v>
      </c>
      <c r="D29" s="188">
        <v>43655</v>
      </c>
      <c r="E29" s="142">
        <v>17.01</v>
      </c>
      <c r="F29" s="142">
        <v>38.18</v>
      </c>
      <c r="G29" s="142">
        <v>15.99</v>
      </c>
      <c r="H29" s="142">
        <v>22.88</v>
      </c>
      <c r="I29" s="142">
        <v>13.98</v>
      </c>
      <c r="J29" s="142">
        <v>18.62</v>
      </c>
      <c r="K29" s="142">
        <v>15.02</v>
      </c>
      <c r="L29" s="142">
        <v>11.18</v>
      </c>
    </row>
    <row r="30" s="268" customFormat="1" customHeight="1" spans="1:15">
      <c r="A30" s="158">
        <v>43496</v>
      </c>
      <c r="B30" s="142">
        <v>10.86</v>
      </c>
      <c r="D30" s="188">
        <v>43662</v>
      </c>
      <c r="E30" s="142">
        <v>17.82</v>
      </c>
      <c r="F30" s="142">
        <v>37.45</v>
      </c>
      <c r="G30" s="142">
        <v>15.73</v>
      </c>
      <c r="H30" s="142">
        <v>22.52</v>
      </c>
      <c r="I30" s="142">
        <v>14.68</v>
      </c>
      <c r="J30" s="142">
        <v>19.02</v>
      </c>
      <c r="K30" s="142">
        <v>14.6</v>
      </c>
      <c r="L30" s="142">
        <v>11.26</v>
      </c>
    </row>
    <row r="31" s="268" customFormat="1" customHeight="1" spans="1:15">
      <c r="A31" s="158">
        <v>43503</v>
      </c>
      <c r="B31" s="142">
        <v>11.84</v>
      </c>
      <c r="D31" s="188">
        <v>43669</v>
      </c>
      <c r="E31" s="142">
        <v>18.72</v>
      </c>
      <c r="F31" s="142">
        <v>37.22</v>
      </c>
      <c r="G31" s="142">
        <v>15.32</v>
      </c>
      <c r="H31" s="142">
        <v>21.26</v>
      </c>
      <c r="I31" s="142">
        <v>16.48</v>
      </c>
      <c r="J31" s="142">
        <v>19.24</v>
      </c>
      <c r="K31" s="142">
        <v>14.31</v>
      </c>
      <c r="L31" s="142">
        <v>10.88</v>
      </c>
    </row>
    <row r="32" s="268" customFormat="1" customHeight="1" spans="1:15">
      <c r="A32" s="158">
        <v>43509</v>
      </c>
      <c r="B32" s="142">
        <v>12.44</v>
      </c>
      <c r="D32" s="188">
        <v>43676</v>
      </c>
      <c r="E32" s="142">
        <v>18.82</v>
      </c>
      <c r="F32" s="142">
        <v>37.71</v>
      </c>
      <c r="G32" s="142">
        <v>15.53</v>
      </c>
      <c r="H32" s="142">
        <v>21.46</v>
      </c>
      <c r="I32" s="142">
        <v>17.37</v>
      </c>
      <c r="J32" s="142">
        <v>19.46</v>
      </c>
      <c r="K32" s="142">
        <v>14.08</v>
      </c>
      <c r="L32" s="142">
        <v>10.43</v>
      </c>
    </row>
    <row r="33" s="268" customFormat="1" customHeight="1" spans="1:12">
      <c r="A33" s="158">
        <v>43517</v>
      </c>
      <c r="B33" s="142">
        <v>12.23</v>
      </c>
      <c r="D33" s="188">
        <v>43683</v>
      </c>
      <c r="E33" s="142">
        <v>19.08</v>
      </c>
      <c r="F33" s="142">
        <v>37.24</v>
      </c>
      <c r="G33" s="142">
        <v>15.27</v>
      </c>
      <c r="H33" s="142">
        <v>21.28</v>
      </c>
      <c r="I33" s="142">
        <v>17.1</v>
      </c>
      <c r="J33" s="142">
        <v>20.33</v>
      </c>
      <c r="K33" s="142">
        <v>14.02</v>
      </c>
      <c r="L33" s="142">
        <v>10.4</v>
      </c>
    </row>
    <row r="34" s="268" customFormat="1" customHeight="1" spans="1:12">
      <c r="A34" s="158">
        <v>43524</v>
      </c>
      <c r="B34" s="142">
        <v>12.04</v>
      </c>
      <c r="D34" s="188">
        <v>43690</v>
      </c>
      <c r="E34" s="142">
        <v>20.71</v>
      </c>
      <c r="F34" s="142">
        <v>36.86</v>
      </c>
      <c r="G34" s="142">
        <v>14.79</v>
      </c>
      <c r="H34" s="142">
        <v>21.18</v>
      </c>
      <c r="I34" s="142">
        <v>17.03</v>
      </c>
      <c r="J34" s="142">
        <v>21.07</v>
      </c>
      <c r="K34" s="142">
        <v>13.74</v>
      </c>
      <c r="L34" s="142">
        <v>10.72</v>
      </c>
    </row>
    <row r="35" s="268" customFormat="1" customHeight="1" spans="1:12">
      <c r="A35" s="158">
        <v>43531</v>
      </c>
      <c r="B35" s="142">
        <v>14.7</v>
      </c>
      <c r="D35" s="188">
        <v>43697</v>
      </c>
      <c r="E35" s="142">
        <v>22.98</v>
      </c>
      <c r="F35" s="142">
        <v>37.2</v>
      </c>
      <c r="G35" s="142">
        <v>14.28</v>
      </c>
      <c r="H35" s="142">
        <v>21.79</v>
      </c>
      <c r="I35" s="142">
        <v>17.12</v>
      </c>
      <c r="J35" s="142">
        <v>20.58</v>
      </c>
      <c r="K35" s="142">
        <v>13.71</v>
      </c>
      <c r="L35" s="142">
        <v>11.09</v>
      </c>
    </row>
    <row r="36" s="268" customFormat="1" customHeight="1" spans="1:12">
      <c r="A36" s="158">
        <v>43538</v>
      </c>
      <c r="B36" s="142">
        <v>14.82</v>
      </c>
      <c r="D36" s="188">
        <v>43704</v>
      </c>
      <c r="E36" s="142">
        <v>24.66</v>
      </c>
      <c r="F36" s="142">
        <v>36.61</v>
      </c>
      <c r="G36" s="142">
        <v>13.87</v>
      </c>
      <c r="H36" s="142">
        <v>23.05</v>
      </c>
      <c r="I36" s="142">
        <v>16.76</v>
      </c>
      <c r="J36" s="142">
        <v>19.72</v>
      </c>
      <c r="K36" s="142">
        <v>13.7</v>
      </c>
      <c r="L36" s="142">
        <v>11.03</v>
      </c>
    </row>
    <row r="37" s="268" customFormat="1" customHeight="1" spans="1:12">
      <c r="A37" s="158">
        <v>43545</v>
      </c>
      <c r="B37" s="142">
        <v>15.64</v>
      </c>
      <c r="D37" s="188">
        <v>43711</v>
      </c>
      <c r="E37" s="142">
        <v>26.36</v>
      </c>
      <c r="F37" s="142">
        <v>36.26</v>
      </c>
      <c r="G37" s="142">
        <v>13.55</v>
      </c>
      <c r="H37" s="142">
        <v>23.42</v>
      </c>
      <c r="I37" s="142">
        <v>16.49</v>
      </c>
      <c r="J37" s="142">
        <v>19.79</v>
      </c>
      <c r="K37" s="142">
        <v>13.87</v>
      </c>
      <c r="L37" s="142">
        <v>10.96</v>
      </c>
    </row>
    <row r="38" s="268" customFormat="1" customHeight="1" spans="1:12">
      <c r="A38" s="158">
        <v>43552</v>
      </c>
      <c r="B38" s="142">
        <v>14.93</v>
      </c>
      <c r="D38" s="188">
        <v>43718</v>
      </c>
      <c r="E38" s="142">
        <v>27.4650980392157</v>
      </c>
      <c r="F38" s="142">
        <v>35.21</v>
      </c>
      <c r="G38" s="142">
        <v>12.46</v>
      </c>
      <c r="H38" s="142">
        <v>23.31</v>
      </c>
      <c r="I38" s="142">
        <v>16.37</v>
      </c>
      <c r="J38" s="142">
        <v>19.68</v>
      </c>
      <c r="K38" s="142">
        <v>13.52</v>
      </c>
      <c r="L38" s="142">
        <v>10.97</v>
      </c>
    </row>
    <row r="39" s="268" customFormat="1" customHeight="1" spans="1:12">
      <c r="A39" s="158">
        <v>43559</v>
      </c>
      <c r="B39" s="142">
        <v>14.94</v>
      </c>
      <c r="D39" s="188">
        <v>43725</v>
      </c>
      <c r="E39" s="142">
        <v>28.2015490196078</v>
      </c>
      <c r="F39" s="142">
        <v>33.88</v>
      </c>
      <c r="G39" s="142">
        <v>12.1</v>
      </c>
      <c r="H39" s="142">
        <v>23.76</v>
      </c>
      <c r="I39" s="142">
        <v>16.07</v>
      </c>
      <c r="J39" s="142">
        <v>19.01</v>
      </c>
      <c r="K39" s="142">
        <v>13.15</v>
      </c>
      <c r="L39" s="142">
        <v>10.8</v>
      </c>
    </row>
    <row r="40" s="268" customFormat="1" customHeight="1" spans="1:12">
      <c r="A40" s="158">
        <v>43566</v>
      </c>
      <c r="B40" s="142">
        <v>15.03</v>
      </c>
      <c r="D40" s="188">
        <v>43732</v>
      </c>
      <c r="E40" s="142">
        <v>28.47</v>
      </c>
      <c r="F40" s="142">
        <v>32.838</v>
      </c>
      <c r="G40" s="142">
        <v>10.97</v>
      </c>
      <c r="H40" s="142">
        <v>24.12</v>
      </c>
      <c r="I40" s="142">
        <v>15.86</v>
      </c>
      <c r="J40" s="142">
        <v>18.2</v>
      </c>
      <c r="K40" s="142">
        <v>12.67</v>
      </c>
      <c r="L40" s="142">
        <v>10.63</v>
      </c>
    </row>
    <row r="41" s="268" customFormat="1" customHeight="1" spans="1:12">
      <c r="A41" s="158">
        <v>43572</v>
      </c>
      <c r="B41" s="142">
        <v>14.75</v>
      </c>
      <c r="D41" s="188">
        <v>43740</v>
      </c>
      <c r="E41" s="142">
        <v>28.73</v>
      </c>
      <c r="F41" s="142">
        <v>31.58</v>
      </c>
      <c r="G41" s="142">
        <v>10.28</v>
      </c>
      <c r="H41" s="142">
        <v>25.69</v>
      </c>
      <c r="I41" s="142">
        <v>15.45</v>
      </c>
      <c r="J41" s="142"/>
      <c r="K41" s="142"/>
      <c r="L41" s="142"/>
    </row>
    <row r="42" s="268" customFormat="1" customHeight="1" spans="1:12">
      <c r="A42" s="158">
        <v>43580</v>
      </c>
      <c r="B42" s="142">
        <v>14.77</v>
      </c>
      <c r="D42" s="188">
        <v>43747</v>
      </c>
      <c r="E42" s="142">
        <v>33.03</v>
      </c>
      <c r="F42" s="142">
        <v>30.33</v>
      </c>
      <c r="G42" s="142">
        <v>11.46</v>
      </c>
      <c r="H42" s="142">
        <v>26.75</v>
      </c>
      <c r="I42" s="142">
        <v>15.46</v>
      </c>
      <c r="J42" s="142">
        <v>17.64</v>
      </c>
      <c r="K42" s="142">
        <v>11.89</v>
      </c>
      <c r="L42" s="142"/>
    </row>
    <row r="43" s="268" customFormat="1" customHeight="1" spans="1:12">
      <c r="A43" s="158">
        <v>43587</v>
      </c>
      <c r="B43" s="142">
        <v>15.25</v>
      </c>
      <c r="D43" s="188">
        <v>43754</v>
      </c>
      <c r="E43" s="142">
        <v>35.66</v>
      </c>
      <c r="F43" s="142">
        <v>29.46</v>
      </c>
      <c r="G43" s="142">
        <v>13.44</v>
      </c>
      <c r="H43" s="142">
        <v>28.02</v>
      </c>
      <c r="I43" s="142">
        <v>15.11</v>
      </c>
      <c r="J43" s="142">
        <v>17.99</v>
      </c>
      <c r="K43" s="142">
        <v>11.02</v>
      </c>
      <c r="L43" s="142"/>
    </row>
    <row r="44" s="268" customFormat="1" customHeight="1" spans="1:12">
      <c r="A44" s="158">
        <v>43594</v>
      </c>
      <c r="B44" s="142">
        <v>14.96</v>
      </c>
      <c r="D44" s="188">
        <v>43761</v>
      </c>
      <c r="E44" s="142">
        <v>39.8</v>
      </c>
      <c r="F44" s="142">
        <v>28.59</v>
      </c>
      <c r="G44" s="142">
        <v>15.82</v>
      </c>
      <c r="H44" s="142">
        <v>27.52</v>
      </c>
      <c r="I44" s="142">
        <v>14.5</v>
      </c>
      <c r="J44" s="142">
        <v>17.41</v>
      </c>
      <c r="K44" s="142">
        <v>11.41</v>
      </c>
      <c r="L44" s="142"/>
    </row>
    <row r="45" s="268" customFormat="1" customHeight="1" spans="1:12">
      <c r="A45" s="158">
        <v>43601</v>
      </c>
      <c r="B45" s="142">
        <v>14.87</v>
      </c>
      <c r="D45" s="188">
        <v>43768</v>
      </c>
      <c r="E45" s="142">
        <v>41.18</v>
      </c>
      <c r="F45" s="142">
        <v>29.36</v>
      </c>
      <c r="G45" s="142">
        <v>16.08</v>
      </c>
      <c r="H45" s="142">
        <v>26.05</v>
      </c>
      <c r="I45" s="142">
        <v>14.74</v>
      </c>
      <c r="J45" s="142">
        <v>17.35</v>
      </c>
      <c r="K45" s="142">
        <v>12.22</v>
      </c>
      <c r="L45" s="142"/>
    </row>
    <row r="46" s="268" customFormat="1" customHeight="1" spans="1:12">
      <c r="A46" s="158">
        <v>43608</v>
      </c>
      <c r="B46" s="142">
        <v>14.82</v>
      </c>
      <c r="D46" s="188">
        <v>43775</v>
      </c>
      <c r="E46" s="142">
        <v>40.17</v>
      </c>
      <c r="F46" s="142">
        <v>29.26</v>
      </c>
      <c r="G46" s="142">
        <v>17.01</v>
      </c>
      <c r="H46" s="142">
        <v>25.18</v>
      </c>
      <c r="I46" s="142">
        <v>14.37</v>
      </c>
      <c r="J46" s="142">
        <v>17.13</v>
      </c>
      <c r="K46" s="142">
        <v>12.16</v>
      </c>
      <c r="L46" s="142"/>
    </row>
    <row r="47" s="268" customFormat="1" customHeight="1" spans="1:12">
      <c r="A47" s="158">
        <v>43615</v>
      </c>
      <c r="B47" s="142">
        <v>14.91</v>
      </c>
      <c r="D47" s="188">
        <v>43782</v>
      </c>
      <c r="E47" s="142">
        <v>36.77</v>
      </c>
      <c r="F47" s="142">
        <v>29.16</v>
      </c>
      <c r="G47" s="142">
        <v>17.63</v>
      </c>
      <c r="H47" s="142">
        <v>24.36</v>
      </c>
      <c r="I47" s="142">
        <v>14.83</v>
      </c>
      <c r="J47" s="142">
        <v>16.63</v>
      </c>
      <c r="K47" s="142">
        <v>11.85</v>
      </c>
      <c r="L47" s="142"/>
    </row>
    <row r="48" s="268" customFormat="1" customHeight="1" spans="1:12">
      <c r="A48" s="158">
        <v>43622</v>
      </c>
      <c r="B48" s="142">
        <v>15.65</v>
      </c>
      <c r="D48" s="188">
        <v>43789</v>
      </c>
      <c r="E48" s="142">
        <v>33.03</v>
      </c>
      <c r="F48" s="142">
        <v>29.53</v>
      </c>
      <c r="G48" s="142">
        <v>17.94</v>
      </c>
      <c r="H48" s="142">
        <v>23.36</v>
      </c>
      <c r="I48" s="142">
        <v>14.38</v>
      </c>
      <c r="J48" s="142">
        <v>16.15</v>
      </c>
      <c r="K48" s="142">
        <v>11.6</v>
      </c>
      <c r="L48" s="142"/>
    </row>
    <row r="49" s="268" customFormat="1" customHeight="1" spans="1:12">
      <c r="A49" s="158">
        <v>43629</v>
      </c>
      <c r="B49" s="142">
        <v>15.86</v>
      </c>
      <c r="D49" s="188">
        <v>43796</v>
      </c>
      <c r="E49" s="142">
        <v>32.47</v>
      </c>
      <c r="F49" s="142">
        <v>32.03</v>
      </c>
      <c r="G49" s="142">
        <v>17.93</v>
      </c>
      <c r="H49" s="142">
        <v>21.91</v>
      </c>
      <c r="I49" s="142">
        <v>14.17</v>
      </c>
      <c r="J49" s="142">
        <v>16.49</v>
      </c>
      <c r="K49" s="142">
        <v>11.48</v>
      </c>
      <c r="L49" s="142"/>
    </row>
    <row r="50" s="268" customFormat="1" customHeight="1" spans="1:12">
      <c r="A50" s="158">
        <v>43636</v>
      </c>
      <c r="B50" s="142">
        <v>16.54</v>
      </c>
      <c r="D50" s="188">
        <v>43803</v>
      </c>
      <c r="E50" s="142">
        <v>34</v>
      </c>
      <c r="F50" s="142">
        <v>33.21</v>
      </c>
      <c r="G50" s="142">
        <v>17.49</v>
      </c>
      <c r="H50" s="142">
        <v>22.33</v>
      </c>
      <c r="I50" s="142">
        <v>14.12</v>
      </c>
      <c r="J50" s="142">
        <v>16.17</v>
      </c>
      <c r="K50" s="142">
        <v>11.3</v>
      </c>
      <c r="L50" s="142"/>
    </row>
    <row r="51" s="268" customFormat="1" customHeight="1" spans="1:12">
      <c r="A51" s="158">
        <v>43643</v>
      </c>
      <c r="B51" s="142">
        <v>17.28</v>
      </c>
      <c r="D51" s="188">
        <v>43810</v>
      </c>
      <c r="E51" s="142">
        <v>34.23</v>
      </c>
      <c r="F51" s="142">
        <v>33.43</v>
      </c>
      <c r="G51" s="142">
        <v>16.18</v>
      </c>
      <c r="H51" s="142">
        <v>19.35</v>
      </c>
      <c r="I51" s="142">
        <v>14.67</v>
      </c>
      <c r="J51" s="142">
        <v>15.69</v>
      </c>
      <c r="K51" s="142">
        <v>11.27</v>
      </c>
      <c r="L51" s="142"/>
    </row>
    <row r="52" s="268" customFormat="1" customHeight="1" spans="1:12">
      <c r="A52" s="158">
        <v>43650</v>
      </c>
      <c r="B52" s="142">
        <v>17.01</v>
      </c>
      <c r="D52" s="188">
        <v>43817</v>
      </c>
      <c r="E52" s="142">
        <v>33.34</v>
      </c>
      <c r="F52" s="142">
        <v>33.94</v>
      </c>
      <c r="G52" s="142">
        <v>15.98</v>
      </c>
      <c r="H52" s="142">
        <v>16.73</v>
      </c>
      <c r="I52" s="142">
        <v>14.44</v>
      </c>
      <c r="J52" s="142">
        <v>15.76</v>
      </c>
      <c r="K52" s="142">
        <v>11.53</v>
      </c>
      <c r="L52" s="142"/>
    </row>
    <row r="53" s="268" customFormat="1" customHeight="1" spans="1:12">
      <c r="A53" s="158">
        <v>43657</v>
      </c>
      <c r="B53" s="142">
        <v>17.82</v>
      </c>
      <c r="D53" s="188">
        <v>43824</v>
      </c>
      <c r="E53" s="142">
        <v>33.61</v>
      </c>
      <c r="F53" s="142">
        <v>35.25</v>
      </c>
      <c r="G53" s="142">
        <v>16.15</v>
      </c>
      <c r="H53" s="142">
        <v>17.14</v>
      </c>
      <c r="I53" s="142"/>
      <c r="J53" s="142">
        <v>15.42</v>
      </c>
      <c r="K53" s="142">
        <v>11.5</v>
      </c>
      <c r="L53" s="142"/>
    </row>
    <row r="54" s="268" customFormat="1" customHeight="1" spans="1:12">
      <c r="A54" s="158">
        <v>43664</v>
      </c>
      <c r="B54" s="142">
        <v>18.72</v>
      </c>
    </row>
    <row r="55" s="268" customFormat="1" customHeight="1" spans="1:12">
      <c r="A55" s="158">
        <v>43671</v>
      </c>
      <c r="B55" s="142">
        <v>18.82</v>
      </c>
    </row>
    <row r="56" s="268" customFormat="1" customHeight="1" spans="1:12">
      <c r="A56" s="158">
        <v>43678</v>
      </c>
      <c r="B56" s="142">
        <v>19.08</v>
      </c>
    </row>
    <row r="57" s="268" customFormat="1" customHeight="1" spans="1:12">
      <c r="A57" s="158">
        <v>43685</v>
      </c>
      <c r="B57" s="142">
        <v>20.71</v>
      </c>
    </row>
    <row r="58" s="268" customFormat="1" customHeight="1" spans="1:12">
      <c r="A58" s="158">
        <v>43692</v>
      </c>
      <c r="B58" s="142">
        <v>22.98</v>
      </c>
    </row>
    <row r="59" s="268" customFormat="1" customHeight="1" spans="1:12">
      <c r="A59" s="158">
        <v>43699</v>
      </c>
      <c r="B59" s="142">
        <v>24.66</v>
      </c>
    </row>
    <row r="60" s="268" customFormat="1" customHeight="1" spans="1:12">
      <c r="A60" s="158">
        <v>43706</v>
      </c>
      <c r="B60" s="142">
        <v>26.36</v>
      </c>
    </row>
    <row r="61" s="268" customFormat="1" customHeight="1" spans="1:12">
      <c r="A61" s="158">
        <v>43713</v>
      </c>
      <c r="B61" s="142">
        <v>27.4650980392157</v>
      </c>
    </row>
    <row r="62" s="268" customFormat="1" customHeight="1" spans="1:12">
      <c r="A62" s="158">
        <v>43720</v>
      </c>
      <c r="B62" s="142">
        <v>28.2015490196078</v>
      </c>
    </row>
    <row r="63" s="268" customFormat="1" customHeight="1" spans="1:12">
      <c r="A63" s="158">
        <v>43727</v>
      </c>
      <c r="B63" s="142">
        <v>28.47</v>
      </c>
    </row>
    <row r="64" s="268" customFormat="1" customHeight="1" spans="1:12">
      <c r="A64" s="158">
        <v>43734</v>
      </c>
      <c r="B64" s="142">
        <v>28.73</v>
      </c>
    </row>
    <row r="65" s="268" customFormat="1" customHeight="1" spans="1:2">
      <c r="A65" s="158">
        <v>43748</v>
      </c>
      <c r="B65" s="142">
        <v>33.03</v>
      </c>
    </row>
    <row r="66" s="268" customFormat="1" customHeight="1" spans="1:2">
      <c r="A66" s="158">
        <v>43755</v>
      </c>
      <c r="B66" s="142">
        <v>35.66</v>
      </c>
    </row>
    <row r="67" s="268" customFormat="1" customHeight="1" spans="1:2">
      <c r="A67" s="158">
        <v>43762</v>
      </c>
      <c r="B67" s="142">
        <v>39.8</v>
      </c>
    </row>
    <row r="68" s="268" customFormat="1" customHeight="1" spans="1:2">
      <c r="A68" s="158">
        <v>43769</v>
      </c>
      <c r="B68" s="142">
        <v>41.18</v>
      </c>
    </row>
    <row r="69" s="268" customFormat="1" customHeight="1" spans="1:2">
      <c r="A69" s="158">
        <v>43776</v>
      </c>
      <c r="B69" s="142">
        <v>40.17</v>
      </c>
    </row>
    <row r="70" s="268" customFormat="1" customHeight="1" spans="1:2">
      <c r="A70" s="158">
        <v>43783</v>
      </c>
      <c r="B70" s="142">
        <v>36.77</v>
      </c>
    </row>
    <row r="71" s="268" customFormat="1" customHeight="1" spans="1:2">
      <c r="A71" s="158">
        <v>43790</v>
      </c>
      <c r="B71" s="142">
        <v>33.03</v>
      </c>
    </row>
    <row r="72" s="268" customFormat="1" customHeight="1" spans="1:2">
      <c r="A72" s="158">
        <v>43797</v>
      </c>
      <c r="B72" s="142">
        <v>32.47</v>
      </c>
    </row>
    <row r="73" s="268" customFormat="1" customHeight="1" spans="1:2">
      <c r="A73" s="158">
        <v>43804</v>
      </c>
      <c r="B73" s="142">
        <v>34</v>
      </c>
    </row>
    <row r="74" s="268" customFormat="1" customHeight="1" spans="1:2">
      <c r="A74" s="158">
        <v>43811</v>
      </c>
      <c r="B74" s="142">
        <v>34.23</v>
      </c>
    </row>
    <row r="75" s="268" customFormat="1" customHeight="1" spans="1:2">
      <c r="A75" s="158">
        <v>43818</v>
      </c>
      <c r="B75" s="142">
        <v>33.34</v>
      </c>
    </row>
    <row r="76" s="268" customFormat="1" customHeight="1" spans="1:2">
      <c r="A76" s="158">
        <v>43825</v>
      </c>
      <c r="B76" s="142">
        <v>33.61</v>
      </c>
    </row>
    <row r="77" s="268" customFormat="1" customHeight="1" spans="1:2">
      <c r="A77" s="158">
        <v>43832</v>
      </c>
      <c r="B77" s="142">
        <v>34.12</v>
      </c>
    </row>
    <row r="78" s="268" customFormat="1" customHeight="1" spans="1:2">
      <c r="A78" s="158">
        <v>43839</v>
      </c>
      <c r="B78" s="142">
        <v>36.13</v>
      </c>
    </row>
    <row r="79" s="268" customFormat="1" customHeight="1" spans="1:2">
      <c r="A79" s="158">
        <v>43846</v>
      </c>
      <c r="B79" s="142">
        <v>36.42</v>
      </c>
    </row>
    <row r="80" s="268" customFormat="1" customHeight="1" spans="1:2">
      <c r="A80" s="158">
        <v>43867</v>
      </c>
      <c r="B80" s="142">
        <v>37.36</v>
      </c>
    </row>
    <row r="81" s="268" customFormat="1" customHeight="1" spans="1:2">
      <c r="A81" s="158">
        <v>43874</v>
      </c>
      <c r="B81" s="142">
        <v>38.71</v>
      </c>
    </row>
    <row r="82" s="268" customFormat="1" customHeight="1" spans="1:2">
      <c r="A82" s="158">
        <v>43881</v>
      </c>
      <c r="B82" s="142">
        <v>38.74</v>
      </c>
    </row>
    <row r="83" s="268" customFormat="1" customHeight="1" spans="1:2">
      <c r="A83" s="158">
        <v>43888</v>
      </c>
      <c r="B83" s="142">
        <v>37.28</v>
      </c>
    </row>
    <row r="84" s="268" customFormat="1" customHeight="1" spans="1:2">
      <c r="A84" s="158">
        <v>43895</v>
      </c>
      <c r="B84" s="142">
        <v>36.77</v>
      </c>
    </row>
    <row r="85" s="268" customFormat="1" customHeight="1" spans="1:2">
      <c r="A85" s="158">
        <v>43902</v>
      </c>
      <c r="B85" s="142">
        <v>36.8</v>
      </c>
    </row>
    <row r="86" s="268" customFormat="1" customHeight="1" spans="1:2">
      <c r="A86" s="158">
        <v>43909</v>
      </c>
      <c r="B86" s="142">
        <v>36.41</v>
      </c>
    </row>
    <row r="87" s="268" customFormat="1" customHeight="1" spans="1:2">
      <c r="A87" s="158">
        <v>43916</v>
      </c>
      <c r="B87" s="142">
        <v>35.14</v>
      </c>
    </row>
    <row r="88" s="268" customFormat="1" customHeight="1" spans="1:2">
      <c r="A88" s="158">
        <v>43923</v>
      </c>
      <c r="B88" s="142">
        <v>34.25</v>
      </c>
    </row>
    <row r="89" s="268" customFormat="1" customHeight="1" spans="1:2">
      <c r="A89" s="158">
        <v>43930</v>
      </c>
      <c r="B89" s="142">
        <v>33.63</v>
      </c>
    </row>
    <row r="90" s="268" customFormat="1" customHeight="1" spans="1:2">
      <c r="A90" s="158">
        <v>43937</v>
      </c>
      <c r="B90" s="142">
        <v>33.55</v>
      </c>
    </row>
    <row r="91" s="268" customFormat="1" customHeight="1" spans="1:2">
      <c r="A91" s="158">
        <v>43944</v>
      </c>
      <c r="B91" s="142">
        <v>33.11</v>
      </c>
    </row>
    <row r="92" s="268" customFormat="1" customHeight="1" spans="1:2">
      <c r="A92" s="158">
        <v>43951</v>
      </c>
      <c r="B92" s="142">
        <v>32.18</v>
      </c>
    </row>
    <row r="93" s="268" customFormat="1" customHeight="1" spans="1:2">
      <c r="A93" s="158">
        <v>43958</v>
      </c>
      <c r="B93" s="142">
        <v>31.22</v>
      </c>
    </row>
    <row r="94" s="268" customFormat="1" customHeight="1" spans="1:2">
      <c r="A94" s="158">
        <v>43965</v>
      </c>
      <c r="B94" s="142">
        <v>29</v>
      </c>
    </row>
    <row r="95" s="268" customFormat="1" customHeight="1" spans="1:2">
      <c r="A95" s="158">
        <v>43972</v>
      </c>
      <c r="B95" s="142">
        <v>27.25</v>
      </c>
    </row>
    <row r="96" s="268" customFormat="1" customHeight="1" spans="1:2">
      <c r="A96" s="158">
        <v>43979</v>
      </c>
      <c r="B96" s="142">
        <v>29.37</v>
      </c>
    </row>
    <row r="97" s="268" customFormat="1" customHeight="1" spans="1:2">
      <c r="A97" s="158">
        <v>43986</v>
      </c>
      <c r="B97" s="142">
        <v>30.55</v>
      </c>
    </row>
    <row r="98" s="268" customFormat="1" customHeight="1" spans="1:2">
      <c r="A98" s="158">
        <v>43993</v>
      </c>
      <c r="B98" s="142">
        <v>31.93</v>
      </c>
    </row>
    <row r="99" s="268" customFormat="1" customHeight="1" spans="1:2">
      <c r="A99" s="158">
        <v>44000</v>
      </c>
      <c r="B99" s="142">
        <v>33.43</v>
      </c>
    </row>
    <row r="100" s="268" customFormat="1" customHeight="1" spans="1:2">
      <c r="A100" s="158">
        <v>44007</v>
      </c>
      <c r="B100" s="142">
        <v>34.63</v>
      </c>
    </row>
    <row r="101" s="268" customFormat="1" customHeight="1" spans="1:2">
      <c r="A101" s="158">
        <v>44014</v>
      </c>
      <c r="B101" s="142">
        <v>36.05</v>
      </c>
    </row>
    <row r="102" s="268" customFormat="1" customHeight="1" spans="1:2">
      <c r="A102" s="158">
        <v>44021</v>
      </c>
      <c r="B102" s="142">
        <v>37.77</v>
      </c>
    </row>
    <row r="103" s="268" customFormat="1" customHeight="1" spans="1:2">
      <c r="A103" s="158">
        <v>44028</v>
      </c>
      <c r="B103" s="142">
        <v>38.18</v>
      </c>
    </row>
    <row r="104" s="268" customFormat="1" customHeight="1" spans="1:2">
      <c r="A104" s="158">
        <v>44035</v>
      </c>
      <c r="B104" s="142">
        <v>37.45</v>
      </c>
    </row>
    <row r="105" s="268" customFormat="1" customHeight="1" spans="1:2">
      <c r="A105" s="158">
        <v>44042</v>
      </c>
      <c r="B105" s="142">
        <v>37.22</v>
      </c>
    </row>
    <row r="106" s="268" customFormat="1" customHeight="1" spans="1:2">
      <c r="A106" s="158">
        <v>44049</v>
      </c>
      <c r="B106" s="142">
        <v>37.71</v>
      </c>
    </row>
    <row r="107" s="268" customFormat="1" customHeight="1" spans="1:2">
      <c r="A107" s="158">
        <v>44056</v>
      </c>
      <c r="B107" s="142">
        <v>37.24</v>
      </c>
    </row>
    <row r="108" s="268" customFormat="1" customHeight="1" spans="1:2">
      <c r="A108" s="158">
        <v>44063</v>
      </c>
      <c r="B108" s="142">
        <v>36.86</v>
      </c>
    </row>
    <row r="109" s="268" customFormat="1" customHeight="1" spans="1:2">
      <c r="A109" s="158">
        <v>44070</v>
      </c>
      <c r="B109" s="142">
        <v>37.2</v>
      </c>
    </row>
    <row r="110" s="268" customFormat="1" customHeight="1" spans="1:2">
      <c r="A110" s="158">
        <v>44077</v>
      </c>
      <c r="B110" s="142">
        <v>36.61</v>
      </c>
    </row>
    <row r="111" s="268" customFormat="1" customHeight="1" spans="1:2">
      <c r="A111" s="158">
        <v>44084</v>
      </c>
      <c r="B111" s="142">
        <v>36.26</v>
      </c>
    </row>
    <row r="112" s="268" customFormat="1" customHeight="1" spans="1:2">
      <c r="A112" s="158">
        <v>44091</v>
      </c>
      <c r="B112" s="142">
        <v>35.21</v>
      </c>
    </row>
    <row r="113" s="268" customFormat="1" customHeight="1" spans="1:2">
      <c r="A113" s="158">
        <v>44098</v>
      </c>
      <c r="B113" s="142">
        <v>33.88</v>
      </c>
    </row>
    <row r="114" s="268" customFormat="1" customHeight="1" spans="1:2">
      <c r="A114" s="158">
        <v>44104</v>
      </c>
      <c r="B114" s="142">
        <v>32.838</v>
      </c>
    </row>
    <row r="115" s="268" customFormat="1" customHeight="1" spans="1:2">
      <c r="A115" s="158">
        <v>44112</v>
      </c>
      <c r="B115" s="142">
        <v>31.58</v>
      </c>
    </row>
    <row r="116" s="268" customFormat="1" customHeight="1" spans="1:2">
      <c r="A116" s="158">
        <v>44119</v>
      </c>
      <c r="B116" s="142">
        <v>30.33</v>
      </c>
    </row>
    <row r="117" s="268" customFormat="1" customHeight="1" spans="1:2">
      <c r="A117" s="158">
        <v>44126</v>
      </c>
      <c r="B117" s="142">
        <v>29.46</v>
      </c>
    </row>
    <row r="118" s="268" customFormat="1" customHeight="1" spans="1:2">
      <c r="A118" s="158">
        <v>44133</v>
      </c>
      <c r="B118" s="142">
        <v>28.59</v>
      </c>
    </row>
    <row r="119" s="268" customFormat="1" customHeight="1" spans="1:2">
      <c r="A119" s="158">
        <v>44140</v>
      </c>
      <c r="B119" s="142">
        <v>29.36</v>
      </c>
    </row>
    <row r="120" s="268" customFormat="1" customHeight="1" spans="1:2">
      <c r="A120" s="158">
        <v>44147</v>
      </c>
      <c r="B120" s="142">
        <v>29.26</v>
      </c>
    </row>
    <row r="121" s="268" customFormat="1" customHeight="1" spans="1:2">
      <c r="A121" s="158">
        <v>44154</v>
      </c>
      <c r="B121" s="142">
        <v>29.16</v>
      </c>
    </row>
    <row r="122" s="268" customFormat="1" customHeight="1" spans="1:2">
      <c r="A122" s="158">
        <v>44161</v>
      </c>
      <c r="B122" s="142">
        <v>29.53</v>
      </c>
    </row>
    <row r="123" s="268" customFormat="1" customHeight="1" spans="1:2">
      <c r="A123" s="158">
        <v>44168</v>
      </c>
      <c r="B123" s="142">
        <v>32.03</v>
      </c>
    </row>
    <row r="124" s="268" customFormat="1" customHeight="1" spans="1:2">
      <c r="A124" s="158">
        <v>44175</v>
      </c>
      <c r="B124" s="142">
        <v>33.21</v>
      </c>
    </row>
    <row r="125" s="268" customFormat="1" customHeight="1" spans="1:2">
      <c r="A125" s="158">
        <v>44182</v>
      </c>
      <c r="B125" s="142">
        <v>33.43</v>
      </c>
    </row>
    <row r="126" s="268" customFormat="1" customHeight="1" spans="1:2">
      <c r="A126" s="158">
        <v>44189</v>
      </c>
      <c r="B126" s="142">
        <v>33.94</v>
      </c>
    </row>
    <row r="127" s="268" customFormat="1" customHeight="1" spans="1:2">
      <c r="A127" s="158">
        <v>44196</v>
      </c>
      <c r="B127" s="142">
        <v>35.25</v>
      </c>
    </row>
    <row r="128" s="268" customFormat="1" customHeight="1" spans="1:2">
      <c r="A128" s="158">
        <v>44203</v>
      </c>
      <c r="B128" s="142">
        <v>36.73</v>
      </c>
    </row>
    <row r="129" s="268" customFormat="1" customHeight="1" spans="1:2">
      <c r="A129" s="158">
        <v>44210</v>
      </c>
      <c r="B129" s="142">
        <v>35.96</v>
      </c>
    </row>
    <row r="130" s="268" customFormat="1" customHeight="1" spans="1:2">
      <c r="A130" s="158">
        <v>44217</v>
      </c>
      <c r="B130" s="142">
        <v>35.87</v>
      </c>
    </row>
    <row r="131" s="268" customFormat="1" customHeight="1" spans="1:2">
      <c r="A131" s="158">
        <v>44224</v>
      </c>
      <c r="B131" s="142">
        <v>34.07</v>
      </c>
    </row>
    <row r="132" s="268" customFormat="1" customHeight="1" spans="1:2">
      <c r="A132" s="158">
        <v>44231</v>
      </c>
      <c r="B132" s="142">
        <v>32.25</v>
      </c>
    </row>
    <row r="133" s="268" customFormat="1" customHeight="1" spans="1:2">
      <c r="A133" s="158">
        <v>44245</v>
      </c>
      <c r="B133" s="142">
        <v>29.88</v>
      </c>
    </row>
    <row r="134" s="268" customFormat="1" customHeight="1" spans="1:2">
      <c r="A134" s="158">
        <v>44252</v>
      </c>
      <c r="B134" s="142">
        <v>27.79</v>
      </c>
    </row>
    <row r="135" s="268" customFormat="1" customHeight="1" spans="1:2">
      <c r="A135" s="158">
        <v>44259</v>
      </c>
      <c r="B135" s="142">
        <v>28.95</v>
      </c>
    </row>
    <row r="136" s="268" customFormat="1" customHeight="1" spans="1:2">
      <c r="A136" s="158">
        <v>44266</v>
      </c>
      <c r="B136" s="142">
        <v>28.38</v>
      </c>
    </row>
    <row r="137" s="268" customFormat="1" customHeight="1" spans="1:2">
      <c r="A137" s="158">
        <v>44273</v>
      </c>
      <c r="B137" s="142">
        <v>27.73</v>
      </c>
    </row>
    <row r="138" s="268" customFormat="1" customHeight="1" spans="1:2">
      <c r="A138" s="158">
        <v>44280</v>
      </c>
      <c r="B138" s="142">
        <v>26.55</v>
      </c>
    </row>
    <row r="139" s="268" customFormat="1" customHeight="1" spans="1:2">
      <c r="A139" s="158">
        <v>44287</v>
      </c>
      <c r="B139" s="142">
        <v>25.1</v>
      </c>
    </row>
    <row r="140" s="268" customFormat="1" customHeight="1" spans="1:2">
      <c r="A140" s="158">
        <v>44294</v>
      </c>
      <c r="B140" s="142">
        <v>22.95</v>
      </c>
    </row>
    <row r="141" s="268" customFormat="1" customHeight="1" spans="1:2">
      <c r="A141" s="158">
        <v>44301</v>
      </c>
      <c r="B141" s="142">
        <v>22.45</v>
      </c>
    </row>
    <row r="142" s="268" customFormat="1" customHeight="1" spans="1:2">
      <c r="A142" s="158">
        <v>44308</v>
      </c>
      <c r="B142" s="142">
        <v>23.41</v>
      </c>
    </row>
    <row r="143" s="268" customFormat="1" customHeight="1" spans="1:2">
      <c r="A143" s="158">
        <v>44315</v>
      </c>
      <c r="B143" s="142">
        <v>22.74</v>
      </c>
    </row>
    <row r="144" s="268" customFormat="1" customHeight="1" spans="1:2">
      <c r="A144" s="158">
        <v>44322</v>
      </c>
      <c r="B144" s="142">
        <v>21.22</v>
      </c>
    </row>
    <row r="145" s="268" customFormat="1" customHeight="1" spans="1:2">
      <c r="A145" s="158">
        <v>44329</v>
      </c>
      <c r="B145" s="142">
        <v>19.29</v>
      </c>
    </row>
    <row r="146" s="268" customFormat="1" customHeight="1" spans="1:2">
      <c r="A146" s="158">
        <v>44336</v>
      </c>
      <c r="B146" s="142">
        <v>18.33</v>
      </c>
    </row>
    <row r="147" s="268" customFormat="1" customHeight="1" spans="1:2">
      <c r="A147" s="158">
        <v>44343</v>
      </c>
      <c r="B147" s="142">
        <v>17.92</v>
      </c>
    </row>
    <row r="148" s="268" customFormat="1" customHeight="1" spans="1:2">
      <c r="A148" s="158">
        <v>44350</v>
      </c>
      <c r="B148" s="142">
        <v>16.89</v>
      </c>
    </row>
    <row r="149" s="268" customFormat="1" customHeight="1" spans="1:2">
      <c r="A149" s="158">
        <v>44357</v>
      </c>
      <c r="B149" s="142">
        <v>15.36</v>
      </c>
    </row>
    <row r="150" s="268" customFormat="1" customHeight="1" spans="1:2">
      <c r="A150" s="158">
        <v>44364</v>
      </c>
      <c r="B150" s="142">
        <v>14.33</v>
      </c>
    </row>
    <row r="151" s="268" customFormat="1" customHeight="1" spans="1:2">
      <c r="A151" s="158">
        <v>44371</v>
      </c>
      <c r="B151" s="142">
        <v>12.83</v>
      </c>
    </row>
    <row r="152" s="268" customFormat="1" customHeight="1" spans="1:2">
      <c r="A152" s="158">
        <v>44378</v>
      </c>
      <c r="B152" s="142">
        <v>16</v>
      </c>
    </row>
    <row r="153" s="268" customFormat="1" customHeight="1" spans="1:2">
      <c r="A153" s="158">
        <v>44385</v>
      </c>
      <c r="B153" s="142">
        <v>16.12</v>
      </c>
    </row>
    <row r="154" s="268" customFormat="1" customHeight="1" spans="1:2">
      <c r="A154" s="158">
        <v>44392</v>
      </c>
      <c r="B154" s="142">
        <v>15.99</v>
      </c>
    </row>
    <row r="155" s="268" customFormat="1" customHeight="1" spans="1:2">
      <c r="A155" s="158">
        <v>44399</v>
      </c>
      <c r="B155" s="142">
        <v>15.73</v>
      </c>
    </row>
    <row r="156" s="268" customFormat="1" customHeight="1" spans="1:2">
      <c r="A156" s="158">
        <v>44406</v>
      </c>
      <c r="B156" s="142">
        <v>15.32</v>
      </c>
    </row>
    <row r="157" s="268" customFormat="1" customHeight="1" spans="1:2">
      <c r="A157" s="158">
        <v>44413</v>
      </c>
      <c r="B157" s="142">
        <v>15.53</v>
      </c>
    </row>
    <row r="158" s="268" customFormat="1" customHeight="1" spans="1:2">
      <c r="A158" s="158">
        <v>44420</v>
      </c>
      <c r="B158" s="142">
        <v>15.27</v>
      </c>
    </row>
    <row r="159" s="268" customFormat="1" customHeight="1" spans="1:2">
      <c r="A159" s="158">
        <v>44427</v>
      </c>
      <c r="B159" s="142">
        <v>14.79</v>
      </c>
    </row>
    <row r="160" s="268" customFormat="1" customHeight="1" spans="1:2">
      <c r="A160" s="158">
        <v>44434</v>
      </c>
      <c r="B160" s="142">
        <v>14.28</v>
      </c>
    </row>
    <row r="161" s="268" customFormat="1" customHeight="1" spans="1:2">
      <c r="A161" s="158">
        <v>44441</v>
      </c>
      <c r="B161" s="142">
        <v>13.87</v>
      </c>
    </row>
    <row r="162" s="268" customFormat="1" customHeight="1" spans="1:2">
      <c r="A162" s="158">
        <v>44448</v>
      </c>
      <c r="B162" s="142">
        <v>13.55</v>
      </c>
    </row>
    <row r="163" s="268" customFormat="1" customHeight="1" spans="1:2">
      <c r="A163" s="158">
        <v>44455</v>
      </c>
      <c r="B163" s="142">
        <v>12.46</v>
      </c>
    </row>
    <row r="164" s="268" customFormat="1" customHeight="1" spans="1:2">
      <c r="A164" s="158">
        <v>44462</v>
      </c>
      <c r="B164" s="142">
        <v>12.1</v>
      </c>
    </row>
    <row r="165" s="268" customFormat="1" customHeight="1" spans="1:2">
      <c r="A165" s="158">
        <v>44469</v>
      </c>
      <c r="B165" s="142">
        <v>10.97</v>
      </c>
    </row>
    <row r="166" s="268" customFormat="1" customHeight="1" spans="1:2">
      <c r="A166" s="158">
        <v>44477</v>
      </c>
      <c r="B166" s="142">
        <v>10.28</v>
      </c>
    </row>
    <row r="167" s="268" customFormat="1" customHeight="1" spans="1:2">
      <c r="A167" s="158">
        <v>44483</v>
      </c>
      <c r="B167" s="142">
        <v>11.46</v>
      </c>
    </row>
    <row r="168" s="268" customFormat="1" customHeight="1" spans="1:2">
      <c r="A168" s="158">
        <v>44490</v>
      </c>
      <c r="B168" s="142">
        <v>13.44</v>
      </c>
    </row>
    <row r="169" s="268" customFormat="1" customHeight="1" spans="1:2">
      <c r="A169" s="158">
        <v>44497</v>
      </c>
      <c r="B169" s="142">
        <v>15.82</v>
      </c>
    </row>
    <row r="170" s="268" customFormat="1" customHeight="1" spans="1:2">
      <c r="A170" s="158">
        <v>44504</v>
      </c>
      <c r="B170" s="142">
        <v>16.08</v>
      </c>
    </row>
    <row r="171" s="268" customFormat="1" customHeight="1" spans="1:2">
      <c r="A171" s="158">
        <v>44511</v>
      </c>
      <c r="B171" s="142">
        <v>17.01</v>
      </c>
    </row>
    <row r="172" s="268" customFormat="1" customHeight="1" spans="1:2">
      <c r="A172" s="158">
        <v>44518</v>
      </c>
      <c r="B172" s="142">
        <v>17.63</v>
      </c>
    </row>
    <row r="173" s="268" customFormat="1" customHeight="1" spans="1:2">
      <c r="A173" s="158">
        <v>44525</v>
      </c>
      <c r="B173" s="142">
        <v>17.94</v>
      </c>
    </row>
    <row r="174" s="268" customFormat="1" customHeight="1" spans="1:2">
      <c r="A174" s="158">
        <v>44532</v>
      </c>
      <c r="B174" s="142">
        <v>17.93</v>
      </c>
    </row>
    <row r="175" s="268" customFormat="1" customHeight="1" spans="1:2">
      <c r="A175" s="158">
        <v>44539</v>
      </c>
      <c r="B175" s="142">
        <v>17.49</v>
      </c>
    </row>
    <row r="176" s="268" customFormat="1" customHeight="1" spans="1:2">
      <c r="A176" s="158">
        <v>44546</v>
      </c>
      <c r="B176" s="142">
        <v>16.18</v>
      </c>
    </row>
    <row r="177" s="268" customFormat="1" customHeight="1" spans="1:27">
      <c r="A177" s="158">
        <v>44553</v>
      </c>
      <c r="B177" s="142">
        <v>15.98</v>
      </c>
    </row>
    <row r="178" s="268" customFormat="1" customHeight="1" spans="1:27">
      <c r="A178" s="158">
        <v>44560</v>
      </c>
      <c r="B178" s="142">
        <v>16.15</v>
      </c>
    </row>
    <row r="179" s="268" customFormat="1" customHeight="1" spans="1:27">
      <c r="A179" s="158">
        <v>44567</v>
      </c>
      <c r="B179" s="142">
        <v>15.71</v>
      </c>
    </row>
    <row r="180" s="268" customFormat="1" customHeight="1" spans="1:27">
      <c r="A180" s="158">
        <v>44574</v>
      </c>
      <c r="B180" s="142">
        <v>14.34</v>
      </c>
    </row>
    <row r="181" s="268" customFormat="1" customHeight="1" spans="1:27">
      <c r="A181" s="158">
        <v>44581</v>
      </c>
      <c r="B181" s="142">
        <v>14.02</v>
      </c>
    </row>
    <row r="182" s="268" customFormat="1" customHeight="1" spans="1:27">
      <c r="A182" s="158">
        <v>44587</v>
      </c>
      <c r="B182" s="142">
        <v>14.07</v>
      </c>
    </row>
    <row r="183" s="269" customFormat="1" customHeight="1" spans="1:27">
      <c r="A183" s="158">
        <v>44602</v>
      </c>
      <c r="B183" s="142">
        <v>13.34</v>
      </c>
      <c r="C183" s="268"/>
      <c r="S183" s="268"/>
      <c r="T183" s="268"/>
      <c r="U183" s="268"/>
      <c r="V183" s="268"/>
      <c r="W183" s="268"/>
      <c r="X183" s="268"/>
      <c r="Y183" s="268"/>
      <c r="Z183" s="268"/>
      <c r="AA183" s="268"/>
    </row>
    <row r="184" s="268" customFormat="1" customHeight="1" spans="1:27">
      <c r="A184" s="158">
        <v>44609</v>
      </c>
      <c r="B184" s="142">
        <v>12.25</v>
      </c>
    </row>
    <row r="185" s="268" customFormat="1" customHeight="1" spans="1:27">
      <c r="A185" s="158">
        <v>44616</v>
      </c>
      <c r="B185" s="142">
        <v>12.44</v>
      </c>
    </row>
    <row r="186" s="268" customFormat="1" customHeight="1" spans="1:27">
      <c r="A186" s="158">
        <v>44623</v>
      </c>
      <c r="B186" s="142">
        <v>12.48</v>
      </c>
    </row>
    <row r="187" s="268" customFormat="1" customHeight="1" spans="1:27">
      <c r="A187" s="158">
        <v>44630</v>
      </c>
      <c r="B187" s="142">
        <v>12.12</v>
      </c>
    </row>
    <row r="188" s="268" customFormat="1" customHeight="1" spans="1:27">
      <c r="A188" s="158">
        <v>44637</v>
      </c>
      <c r="B188" s="142">
        <v>11.86</v>
      </c>
    </row>
    <row r="189" s="268" customFormat="1" customHeight="1" spans="1:27">
      <c r="A189" s="158">
        <v>44644</v>
      </c>
      <c r="B189" s="142">
        <v>11.83</v>
      </c>
    </row>
    <row r="190" customHeight="1" spans="1:27">
      <c r="A190" s="158">
        <v>44651</v>
      </c>
      <c r="B190" s="142">
        <v>12.18</v>
      </c>
      <c r="S190" s="268"/>
      <c r="T190" s="268"/>
      <c r="U190" s="268"/>
      <c r="V190" s="268"/>
      <c r="W190" s="268"/>
      <c r="X190" s="268"/>
      <c r="Y190" s="268"/>
      <c r="Z190" s="268"/>
      <c r="AA190" s="268"/>
    </row>
    <row r="191" s="270" customFormat="1" customHeight="1" spans="1:27">
      <c r="A191" s="158">
        <v>44658</v>
      </c>
      <c r="B191" s="142">
        <v>12.47</v>
      </c>
      <c r="S191" s="268"/>
      <c r="T191" s="268"/>
      <c r="U191" s="268"/>
      <c r="V191" s="268"/>
      <c r="W191" s="268"/>
      <c r="X191" s="268"/>
      <c r="Y191" s="268"/>
      <c r="Z191" s="268"/>
      <c r="AA191" s="268"/>
    </row>
    <row r="192" s="271" customFormat="1" ht="18" customHeight="1" spans="1:27">
      <c r="A192" s="158">
        <v>44665</v>
      </c>
      <c r="B192" s="142">
        <v>12.25</v>
      </c>
      <c r="S192" s="268"/>
      <c r="T192" s="268"/>
      <c r="U192" s="268"/>
      <c r="V192" s="268"/>
      <c r="W192" s="268"/>
      <c r="X192" s="268"/>
      <c r="Y192" s="268"/>
      <c r="Z192" s="268"/>
      <c r="AA192" s="268"/>
    </row>
    <row r="193" s="271" customFormat="1" ht="18" customHeight="1" spans="1:27">
      <c r="A193" s="158">
        <v>44672</v>
      </c>
      <c r="B193" s="142">
        <v>13.49</v>
      </c>
      <c r="S193" s="268"/>
      <c r="T193" s="268"/>
      <c r="U193" s="268"/>
      <c r="V193" s="268"/>
      <c r="W193" s="268"/>
      <c r="X193" s="268"/>
      <c r="Y193" s="268"/>
      <c r="Z193" s="268"/>
      <c r="AA193" s="268"/>
    </row>
    <row r="194" customHeight="1" spans="1:27">
      <c r="A194" s="158">
        <v>44679</v>
      </c>
      <c r="B194" s="142">
        <v>14.55</v>
      </c>
      <c r="S194" s="268"/>
      <c r="T194" s="268"/>
      <c r="U194" s="268"/>
      <c r="V194" s="268"/>
      <c r="W194" s="268"/>
      <c r="X194" s="268"/>
      <c r="Y194" s="268"/>
      <c r="Z194" s="268"/>
      <c r="AA194" s="268"/>
    </row>
    <row r="195" s="270" customFormat="1" customHeight="1" spans="1:27">
      <c r="A195" s="158">
        <v>44686</v>
      </c>
      <c r="B195" s="142">
        <v>14.96</v>
      </c>
      <c r="S195" s="268"/>
      <c r="T195" s="268"/>
      <c r="U195" s="268"/>
      <c r="V195" s="268"/>
      <c r="W195" s="268"/>
      <c r="X195" s="268"/>
      <c r="Y195" s="268"/>
      <c r="Z195" s="268"/>
      <c r="AA195" s="268"/>
    </row>
    <row r="196" s="271" customFormat="1" customHeight="1" spans="1:27">
      <c r="A196" s="158">
        <v>44693</v>
      </c>
      <c r="B196" s="142">
        <v>15.09</v>
      </c>
      <c r="S196" s="268"/>
      <c r="T196" s="268"/>
      <c r="U196" s="268"/>
      <c r="V196" s="268"/>
      <c r="W196" s="268"/>
      <c r="X196" s="268"/>
      <c r="Y196" s="268"/>
      <c r="Z196" s="268"/>
      <c r="AA196" s="268"/>
    </row>
    <row r="197" s="271" customFormat="1" customHeight="1" spans="1:27">
      <c r="A197" s="158">
        <v>44700</v>
      </c>
      <c r="B197" s="142">
        <v>15.54</v>
      </c>
      <c r="S197" s="268"/>
      <c r="T197" s="268"/>
      <c r="U197" s="268"/>
      <c r="V197" s="268"/>
      <c r="W197" s="268"/>
      <c r="X197" s="268"/>
      <c r="Y197" s="268"/>
      <c r="Z197" s="268"/>
      <c r="AA197" s="268"/>
    </row>
    <row r="198" s="271" customFormat="1" customHeight="1" spans="1:27">
      <c r="A198" s="158">
        <v>44707</v>
      </c>
      <c r="B198" s="142">
        <v>15.78</v>
      </c>
      <c r="S198" s="268"/>
      <c r="T198" s="268"/>
      <c r="U198" s="268"/>
      <c r="V198" s="268"/>
      <c r="W198" s="268"/>
      <c r="X198" s="268"/>
      <c r="Y198" s="268"/>
      <c r="Z198" s="268"/>
      <c r="AA198" s="268"/>
    </row>
    <row r="199" s="271" customFormat="1" customHeight="1" spans="1:27">
      <c r="A199" s="158">
        <v>44714</v>
      </c>
      <c r="B199" s="142">
        <v>15.79</v>
      </c>
      <c r="S199" s="268"/>
      <c r="T199" s="268"/>
      <c r="U199" s="268"/>
      <c r="V199" s="268"/>
      <c r="W199" s="268"/>
      <c r="X199" s="268"/>
      <c r="Y199" s="268"/>
      <c r="Z199" s="268"/>
      <c r="AA199" s="268"/>
    </row>
    <row r="200" s="271" customFormat="1" customHeight="1" spans="1:27">
      <c r="A200" s="158">
        <v>44721</v>
      </c>
      <c r="B200" s="142">
        <v>15.81</v>
      </c>
      <c r="S200" s="268"/>
      <c r="T200" s="268"/>
      <c r="U200" s="268"/>
      <c r="V200" s="268"/>
      <c r="W200" s="268"/>
      <c r="X200" s="268"/>
      <c r="Y200" s="268"/>
      <c r="Z200" s="268"/>
      <c r="AA200" s="268"/>
    </row>
    <row r="201" customHeight="1" spans="1:27">
      <c r="A201" s="217">
        <v>44728</v>
      </c>
      <c r="B201" s="245">
        <v>16.22</v>
      </c>
      <c r="S201" s="268"/>
      <c r="T201" s="268"/>
      <c r="U201" s="268"/>
      <c r="V201" s="268"/>
      <c r="W201" s="268"/>
      <c r="X201" s="268"/>
      <c r="Y201" s="268"/>
      <c r="Z201" s="268"/>
      <c r="AA201" s="268"/>
    </row>
    <row r="202" customHeight="1" spans="1:27">
      <c r="A202" s="217">
        <v>44735</v>
      </c>
      <c r="B202" s="245">
        <v>17.04</v>
      </c>
      <c r="S202" s="268"/>
      <c r="T202" s="268"/>
      <c r="U202" s="268"/>
      <c r="V202" s="268"/>
      <c r="W202" s="268"/>
      <c r="X202" s="268"/>
      <c r="Y202" s="268"/>
      <c r="Z202" s="268"/>
      <c r="AA202" s="268"/>
    </row>
    <row r="203" customHeight="1" spans="1:27">
      <c r="A203" s="158">
        <v>44742</v>
      </c>
      <c r="B203" s="142">
        <v>19.2</v>
      </c>
      <c r="S203" s="268"/>
      <c r="T203" s="268"/>
      <c r="U203" s="268"/>
      <c r="V203" s="268"/>
      <c r="W203" s="268"/>
      <c r="X203" s="268"/>
      <c r="Y203" s="268"/>
      <c r="Z203" s="268"/>
      <c r="AA203" s="268"/>
    </row>
    <row r="204" s="272" customFormat="1" customHeight="1" spans="1:27">
      <c r="A204" s="158">
        <v>44749</v>
      </c>
      <c r="B204" s="142">
        <v>22.41</v>
      </c>
      <c r="S204" s="268"/>
      <c r="T204" s="268"/>
      <c r="U204" s="268"/>
      <c r="V204" s="268"/>
      <c r="W204" s="268"/>
      <c r="X204" s="268"/>
      <c r="Y204" s="268"/>
      <c r="Z204" s="268"/>
      <c r="AA204" s="268"/>
    </row>
    <row r="205" customHeight="1" spans="1:27">
      <c r="A205" s="158">
        <v>44756</v>
      </c>
      <c r="B205" s="142">
        <v>22.88</v>
      </c>
      <c r="S205" s="268"/>
      <c r="T205" s="268"/>
      <c r="U205" s="268"/>
      <c r="V205" s="268"/>
      <c r="W205" s="268"/>
      <c r="X205" s="268"/>
      <c r="Y205" s="268"/>
      <c r="Z205" s="268"/>
      <c r="AA205" s="268"/>
    </row>
    <row r="206" customHeight="1" spans="1:27">
      <c r="A206" s="158">
        <v>44763</v>
      </c>
      <c r="B206" s="142">
        <v>22.52</v>
      </c>
      <c r="S206" s="268"/>
      <c r="T206" s="268"/>
      <c r="U206" s="268"/>
      <c r="V206" s="268"/>
      <c r="W206" s="268"/>
      <c r="X206" s="268"/>
      <c r="Y206" s="268"/>
      <c r="Z206" s="268"/>
      <c r="AA206" s="268"/>
    </row>
    <row r="207" customHeight="1" spans="1:27">
      <c r="A207" s="158">
        <v>44770</v>
      </c>
      <c r="B207" s="142">
        <v>21.26</v>
      </c>
      <c r="S207" s="268"/>
      <c r="T207" s="268"/>
      <c r="U207" s="268"/>
      <c r="V207" s="268"/>
      <c r="W207" s="268"/>
      <c r="X207" s="268"/>
      <c r="Y207" s="268"/>
      <c r="Z207" s="268"/>
      <c r="AA207" s="268"/>
    </row>
    <row r="208" customHeight="1" spans="1:27">
      <c r="A208" s="158">
        <v>44777</v>
      </c>
      <c r="B208" s="142">
        <v>21.46</v>
      </c>
      <c r="S208" s="268"/>
      <c r="T208" s="268"/>
      <c r="U208" s="268"/>
      <c r="V208" s="268"/>
      <c r="W208" s="268"/>
      <c r="X208" s="268"/>
      <c r="Y208" s="268"/>
      <c r="Z208" s="268"/>
      <c r="AA208" s="268"/>
    </row>
    <row r="209" customHeight="1" spans="1:27">
      <c r="A209" s="158">
        <v>44784</v>
      </c>
      <c r="B209" s="142">
        <v>21.28</v>
      </c>
      <c r="S209" s="268"/>
      <c r="T209" s="268"/>
      <c r="U209" s="268"/>
      <c r="V209" s="268"/>
      <c r="W209" s="268"/>
      <c r="X209" s="268"/>
      <c r="Y209" s="268"/>
      <c r="Z209" s="268"/>
      <c r="AA209" s="268"/>
    </row>
    <row r="210" customHeight="1" spans="1:27">
      <c r="A210" s="158">
        <v>44791</v>
      </c>
      <c r="B210" s="142">
        <v>21.18</v>
      </c>
      <c r="S210" s="268"/>
      <c r="T210" s="268"/>
      <c r="U210" s="268"/>
      <c r="V210" s="268"/>
      <c r="W210" s="268"/>
      <c r="X210" s="268"/>
      <c r="Y210" s="268"/>
      <c r="Z210" s="268"/>
      <c r="AA210" s="268"/>
    </row>
    <row r="211" customHeight="1" spans="1:27">
      <c r="A211" s="158">
        <v>44798</v>
      </c>
      <c r="B211" s="142">
        <v>21.79</v>
      </c>
      <c r="S211" s="268"/>
      <c r="T211" s="268"/>
      <c r="U211" s="268"/>
      <c r="V211" s="268"/>
      <c r="W211" s="268"/>
      <c r="X211" s="268"/>
      <c r="Y211" s="268"/>
      <c r="Z211" s="268"/>
      <c r="AA211" s="268"/>
    </row>
    <row r="212" customHeight="1" spans="1:27">
      <c r="A212" s="158">
        <v>44805</v>
      </c>
      <c r="B212" s="142">
        <v>23.05</v>
      </c>
      <c r="S212" s="268"/>
      <c r="T212" s="268"/>
      <c r="U212" s="268"/>
      <c r="V212" s="268"/>
      <c r="W212" s="268"/>
      <c r="X212" s="268"/>
      <c r="Y212" s="268"/>
      <c r="Z212" s="268"/>
      <c r="AA212" s="268"/>
    </row>
    <row r="213" customHeight="1" spans="1:27">
      <c r="A213" s="158">
        <v>44812</v>
      </c>
      <c r="B213" s="142">
        <v>23.42</v>
      </c>
      <c r="S213" s="268"/>
      <c r="T213" s="268"/>
      <c r="U213" s="268"/>
      <c r="V213" s="268"/>
      <c r="W213" s="268"/>
      <c r="X213" s="268"/>
      <c r="Y213" s="268"/>
      <c r="Z213" s="268"/>
      <c r="AA213" s="268"/>
    </row>
    <row r="214" customHeight="1" spans="1:27">
      <c r="A214" s="158">
        <v>44819</v>
      </c>
      <c r="B214" s="142">
        <v>23.31</v>
      </c>
      <c r="S214" s="268"/>
      <c r="T214" s="268"/>
      <c r="U214" s="268"/>
      <c r="V214" s="268"/>
      <c r="W214" s="268"/>
      <c r="X214" s="268"/>
      <c r="Y214" s="268"/>
      <c r="Z214" s="268"/>
      <c r="AA214" s="268"/>
    </row>
    <row r="215" customHeight="1" spans="1:27">
      <c r="A215" s="158">
        <v>44826</v>
      </c>
      <c r="B215" s="142">
        <v>23.76</v>
      </c>
      <c r="S215" s="268"/>
      <c r="T215" s="268"/>
      <c r="U215" s="268"/>
      <c r="V215" s="268"/>
      <c r="W215" s="268"/>
      <c r="X215" s="268"/>
      <c r="Y215" s="268"/>
      <c r="Z215" s="268"/>
      <c r="AA215" s="268"/>
    </row>
    <row r="216" customHeight="1" spans="1:27">
      <c r="A216" s="158">
        <v>44833</v>
      </c>
      <c r="B216" s="142">
        <v>24.12</v>
      </c>
      <c r="S216" s="268"/>
      <c r="T216" s="268"/>
      <c r="U216" s="268"/>
      <c r="V216" s="268"/>
      <c r="W216" s="268"/>
      <c r="X216" s="268"/>
      <c r="Y216" s="268"/>
      <c r="Z216" s="268"/>
      <c r="AA216" s="268"/>
    </row>
    <row r="217" customHeight="1" spans="1:27">
      <c r="A217" s="158">
        <v>44842</v>
      </c>
      <c r="B217" s="142">
        <v>25.69</v>
      </c>
      <c r="S217" s="268"/>
      <c r="T217" s="268"/>
      <c r="U217" s="268"/>
      <c r="V217" s="268"/>
      <c r="W217" s="268"/>
      <c r="X217" s="268"/>
      <c r="Y217" s="268"/>
      <c r="Z217" s="268"/>
      <c r="AA217" s="268"/>
    </row>
    <row r="218" customHeight="1" spans="1:27">
      <c r="A218" s="158">
        <v>44847</v>
      </c>
      <c r="B218" s="142">
        <v>26.75</v>
      </c>
      <c r="S218" s="268"/>
      <c r="T218" s="268"/>
      <c r="U218" s="268"/>
      <c r="V218" s="268"/>
      <c r="W218" s="268"/>
      <c r="X218" s="268"/>
      <c r="Y218" s="268"/>
      <c r="Z218" s="268"/>
      <c r="AA218" s="268"/>
    </row>
    <row r="219" customHeight="1" spans="1:27">
      <c r="A219" s="158">
        <v>44854</v>
      </c>
      <c r="B219" s="142">
        <v>28.02</v>
      </c>
      <c r="S219" s="268"/>
      <c r="T219" s="268"/>
      <c r="U219" s="268"/>
      <c r="V219" s="268"/>
      <c r="W219" s="268"/>
      <c r="X219" s="268"/>
      <c r="Y219" s="268"/>
      <c r="Z219" s="268"/>
      <c r="AA219" s="268"/>
    </row>
    <row r="220" customHeight="1" spans="1:27">
      <c r="A220" s="158">
        <v>44861</v>
      </c>
      <c r="B220" s="142">
        <v>27.52</v>
      </c>
      <c r="S220" s="268"/>
      <c r="T220" s="268"/>
      <c r="U220" s="268"/>
      <c r="V220" s="268"/>
      <c r="W220" s="268"/>
      <c r="X220" s="268"/>
      <c r="Y220" s="268"/>
      <c r="Z220" s="268"/>
      <c r="AA220" s="268"/>
    </row>
    <row r="221" customHeight="1" spans="1:27">
      <c r="A221" s="158">
        <v>44868</v>
      </c>
      <c r="B221" s="142">
        <v>26.05</v>
      </c>
      <c r="S221" s="268"/>
      <c r="T221" s="268"/>
      <c r="U221" s="268"/>
      <c r="V221" s="268"/>
      <c r="W221" s="268"/>
      <c r="X221" s="268"/>
      <c r="Y221" s="268"/>
      <c r="Z221" s="268"/>
      <c r="AA221" s="268"/>
    </row>
    <row r="222" customHeight="1" spans="1:27">
      <c r="A222" s="158">
        <v>44875</v>
      </c>
      <c r="B222" s="142">
        <v>25.18</v>
      </c>
      <c r="S222" s="268"/>
      <c r="T222" s="268"/>
      <c r="U222" s="268"/>
      <c r="V222" s="268"/>
      <c r="W222" s="268"/>
      <c r="X222" s="268"/>
      <c r="Y222" s="268"/>
      <c r="Z222" s="268"/>
      <c r="AA222" s="268"/>
    </row>
    <row r="223" customHeight="1" spans="1:27">
      <c r="A223" s="158">
        <v>44882</v>
      </c>
      <c r="B223" s="142">
        <v>24.36</v>
      </c>
      <c r="S223" s="268"/>
      <c r="T223" s="268"/>
      <c r="U223" s="268"/>
      <c r="V223" s="268"/>
      <c r="W223" s="268"/>
      <c r="X223" s="268"/>
      <c r="Y223" s="268"/>
      <c r="Z223" s="268"/>
      <c r="AA223" s="268"/>
    </row>
    <row r="224" customHeight="1" spans="1:27">
      <c r="A224" s="158">
        <v>44889</v>
      </c>
      <c r="B224" s="142">
        <v>23.36</v>
      </c>
      <c r="S224" s="268"/>
      <c r="T224" s="268"/>
      <c r="U224" s="268"/>
      <c r="V224" s="268"/>
      <c r="W224" s="268"/>
      <c r="X224" s="268"/>
      <c r="Y224" s="268"/>
      <c r="Z224" s="268"/>
      <c r="AA224" s="268"/>
    </row>
    <row r="225" customHeight="1" spans="1:27">
      <c r="A225" s="158">
        <v>44896</v>
      </c>
      <c r="B225" s="142">
        <v>21.91</v>
      </c>
      <c r="S225" s="268"/>
      <c r="T225" s="268"/>
      <c r="U225" s="268"/>
      <c r="V225" s="268"/>
      <c r="W225" s="268"/>
      <c r="X225" s="268"/>
      <c r="Y225" s="268"/>
      <c r="Z225" s="268"/>
      <c r="AA225" s="268"/>
    </row>
    <row r="226" customHeight="1" spans="1:27">
      <c r="A226" s="158">
        <v>44903</v>
      </c>
      <c r="B226" s="142">
        <v>22.33</v>
      </c>
      <c r="S226" s="268"/>
      <c r="T226" s="268"/>
      <c r="U226" s="268"/>
      <c r="V226" s="268"/>
      <c r="W226" s="268"/>
      <c r="X226" s="268"/>
      <c r="Y226" s="268"/>
      <c r="Z226" s="268"/>
      <c r="AA226" s="268"/>
    </row>
    <row r="227" customHeight="1" spans="1:27">
      <c r="A227" s="158">
        <v>44910</v>
      </c>
      <c r="B227" s="142">
        <v>19.35</v>
      </c>
      <c r="S227" s="268"/>
      <c r="T227" s="268"/>
      <c r="U227" s="268"/>
      <c r="V227" s="268"/>
      <c r="W227" s="268"/>
      <c r="X227" s="268"/>
      <c r="Y227" s="268"/>
      <c r="Z227" s="268"/>
      <c r="AA227" s="268"/>
    </row>
    <row r="228" customHeight="1" spans="1:27">
      <c r="A228" s="158">
        <v>44917</v>
      </c>
      <c r="B228" s="142">
        <v>16.73</v>
      </c>
      <c r="S228" s="268"/>
      <c r="T228" s="268"/>
      <c r="U228" s="268"/>
      <c r="V228" s="268"/>
      <c r="W228" s="268"/>
      <c r="X228" s="268"/>
      <c r="Y228" s="268"/>
      <c r="Z228" s="268"/>
      <c r="AA228" s="268"/>
    </row>
    <row r="229" customHeight="1" spans="1:27">
      <c r="A229" s="158">
        <v>44924</v>
      </c>
      <c r="B229" s="142">
        <v>17.14</v>
      </c>
      <c r="S229" s="268"/>
      <c r="T229" s="268"/>
      <c r="U229" s="268"/>
      <c r="V229" s="268"/>
      <c r="W229" s="268"/>
      <c r="X229" s="268"/>
      <c r="Y229" s="268"/>
      <c r="Z229" s="268"/>
      <c r="AA229" s="268"/>
    </row>
    <row r="230" customHeight="1" spans="1:27">
      <c r="A230" s="158">
        <v>44931</v>
      </c>
      <c r="B230" s="142">
        <v>15.47</v>
      </c>
      <c r="S230" s="268"/>
      <c r="T230" s="268"/>
      <c r="U230" s="268"/>
      <c r="V230" s="268"/>
      <c r="W230" s="268"/>
      <c r="X230" s="268"/>
      <c r="Y230" s="268"/>
      <c r="Z230" s="268"/>
      <c r="AA230" s="268"/>
    </row>
    <row r="231" customHeight="1" spans="1:27">
      <c r="A231" s="158">
        <v>44938</v>
      </c>
      <c r="B231" s="142">
        <v>14.76</v>
      </c>
      <c r="S231" s="268"/>
      <c r="T231" s="268"/>
      <c r="U231" s="268"/>
      <c r="V231" s="268"/>
      <c r="W231" s="268"/>
      <c r="X231" s="268"/>
      <c r="Y231" s="268"/>
      <c r="Z231" s="268"/>
      <c r="AA231" s="268"/>
    </row>
    <row r="232" customHeight="1" spans="1:27">
      <c r="A232" s="158">
        <v>44959</v>
      </c>
      <c r="B232" s="142">
        <v>14.28</v>
      </c>
      <c r="S232" s="268"/>
      <c r="T232" s="268"/>
      <c r="U232" s="268"/>
      <c r="V232" s="268"/>
      <c r="W232" s="268"/>
      <c r="X232" s="268"/>
      <c r="Y232" s="268"/>
      <c r="Z232" s="268"/>
      <c r="AA232" s="268"/>
    </row>
    <row r="233" customHeight="1" spans="1:27">
      <c r="A233" s="158">
        <v>44966</v>
      </c>
      <c r="B233" s="197">
        <v>14.07</v>
      </c>
      <c r="S233" s="268"/>
      <c r="T233" s="268"/>
      <c r="U233" s="268"/>
      <c r="V233" s="268"/>
      <c r="W233" s="268"/>
      <c r="X233" s="268"/>
      <c r="Y233" s="268"/>
      <c r="Z233" s="268"/>
      <c r="AA233" s="268"/>
    </row>
    <row r="234" customHeight="1" spans="1:27">
      <c r="A234" s="158">
        <v>44973</v>
      </c>
      <c r="B234" s="197">
        <v>14.59</v>
      </c>
      <c r="S234" s="268"/>
      <c r="T234" s="268"/>
      <c r="U234" s="268"/>
      <c r="V234" s="268"/>
      <c r="W234" s="268"/>
      <c r="X234" s="268"/>
      <c r="Y234" s="268"/>
      <c r="Z234" s="268"/>
      <c r="AA234" s="268"/>
    </row>
    <row r="235" customHeight="1" spans="1:27">
      <c r="A235" s="158">
        <v>44980</v>
      </c>
      <c r="B235" s="197">
        <v>15.49</v>
      </c>
      <c r="S235" s="268"/>
      <c r="T235" s="268"/>
      <c r="U235" s="268"/>
      <c r="V235" s="268"/>
      <c r="W235" s="268"/>
      <c r="X235" s="268"/>
      <c r="Y235" s="268"/>
      <c r="Z235" s="268"/>
      <c r="AA235" s="268"/>
    </row>
    <row r="236" customHeight="1" spans="1:27">
      <c r="A236" s="158">
        <v>44987</v>
      </c>
      <c r="B236" s="197">
        <v>15.83</v>
      </c>
      <c r="S236" s="268"/>
      <c r="T236" s="268"/>
      <c r="U236" s="268"/>
      <c r="V236" s="268"/>
      <c r="W236" s="268"/>
      <c r="X236" s="268"/>
      <c r="Y236" s="268"/>
      <c r="Z236" s="268"/>
      <c r="AA236" s="268"/>
    </row>
    <row r="237" customHeight="1" spans="1:27">
      <c r="A237" s="158">
        <v>44994</v>
      </c>
      <c r="B237" s="197">
        <v>15.7</v>
      </c>
      <c r="S237" s="268"/>
      <c r="T237" s="268"/>
      <c r="U237" s="268"/>
      <c r="V237" s="268"/>
      <c r="W237" s="268"/>
      <c r="X237" s="268"/>
      <c r="Y237" s="268"/>
      <c r="Z237" s="268"/>
      <c r="AA237" s="268"/>
    </row>
    <row r="238" customHeight="1" spans="1:27">
      <c r="A238" s="158">
        <v>45001</v>
      </c>
      <c r="B238" s="197">
        <v>15.14</v>
      </c>
      <c r="S238" s="268"/>
      <c r="T238" s="268"/>
      <c r="U238" s="268"/>
      <c r="V238" s="268"/>
      <c r="W238" s="268"/>
      <c r="X238" s="268"/>
      <c r="Y238" s="268"/>
      <c r="Z238" s="268"/>
      <c r="AA238" s="268"/>
    </row>
    <row r="239" customHeight="1" spans="1:27">
      <c r="A239" s="158">
        <v>45008</v>
      </c>
      <c r="B239" s="197">
        <v>15.12</v>
      </c>
      <c r="S239" s="268"/>
      <c r="T239" s="268"/>
      <c r="U239" s="268"/>
      <c r="V239" s="268"/>
      <c r="W239" s="268"/>
      <c r="X239" s="268"/>
      <c r="Y239" s="268"/>
      <c r="Z239" s="268"/>
      <c r="AA239" s="268"/>
    </row>
    <row r="240" customHeight="1" spans="1:27">
      <c r="A240" s="158">
        <v>45015</v>
      </c>
      <c r="B240" s="197">
        <v>14.88</v>
      </c>
      <c r="S240" s="268"/>
      <c r="T240" s="268"/>
      <c r="U240" s="268"/>
      <c r="V240" s="268"/>
      <c r="W240" s="268"/>
      <c r="X240" s="268"/>
      <c r="Y240" s="268"/>
      <c r="Z240" s="268"/>
      <c r="AA240" s="268"/>
    </row>
    <row r="241" customHeight="1" spans="1:27">
      <c r="A241" s="158">
        <v>45022</v>
      </c>
      <c r="B241" s="197">
        <v>14.55</v>
      </c>
      <c r="S241" s="268"/>
      <c r="T241" s="268"/>
      <c r="U241" s="268"/>
      <c r="V241" s="268"/>
      <c r="W241" s="268"/>
      <c r="X241" s="268"/>
      <c r="Y241" s="268"/>
      <c r="Z241" s="268"/>
      <c r="AA241" s="268"/>
    </row>
    <row r="242" customHeight="1" spans="1:27">
      <c r="A242" s="158">
        <v>45029</v>
      </c>
      <c r="B242" s="197">
        <v>14.28</v>
      </c>
      <c r="S242" s="268"/>
      <c r="T242" s="268"/>
      <c r="U242" s="268"/>
      <c r="V242" s="268"/>
      <c r="W242" s="268"/>
      <c r="X242" s="268"/>
      <c r="Y242" s="268"/>
      <c r="Z242" s="268"/>
      <c r="AA242" s="268"/>
    </row>
    <row r="243" customHeight="1" spans="1:27">
      <c r="A243" s="158">
        <v>45036</v>
      </c>
      <c r="B243" s="197">
        <v>14.05</v>
      </c>
      <c r="S243" s="268"/>
      <c r="T243" s="268"/>
      <c r="U243" s="268"/>
      <c r="V243" s="268"/>
      <c r="W243" s="268"/>
      <c r="X243" s="268"/>
      <c r="Y243" s="268"/>
      <c r="Z243" s="268"/>
      <c r="AA243" s="268"/>
    </row>
    <row r="244" customHeight="1" spans="1:27">
      <c r="A244" s="158">
        <v>45043</v>
      </c>
      <c r="B244" s="142">
        <v>14.74</v>
      </c>
      <c r="S244" s="268"/>
      <c r="T244" s="268"/>
      <c r="U244" s="268"/>
      <c r="V244" s="268"/>
      <c r="W244" s="268"/>
      <c r="X244" s="268"/>
      <c r="Y244" s="268"/>
      <c r="Z244" s="268"/>
      <c r="AA244" s="268"/>
    </row>
    <row r="245" customHeight="1" spans="1:27">
      <c r="A245" s="158">
        <v>45050</v>
      </c>
      <c r="B245" s="197">
        <v>14.62</v>
      </c>
      <c r="S245" s="268"/>
      <c r="T245" s="268"/>
      <c r="U245" s="268"/>
      <c r="V245" s="268"/>
      <c r="W245" s="268"/>
      <c r="X245" s="268"/>
      <c r="Y245" s="268"/>
      <c r="Z245" s="268"/>
      <c r="AA245" s="268"/>
    </row>
    <row r="246" customHeight="1" spans="1:27">
      <c r="A246" s="158">
        <v>45057</v>
      </c>
      <c r="B246" s="142">
        <v>14.34</v>
      </c>
      <c r="S246" s="268"/>
      <c r="T246" s="268"/>
      <c r="U246" s="268"/>
      <c r="V246" s="268"/>
      <c r="W246" s="268"/>
      <c r="X246" s="268"/>
      <c r="Y246" s="268"/>
      <c r="Z246" s="268"/>
      <c r="AA246" s="268"/>
    </row>
    <row r="247" customHeight="1" spans="1:27">
      <c r="A247" s="158">
        <v>45064</v>
      </c>
      <c r="B247" s="142">
        <v>14.21</v>
      </c>
      <c r="S247" s="268"/>
      <c r="T247" s="268"/>
      <c r="U247" s="268"/>
      <c r="V247" s="268"/>
      <c r="W247" s="268"/>
      <c r="X247" s="268"/>
      <c r="Y247" s="268"/>
      <c r="Z247" s="268"/>
      <c r="AA247" s="268"/>
    </row>
    <row r="248" customHeight="1" spans="1:27">
      <c r="A248" s="158">
        <v>45071</v>
      </c>
      <c r="B248" s="142">
        <v>14.18</v>
      </c>
      <c r="S248" s="268"/>
      <c r="T248" s="268"/>
      <c r="U248" s="268"/>
      <c r="V248" s="268"/>
      <c r="W248" s="268"/>
      <c r="X248" s="268"/>
      <c r="Y248" s="268"/>
      <c r="Z248" s="268"/>
      <c r="AA248" s="268"/>
    </row>
    <row r="249" customHeight="1" spans="1:27">
      <c r="A249" s="158">
        <v>45078</v>
      </c>
      <c r="B249" s="142">
        <v>14.44</v>
      </c>
      <c r="S249" s="268"/>
      <c r="T249" s="268"/>
      <c r="U249" s="268"/>
      <c r="V249" s="268"/>
      <c r="W249" s="268"/>
      <c r="X249" s="268"/>
      <c r="Y249" s="268"/>
      <c r="Z249" s="268"/>
      <c r="AA249" s="268"/>
    </row>
    <row r="250" customHeight="1" spans="1:27">
      <c r="A250" s="158">
        <v>45085</v>
      </c>
      <c r="B250" s="142">
        <v>14.33</v>
      </c>
      <c r="S250" s="268"/>
      <c r="T250" s="268"/>
      <c r="U250" s="268"/>
      <c r="V250" s="268"/>
      <c r="W250" s="268"/>
      <c r="X250" s="268"/>
      <c r="Y250" s="268"/>
      <c r="Z250" s="268"/>
      <c r="AA250" s="268"/>
    </row>
    <row r="251" customHeight="1" spans="1:27">
      <c r="A251" s="158">
        <v>45092</v>
      </c>
      <c r="B251" s="142">
        <v>14.27</v>
      </c>
      <c r="S251" s="268"/>
      <c r="T251" s="268"/>
      <c r="U251" s="268"/>
      <c r="V251" s="268"/>
      <c r="W251" s="268"/>
      <c r="X251" s="268"/>
      <c r="Y251" s="268"/>
      <c r="Z251" s="268"/>
      <c r="AA251" s="268"/>
    </row>
    <row r="252" customHeight="1" spans="1:27">
      <c r="A252" s="158">
        <v>45098</v>
      </c>
      <c r="B252" s="142">
        <v>14.37</v>
      </c>
      <c r="S252" s="268"/>
      <c r="T252" s="268"/>
      <c r="U252" s="268"/>
      <c r="V252" s="268"/>
      <c r="W252" s="268"/>
      <c r="X252" s="268"/>
      <c r="Y252" s="268"/>
      <c r="Z252" s="268"/>
      <c r="AA252" s="268"/>
    </row>
    <row r="253" customHeight="1" spans="1:27">
      <c r="A253" s="158">
        <v>45106</v>
      </c>
      <c r="B253" s="142">
        <v>13.92</v>
      </c>
      <c r="S253" s="268"/>
      <c r="T253" s="268"/>
      <c r="U253" s="268"/>
      <c r="V253" s="268"/>
      <c r="W253" s="268"/>
      <c r="X253" s="268"/>
      <c r="Y253" s="268"/>
      <c r="Z253" s="268"/>
      <c r="AA253" s="268"/>
    </row>
    <row r="254" customHeight="1" spans="1:27">
      <c r="A254" s="158">
        <v>45113</v>
      </c>
      <c r="B254" s="142">
        <v>13.94</v>
      </c>
      <c r="S254" s="268"/>
      <c r="T254" s="268"/>
      <c r="U254" s="268"/>
      <c r="V254" s="268"/>
      <c r="W254" s="268"/>
      <c r="X254" s="268"/>
      <c r="Y254" s="268"/>
      <c r="Z254" s="268"/>
      <c r="AA254" s="268"/>
    </row>
    <row r="255" customHeight="1" spans="1:27">
      <c r="A255" s="158">
        <v>45120</v>
      </c>
      <c r="B255" s="142">
        <v>14</v>
      </c>
      <c r="S255" s="268"/>
      <c r="T255" s="268"/>
      <c r="U255" s="268"/>
      <c r="V255" s="268"/>
      <c r="W255" s="268"/>
      <c r="X255" s="268"/>
      <c r="Y255" s="268"/>
      <c r="Z255" s="268"/>
      <c r="AA255" s="268"/>
    </row>
    <row r="256" customHeight="1" spans="1:27">
      <c r="A256" s="158">
        <v>45127</v>
      </c>
      <c r="B256" s="142">
        <v>13.98</v>
      </c>
      <c r="S256" s="268"/>
      <c r="T256" s="268"/>
      <c r="U256" s="268"/>
      <c r="V256" s="268"/>
      <c r="W256" s="268"/>
      <c r="X256" s="268"/>
      <c r="Y256" s="268"/>
      <c r="Z256" s="268"/>
      <c r="AA256" s="268"/>
    </row>
    <row r="257" customHeight="1" spans="1:27">
      <c r="A257" s="158">
        <v>45134</v>
      </c>
      <c r="B257" s="142">
        <v>14.68</v>
      </c>
      <c r="S257" s="268"/>
      <c r="T257" s="268"/>
      <c r="U257" s="268"/>
      <c r="V257" s="268"/>
      <c r="W257" s="268"/>
      <c r="X257" s="268"/>
      <c r="Y257" s="268"/>
      <c r="Z257" s="268"/>
      <c r="AA257" s="268"/>
    </row>
    <row r="258" customHeight="1" spans="1:27">
      <c r="A258" s="158">
        <v>45141</v>
      </c>
      <c r="B258" s="142">
        <v>16.48</v>
      </c>
      <c r="S258" s="268"/>
      <c r="T258" s="268"/>
      <c r="U258" s="268"/>
      <c r="V258" s="268"/>
      <c r="W258" s="268"/>
      <c r="X258" s="268"/>
      <c r="Y258" s="268"/>
      <c r="Z258" s="268"/>
      <c r="AA258" s="268"/>
    </row>
    <row r="259" customHeight="1" spans="1:27">
      <c r="A259" s="158">
        <v>45148</v>
      </c>
      <c r="B259" s="142">
        <v>17.37</v>
      </c>
      <c r="S259" s="268"/>
      <c r="T259" s="268"/>
      <c r="U259" s="268"/>
      <c r="V259" s="268"/>
      <c r="W259" s="268"/>
      <c r="X259" s="268"/>
      <c r="Y259" s="268"/>
      <c r="Z259" s="268"/>
      <c r="AA259" s="268"/>
    </row>
    <row r="260" customHeight="1" spans="1:27">
      <c r="A260" s="158">
        <v>45155</v>
      </c>
      <c r="B260" s="142">
        <v>17.1</v>
      </c>
      <c r="S260" s="268"/>
      <c r="T260" s="268"/>
      <c r="U260" s="268"/>
      <c r="V260" s="268"/>
      <c r="W260" s="268"/>
      <c r="X260" s="268"/>
      <c r="Y260" s="268"/>
      <c r="Z260" s="268"/>
      <c r="AA260" s="268"/>
    </row>
    <row r="261" customHeight="1" spans="1:27">
      <c r="A261" s="158">
        <v>45162</v>
      </c>
      <c r="B261" s="142">
        <v>17.03</v>
      </c>
      <c r="S261" s="268"/>
      <c r="T261" s="268"/>
      <c r="U261" s="268"/>
      <c r="V261" s="268"/>
      <c r="W261" s="268"/>
      <c r="X261" s="268"/>
      <c r="Y261" s="268"/>
      <c r="Z261" s="268"/>
      <c r="AA261" s="268"/>
    </row>
    <row r="262" customHeight="1" spans="1:27">
      <c r="A262" s="158">
        <v>45169</v>
      </c>
      <c r="B262" s="142">
        <v>17.12</v>
      </c>
      <c r="S262" s="268"/>
      <c r="T262" s="268"/>
      <c r="U262" s="268"/>
      <c r="V262" s="268"/>
      <c r="W262" s="268"/>
      <c r="X262" s="268"/>
      <c r="Y262" s="268"/>
      <c r="Z262" s="268"/>
      <c r="AA262" s="268"/>
    </row>
    <row r="263" customHeight="1" spans="1:27">
      <c r="A263" s="158">
        <v>45176</v>
      </c>
      <c r="B263" s="142">
        <v>16.76</v>
      </c>
      <c r="S263" s="268"/>
      <c r="T263" s="268"/>
      <c r="U263" s="268"/>
      <c r="V263" s="268"/>
      <c r="W263" s="268"/>
      <c r="X263" s="268"/>
      <c r="Y263" s="268"/>
      <c r="Z263" s="268"/>
      <c r="AA263" s="268"/>
    </row>
    <row r="264" customHeight="1" spans="1:27">
      <c r="A264" s="158">
        <v>45183</v>
      </c>
      <c r="B264" s="142">
        <v>16.49</v>
      </c>
      <c r="S264" s="268"/>
      <c r="T264" s="268"/>
      <c r="U264" s="268"/>
      <c r="V264" s="268"/>
      <c r="W264" s="268"/>
      <c r="X264" s="268"/>
      <c r="Y264" s="268"/>
      <c r="Z264" s="268"/>
      <c r="AA264" s="268"/>
    </row>
    <row r="265" customHeight="1" spans="1:27">
      <c r="A265" s="158">
        <v>45190</v>
      </c>
      <c r="B265" s="142">
        <v>16.37</v>
      </c>
      <c r="S265" s="268"/>
      <c r="T265" s="268"/>
      <c r="U265" s="268"/>
      <c r="V265" s="268"/>
      <c r="W265" s="268"/>
      <c r="X265" s="268"/>
      <c r="Y265" s="268"/>
      <c r="Z265" s="268"/>
      <c r="AA265" s="268"/>
    </row>
    <row r="266" customHeight="1" spans="1:27">
      <c r="A266" s="158">
        <v>45197</v>
      </c>
      <c r="B266" s="142">
        <v>16.07</v>
      </c>
      <c r="S266" s="268"/>
      <c r="T266" s="268"/>
      <c r="U266" s="268"/>
      <c r="V266" s="268"/>
      <c r="W266" s="268"/>
      <c r="X266" s="268"/>
      <c r="Y266" s="268"/>
      <c r="Z266" s="268"/>
      <c r="AA266" s="268"/>
    </row>
    <row r="267" customHeight="1" spans="1:27">
      <c r="A267" s="158">
        <v>45205</v>
      </c>
      <c r="B267" s="142">
        <v>15.86</v>
      </c>
      <c r="S267" s="268"/>
      <c r="T267" s="268"/>
      <c r="U267" s="268"/>
      <c r="V267" s="268"/>
      <c r="W267" s="268"/>
      <c r="X267" s="268"/>
      <c r="Y267" s="268"/>
      <c r="Z267" s="268"/>
      <c r="AA267" s="268"/>
    </row>
    <row r="268" customHeight="1" spans="1:27">
      <c r="A268" s="158">
        <v>45211</v>
      </c>
      <c r="B268" s="142">
        <v>15.45</v>
      </c>
      <c r="S268" s="268"/>
      <c r="T268" s="268"/>
      <c r="U268" s="268"/>
      <c r="V268" s="268"/>
      <c r="W268" s="268"/>
      <c r="X268" s="268"/>
      <c r="Y268" s="268"/>
      <c r="Z268" s="268"/>
      <c r="AA268" s="268"/>
    </row>
    <row r="269" customHeight="1" spans="1:27">
      <c r="A269" s="158">
        <v>45218</v>
      </c>
      <c r="B269" s="142">
        <v>15.46</v>
      </c>
      <c r="S269" s="268"/>
      <c r="T269" s="268"/>
      <c r="U269" s="268"/>
      <c r="V269" s="268"/>
      <c r="W269" s="268"/>
      <c r="X269" s="268"/>
      <c r="Y269" s="268"/>
      <c r="Z269" s="268"/>
      <c r="AA269" s="268"/>
    </row>
    <row r="270" customHeight="1" spans="1:27">
      <c r="A270" s="158">
        <v>45225</v>
      </c>
      <c r="B270" s="142">
        <v>15.11</v>
      </c>
      <c r="S270" s="268"/>
      <c r="T270" s="268"/>
      <c r="U270" s="268"/>
      <c r="V270" s="268"/>
      <c r="W270" s="268"/>
      <c r="X270" s="268"/>
      <c r="Y270" s="268"/>
      <c r="Z270" s="268"/>
      <c r="AA270" s="268"/>
    </row>
    <row r="271" customHeight="1" spans="1:27">
      <c r="A271" s="158">
        <v>45232</v>
      </c>
      <c r="B271" s="142">
        <v>14.5</v>
      </c>
      <c r="S271" s="268"/>
      <c r="T271" s="268"/>
      <c r="U271" s="268"/>
      <c r="V271" s="268"/>
      <c r="W271" s="268"/>
      <c r="X271" s="268"/>
      <c r="Y271" s="268"/>
      <c r="Z271" s="268"/>
      <c r="AA271" s="268"/>
    </row>
    <row r="272" customHeight="1" spans="1:27">
      <c r="A272" s="158">
        <v>45239</v>
      </c>
      <c r="B272" s="142">
        <v>14.74</v>
      </c>
      <c r="S272" s="268"/>
      <c r="T272" s="268"/>
      <c r="U272" s="268"/>
      <c r="V272" s="268"/>
      <c r="W272" s="268"/>
      <c r="X272" s="268"/>
      <c r="Y272" s="268"/>
      <c r="Z272" s="268"/>
      <c r="AA272" s="268"/>
    </row>
    <row r="273" customHeight="1" spans="1:27">
      <c r="A273" s="158">
        <v>45246</v>
      </c>
      <c r="B273" s="142">
        <v>14.37</v>
      </c>
      <c r="S273" s="268"/>
      <c r="T273" s="268"/>
      <c r="U273" s="268"/>
      <c r="V273" s="268"/>
      <c r="W273" s="268"/>
      <c r="X273" s="268"/>
      <c r="Y273" s="268"/>
      <c r="Z273" s="268"/>
      <c r="AA273" s="268"/>
    </row>
    <row r="274" customHeight="1" spans="1:27">
      <c r="A274" s="158">
        <v>45253</v>
      </c>
      <c r="B274" s="142">
        <v>14.83</v>
      </c>
      <c r="S274" s="268"/>
      <c r="T274" s="268"/>
      <c r="U274" s="268"/>
      <c r="V274" s="268"/>
      <c r="W274" s="268"/>
      <c r="X274" s="268"/>
      <c r="Y274" s="268"/>
      <c r="Z274" s="268"/>
      <c r="AA274" s="268"/>
    </row>
    <row r="275" customHeight="1" spans="1:27">
      <c r="A275" s="158">
        <v>45260</v>
      </c>
      <c r="B275" s="142">
        <v>14.38</v>
      </c>
      <c r="S275" s="268"/>
      <c r="T275" s="268"/>
      <c r="U275" s="268"/>
      <c r="V275" s="268"/>
      <c r="W275" s="268"/>
      <c r="X275" s="268"/>
      <c r="Y275" s="268"/>
      <c r="Z275" s="268"/>
      <c r="AA275" s="268"/>
    </row>
    <row r="276" customHeight="1" spans="1:27">
      <c r="A276" s="158">
        <v>45267</v>
      </c>
      <c r="B276" s="142">
        <v>14.17</v>
      </c>
      <c r="S276" s="268"/>
      <c r="T276" s="268"/>
      <c r="U276" s="268"/>
      <c r="V276" s="268"/>
      <c r="W276" s="268"/>
      <c r="X276" s="268"/>
      <c r="Y276" s="268"/>
      <c r="Z276" s="268"/>
      <c r="AA276" s="268"/>
    </row>
    <row r="277" customHeight="1" spans="1:27">
      <c r="A277" s="158">
        <v>45274</v>
      </c>
      <c r="B277" s="142">
        <v>14.12</v>
      </c>
      <c r="S277" s="268"/>
      <c r="T277" s="268"/>
      <c r="U277" s="268"/>
      <c r="V277" s="268"/>
      <c r="W277" s="268"/>
      <c r="X277" s="268"/>
      <c r="Y277" s="268"/>
      <c r="Z277" s="268"/>
      <c r="AA277" s="268"/>
    </row>
    <row r="278" customHeight="1" spans="1:27">
      <c r="A278" s="158">
        <v>45281</v>
      </c>
      <c r="B278" s="142">
        <v>14.67</v>
      </c>
      <c r="S278" s="268"/>
      <c r="T278" s="268"/>
      <c r="U278" s="268"/>
      <c r="V278" s="268"/>
      <c r="W278" s="268"/>
      <c r="X278" s="268"/>
      <c r="Y278" s="268"/>
      <c r="Z278" s="268"/>
      <c r="AA278" s="268"/>
    </row>
    <row r="279" customHeight="1" spans="1:27">
      <c r="A279" s="158">
        <v>45288</v>
      </c>
      <c r="B279" s="142">
        <v>14.44</v>
      </c>
      <c r="S279" s="268"/>
      <c r="T279" s="268"/>
      <c r="U279" s="268"/>
      <c r="V279" s="268"/>
      <c r="W279" s="268"/>
      <c r="X279" s="268"/>
      <c r="Y279" s="268"/>
      <c r="Z279" s="268"/>
      <c r="AA279" s="268"/>
    </row>
    <row r="280" customHeight="1" spans="1:27">
      <c r="A280" s="158">
        <v>45295</v>
      </c>
      <c r="B280" s="142">
        <v>14.23</v>
      </c>
      <c r="S280" s="268"/>
      <c r="T280" s="268"/>
      <c r="U280" s="268"/>
      <c r="V280" s="268"/>
      <c r="W280" s="268"/>
      <c r="X280" s="268"/>
      <c r="Y280" s="268"/>
      <c r="Z280" s="268"/>
      <c r="AA280" s="268"/>
    </row>
    <row r="281" customHeight="1" spans="1:27">
      <c r="A281" s="158">
        <v>45302</v>
      </c>
      <c r="B281" s="142">
        <v>13.81</v>
      </c>
      <c r="S281" s="268"/>
      <c r="T281" s="268"/>
      <c r="U281" s="268"/>
      <c r="V281" s="268"/>
      <c r="W281" s="268"/>
      <c r="X281" s="268"/>
      <c r="Y281" s="268"/>
      <c r="Z281" s="268"/>
      <c r="AA281" s="268"/>
    </row>
    <row r="282" customHeight="1" spans="1:27">
      <c r="A282" s="158">
        <v>45309</v>
      </c>
      <c r="B282" s="142">
        <v>13.69</v>
      </c>
      <c r="S282" s="268"/>
      <c r="T282" s="268"/>
      <c r="U282" s="268"/>
      <c r="V282" s="268"/>
      <c r="W282" s="268"/>
      <c r="X282" s="268"/>
      <c r="Y282" s="268"/>
      <c r="Z282" s="268"/>
      <c r="AA282" s="268"/>
    </row>
    <row r="283" customHeight="1" spans="1:27">
      <c r="A283" s="158">
        <v>45316</v>
      </c>
      <c r="B283" s="142">
        <v>14.27</v>
      </c>
      <c r="S283" s="268"/>
      <c r="T283" s="268"/>
      <c r="U283" s="268"/>
      <c r="V283" s="268"/>
      <c r="W283" s="268"/>
      <c r="X283" s="268"/>
      <c r="Y283" s="268"/>
      <c r="Z283" s="268"/>
      <c r="AA283" s="268"/>
    </row>
    <row r="284" customHeight="1" spans="1:27">
      <c r="A284" s="158">
        <v>45323</v>
      </c>
      <c r="B284" s="142">
        <v>15.6</v>
      </c>
      <c r="S284" s="268"/>
      <c r="T284" s="268"/>
      <c r="U284" s="268"/>
      <c r="V284" s="268"/>
      <c r="W284" s="268"/>
      <c r="X284" s="268"/>
      <c r="Y284" s="268"/>
      <c r="Z284" s="268"/>
      <c r="AA284" s="268"/>
    </row>
    <row r="285" customHeight="1" spans="1:27">
      <c r="A285" s="158">
        <v>45344</v>
      </c>
      <c r="B285" s="142">
        <v>14.22</v>
      </c>
      <c r="S285" s="268"/>
      <c r="T285" s="268"/>
      <c r="U285" s="268"/>
      <c r="V285" s="268"/>
      <c r="W285" s="268"/>
      <c r="X285" s="268"/>
      <c r="Y285" s="268"/>
      <c r="Z285" s="268"/>
      <c r="AA285" s="268"/>
    </row>
    <row r="286" customHeight="1" spans="1:27">
      <c r="A286" s="158">
        <v>45351</v>
      </c>
      <c r="B286" s="142">
        <v>13.77</v>
      </c>
      <c r="S286" s="268"/>
      <c r="T286" s="268"/>
      <c r="U286" s="268"/>
      <c r="V286" s="268"/>
      <c r="W286" s="268"/>
      <c r="X286" s="268"/>
      <c r="Y286" s="268"/>
      <c r="Z286" s="268"/>
      <c r="AA286" s="268"/>
    </row>
    <row r="287" customHeight="1" spans="1:27">
      <c r="A287" s="158">
        <v>45358</v>
      </c>
      <c r="B287" s="142">
        <v>14.19</v>
      </c>
      <c r="S287" s="268"/>
      <c r="T287" s="268"/>
      <c r="U287" s="268"/>
      <c r="V287" s="268"/>
      <c r="W287" s="268"/>
      <c r="X287" s="268"/>
      <c r="Y287" s="268"/>
      <c r="Z287" s="268"/>
      <c r="AA287" s="268"/>
    </row>
    <row r="288" customHeight="1" spans="1:27">
      <c r="A288" s="158">
        <v>45365</v>
      </c>
      <c r="B288" s="142">
        <v>14.46</v>
      </c>
      <c r="S288" s="268"/>
      <c r="T288" s="268"/>
      <c r="U288" s="268"/>
      <c r="V288" s="268"/>
      <c r="W288" s="268"/>
      <c r="X288" s="268"/>
      <c r="Y288" s="268"/>
      <c r="Z288" s="268"/>
      <c r="AA288" s="268"/>
    </row>
    <row r="289" customHeight="1" spans="1:27">
      <c r="A289" s="158">
        <v>45372</v>
      </c>
      <c r="B289" s="142">
        <v>14.77</v>
      </c>
      <c r="S289" s="268"/>
      <c r="T289" s="268"/>
      <c r="U289" s="268"/>
      <c r="V289" s="268"/>
      <c r="W289" s="268"/>
      <c r="X289" s="268"/>
      <c r="Y289" s="268"/>
      <c r="Z289" s="268"/>
      <c r="AA289" s="268"/>
    </row>
    <row r="290" customHeight="1" spans="1:27">
      <c r="A290" s="158">
        <v>45379</v>
      </c>
      <c r="B290" s="142">
        <v>15.13</v>
      </c>
      <c r="S290" s="268"/>
      <c r="T290" s="268"/>
      <c r="U290" s="268"/>
      <c r="V290" s="268"/>
      <c r="W290" s="268"/>
      <c r="X290" s="268"/>
      <c r="Y290" s="268"/>
      <c r="Z290" s="268"/>
      <c r="AA290" s="268"/>
    </row>
    <row r="291" customHeight="1" spans="1:27">
      <c r="A291" s="158">
        <v>45385</v>
      </c>
      <c r="B291" s="142">
        <v>15.19</v>
      </c>
      <c r="S291" s="268"/>
      <c r="T291" s="268"/>
      <c r="U291" s="268"/>
      <c r="V291" s="268"/>
      <c r="W291" s="268"/>
      <c r="X291" s="268"/>
      <c r="Y291" s="268"/>
      <c r="Z291" s="268"/>
      <c r="AA291" s="268"/>
    </row>
    <row r="292" customHeight="1" spans="1:27">
      <c r="A292" s="158">
        <v>45393</v>
      </c>
      <c r="B292" s="142">
        <v>15.18</v>
      </c>
      <c r="S292" s="268"/>
      <c r="T292" s="268"/>
      <c r="U292" s="268"/>
      <c r="V292" s="268"/>
      <c r="W292" s="268"/>
      <c r="X292" s="268"/>
      <c r="Y292" s="268"/>
      <c r="Z292" s="268"/>
      <c r="AA292" s="268"/>
    </row>
    <row r="293" customHeight="1" spans="1:27">
      <c r="A293" s="158">
        <v>45400</v>
      </c>
      <c r="B293" s="142">
        <v>15.11</v>
      </c>
      <c r="S293" s="268"/>
      <c r="T293" s="268"/>
      <c r="U293" s="268"/>
      <c r="V293" s="268"/>
      <c r="W293" s="268"/>
      <c r="X293" s="268"/>
      <c r="Y293" s="268"/>
      <c r="Z293" s="268"/>
      <c r="AA293" s="268"/>
    </row>
    <row r="294" customHeight="1" spans="1:27">
      <c r="A294" s="158">
        <v>45407</v>
      </c>
      <c r="B294" s="142">
        <v>15.05</v>
      </c>
      <c r="S294" s="268"/>
      <c r="T294" s="268"/>
      <c r="U294" s="268"/>
      <c r="V294" s="268"/>
      <c r="W294" s="268"/>
      <c r="X294" s="268"/>
      <c r="Y294" s="268"/>
      <c r="Z294" s="268"/>
      <c r="AA294" s="268"/>
    </row>
    <row r="295" customHeight="1" spans="1:27">
      <c r="A295" s="158">
        <v>45414</v>
      </c>
      <c r="B295" s="142">
        <v>14.89</v>
      </c>
      <c r="S295" s="268"/>
      <c r="T295" s="268"/>
      <c r="U295" s="268"/>
      <c r="V295" s="268"/>
      <c r="W295" s="268"/>
      <c r="X295" s="268"/>
      <c r="Y295" s="268"/>
      <c r="Z295" s="268"/>
      <c r="AA295" s="268"/>
    </row>
    <row r="296" customHeight="1" spans="1:27">
      <c r="A296" s="158">
        <v>45421</v>
      </c>
      <c r="B296" s="142">
        <v>14.96</v>
      </c>
      <c r="S296" s="268"/>
      <c r="T296" s="268"/>
      <c r="U296" s="268"/>
      <c r="V296" s="268"/>
      <c r="W296" s="268"/>
      <c r="X296" s="268"/>
      <c r="Y296" s="268"/>
      <c r="Z296" s="268"/>
      <c r="AA296" s="268"/>
    </row>
    <row r="297" customHeight="1" spans="1:27">
      <c r="A297" s="158">
        <v>45428</v>
      </c>
      <c r="B297" s="142">
        <v>15.19</v>
      </c>
      <c r="S297" s="268"/>
      <c r="T297" s="268"/>
      <c r="U297" s="268"/>
      <c r="V297" s="268"/>
      <c r="W297" s="268"/>
      <c r="X297" s="268"/>
      <c r="Y297" s="268"/>
      <c r="Z297" s="268"/>
      <c r="AA297" s="268"/>
    </row>
    <row r="298" customHeight="1" spans="1:27">
      <c r="A298" s="158">
        <v>45435</v>
      </c>
      <c r="B298" s="142">
        <v>15.88</v>
      </c>
      <c r="S298" s="268"/>
      <c r="T298" s="268"/>
      <c r="U298" s="268"/>
      <c r="V298" s="268"/>
      <c r="W298" s="268"/>
      <c r="X298" s="268"/>
      <c r="Y298" s="268"/>
      <c r="Z298" s="268"/>
      <c r="AA298" s="268"/>
    </row>
    <row r="299" customHeight="1" spans="1:27">
      <c r="A299" s="158">
        <v>45442</v>
      </c>
      <c r="B299" s="142">
        <v>17.11</v>
      </c>
      <c r="S299" s="268"/>
      <c r="T299" s="268"/>
      <c r="U299" s="268"/>
      <c r="V299" s="268"/>
      <c r="W299" s="268"/>
      <c r="X299" s="268"/>
      <c r="Y299" s="268"/>
      <c r="Z299" s="268"/>
      <c r="AA299" s="268"/>
    </row>
    <row r="300" customHeight="1" spans="1:27">
      <c r="A300" s="158">
        <v>45449</v>
      </c>
      <c r="B300" s="142">
        <v>18.16</v>
      </c>
      <c r="S300" s="268"/>
      <c r="T300" s="268"/>
      <c r="U300" s="268"/>
      <c r="V300" s="268"/>
      <c r="W300" s="268"/>
      <c r="X300" s="268"/>
      <c r="Y300" s="268"/>
      <c r="Z300" s="268"/>
      <c r="AA300" s="268"/>
    </row>
    <row r="301" customHeight="1" spans="1:27">
      <c r="A301" s="158">
        <v>45456</v>
      </c>
      <c r="B301" s="142">
        <v>18.83</v>
      </c>
      <c r="S301" s="268"/>
      <c r="T301" s="268"/>
      <c r="U301" s="268"/>
      <c r="V301" s="268"/>
      <c r="W301" s="268"/>
      <c r="X301" s="268"/>
      <c r="Y301" s="268"/>
      <c r="Z301" s="268"/>
      <c r="AA301" s="268"/>
    </row>
    <row r="302" customHeight="1" spans="1:27">
      <c r="A302" s="158">
        <v>45463</v>
      </c>
      <c r="B302" s="142">
        <v>18.56</v>
      </c>
      <c r="S302" s="268"/>
      <c r="T302" s="268"/>
      <c r="U302" s="268"/>
      <c r="V302" s="268"/>
      <c r="W302" s="268"/>
      <c r="X302" s="268"/>
      <c r="Y302" s="268"/>
      <c r="Z302" s="268"/>
      <c r="AA302" s="268"/>
    </row>
    <row r="303" customHeight="1" spans="1:27">
      <c r="A303" s="158">
        <v>45470</v>
      </c>
      <c r="B303" s="142">
        <v>17.68</v>
      </c>
      <c r="S303" s="268"/>
      <c r="T303" s="268"/>
      <c r="U303" s="268"/>
      <c r="V303" s="268"/>
      <c r="W303" s="268"/>
      <c r="X303" s="268"/>
      <c r="Y303" s="268"/>
      <c r="Z303" s="268"/>
      <c r="AA303" s="268"/>
    </row>
    <row r="304" customHeight="1" spans="1:27">
      <c r="A304" s="158">
        <v>45477</v>
      </c>
      <c r="B304" s="142">
        <v>18.05</v>
      </c>
      <c r="S304" s="268"/>
      <c r="T304" s="268"/>
      <c r="U304" s="268"/>
      <c r="V304" s="268"/>
      <c r="W304" s="268"/>
      <c r="X304" s="268"/>
      <c r="Y304" s="268"/>
      <c r="Z304" s="268"/>
      <c r="AA304" s="268"/>
    </row>
    <row r="305" customHeight="1" spans="1:27">
      <c r="A305" s="158">
        <v>45484</v>
      </c>
      <c r="B305" s="142">
        <v>18.62</v>
      </c>
      <c r="S305" s="268"/>
      <c r="T305" s="268"/>
      <c r="U305" s="268"/>
      <c r="V305" s="268"/>
      <c r="W305" s="268"/>
      <c r="X305" s="268"/>
      <c r="Y305" s="268"/>
      <c r="Z305" s="268"/>
      <c r="AA305" s="268"/>
    </row>
    <row r="306" customHeight="1" spans="1:27">
      <c r="A306" s="158">
        <v>45491</v>
      </c>
      <c r="B306" s="142">
        <v>19.02</v>
      </c>
      <c r="S306" s="268"/>
      <c r="T306" s="268"/>
      <c r="U306" s="268"/>
      <c r="V306" s="268"/>
      <c r="W306" s="268"/>
      <c r="X306" s="268"/>
      <c r="Y306" s="268"/>
      <c r="Z306" s="268"/>
      <c r="AA306" s="268"/>
    </row>
    <row r="307" customHeight="1" spans="1:27">
      <c r="A307" s="158">
        <v>45498</v>
      </c>
      <c r="B307" s="142">
        <v>19.24</v>
      </c>
      <c r="S307" s="268"/>
      <c r="T307" s="268"/>
      <c r="U307" s="268"/>
      <c r="V307" s="268"/>
      <c r="W307" s="268"/>
      <c r="X307" s="268"/>
      <c r="Y307" s="268"/>
      <c r="Z307" s="268"/>
      <c r="AA307" s="268"/>
    </row>
    <row r="308" customHeight="1" spans="1:27">
      <c r="A308" s="158">
        <v>45505</v>
      </c>
      <c r="B308" s="142">
        <v>19.46</v>
      </c>
      <c r="S308" s="268"/>
      <c r="T308" s="268"/>
      <c r="U308" s="268"/>
      <c r="V308" s="268"/>
      <c r="W308" s="268"/>
      <c r="X308" s="268"/>
      <c r="Y308" s="268"/>
      <c r="Z308" s="268"/>
      <c r="AA308" s="268"/>
    </row>
    <row r="309" customHeight="1" spans="1:27">
      <c r="A309" s="158">
        <v>45512</v>
      </c>
      <c r="B309" s="142">
        <v>20.33</v>
      </c>
      <c r="S309" s="268"/>
      <c r="T309" s="268"/>
      <c r="U309" s="268"/>
      <c r="V309" s="268"/>
      <c r="W309" s="268"/>
      <c r="X309" s="268"/>
      <c r="Y309" s="268"/>
      <c r="Z309" s="268"/>
      <c r="AA309" s="268"/>
    </row>
    <row r="310" customHeight="1" spans="1:27">
      <c r="A310" s="158">
        <v>45519</v>
      </c>
      <c r="B310" s="142">
        <v>21.07</v>
      </c>
      <c r="S310" s="268"/>
      <c r="T310" s="268"/>
      <c r="U310" s="268"/>
      <c r="V310" s="268"/>
      <c r="W310" s="268"/>
      <c r="X310" s="268"/>
      <c r="Y310" s="268"/>
      <c r="Z310" s="268"/>
      <c r="AA310" s="268"/>
    </row>
    <row r="311" customHeight="1" spans="1:27">
      <c r="A311" s="158">
        <v>45526</v>
      </c>
      <c r="B311" s="142">
        <v>20.58</v>
      </c>
      <c r="S311" s="268"/>
      <c r="T311" s="268"/>
      <c r="U311" s="268"/>
      <c r="V311" s="268"/>
      <c r="W311" s="268"/>
      <c r="X311" s="268"/>
      <c r="Y311" s="268"/>
      <c r="Z311" s="268"/>
      <c r="AA311" s="268"/>
    </row>
    <row r="312" customHeight="1" spans="1:27">
      <c r="A312" s="158">
        <v>45533</v>
      </c>
      <c r="B312" s="142">
        <v>19.72</v>
      </c>
      <c r="S312" s="268"/>
      <c r="T312" s="268"/>
      <c r="U312" s="268"/>
      <c r="V312" s="268"/>
      <c r="W312" s="268"/>
      <c r="X312" s="268"/>
      <c r="Y312" s="268"/>
      <c r="Z312" s="268"/>
      <c r="AA312" s="268"/>
    </row>
    <row r="313" customHeight="1" spans="1:27">
      <c r="A313" s="158">
        <v>45540</v>
      </c>
      <c r="B313" s="142">
        <v>19.79</v>
      </c>
      <c r="S313" s="268"/>
      <c r="T313" s="268"/>
      <c r="U313" s="268"/>
      <c r="V313" s="268"/>
      <c r="W313" s="268"/>
      <c r="X313" s="268"/>
      <c r="Y313" s="268"/>
      <c r="Z313" s="268"/>
      <c r="AA313" s="268"/>
    </row>
    <row r="314" customHeight="1" spans="1:27">
      <c r="A314" s="158">
        <v>45547</v>
      </c>
      <c r="B314" s="142">
        <v>19.68</v>
      </c>
      <c r="S314" s="268"/>
      <c r="T314" s="268"/>
      <c r="U314" s="268"/>
      <c r="V314" s="268"/>
      <c r="W314" s="268"/>
      <c r="X314" s="268"/>
      <c r="Y314" s="268"/>
      <c r="Z314" s="268"/>
      <c r="AA314" s="268"/>
    </row>
    <row r="315" customHeight="1" spans="1:27">
      <c r="A315" s="158">
        <v>45554</v>
      </c>
      <c r="B315" s="142">
        <v>19.01</v>
      </c>
      <c r="S315" s="268"/>
      <c r="T315" s="268"/>
      <c r="U315" s="268"/>
      <c r="V315" s="268"/>
      <c r="W315" s="268"/>
      <c r="X315" s="268"/>
      <c r="Y315" s="268"/>
      <c r="Z315" s="268"/>
      <c r="AA315" s="268"/>
    </row>
    <row r="316" customHeight="1" spans="1:27">
      <c r="A316" s="158">
        <v>45561</v>
      </c>
      <c r="B316" s="142">
        <v>18.2</v>
      </c>
      <c r="S316" s="268"/>
      <c r="T316" s="268"/>
      <c r="U316" s="268"/>
      <c r="V316" s="268"/>
      <c r="W316" s="268"/>
      <c r="X316" s="268"/>
      <c r="Y316" s="268"/>
      <c r="Z316" s="268"/>
      <c r="AA316" s="268"/>
    </row>
    <row r="317" customHeight="1" spans="1:27">
      <c r="A317" s="158">
        <v>45575</v>
      </c>
      <c r="B317" s="142">
        <v>17.64</v>
      </c>
      <c r="S317" s="268"/>
      <c r="T317" s="268"/>
      <c r="U317" s="268"/>
      <c r="V317" s="268"/>
      <c r="W317" s="268"/>
      <c r="X317" s="268"/>
      <c r="Y317" s="268"/>
      <c r="Z317" s="268"/>
      <c r="AA317" s="268"/>
    </row>
    <row r="318" customHeight="1" spans="1:27">
      <c r="A318" s="158">
        <v>45582</v>
      </c>
      <c r="B318" s="142">
        <v>17.99</v>
      </c>
      <c r="S318" s="268"/>
      <c r="T318" s="268"/>
      <c r="U318" s="268"/>
      <c r="V318" s="268"/>
      <c r="W318" s="268"/>
      <c r="X318" s="268"/>
      <c r="Y318" s="268"/>
      <c r="Z318" s="268"/>
      <c r="AA318" s="268"/>
    </row>
    <row r="319" customHeight="1" spans="1:27">
      <c r="A319" s="158">
        <v>45589</v>
      </c>
      <c r="B319" s="142">
        <v>17.41</v>
      </c>
      <c r="S319" s="268"/>
      <c r="T319" s="268"/>
      <c r="U319" s="268"/>
      <c r="V319" s="268"/>
      <c r="W319" s="268"/>
      <c r="X319" s="268"/>
      <c r="Y319" s="268"/>
      <c r="Z319" s="268"/>
      <c r="AA319" s="268"/>
    </row>
    <row r="320" customHeight="1" spans="1:27">
      <c r="A320" s="158">
        <v>45596</v>
      </c>
      <c r="B320" s="142">
        <v>17.35</v>
      </c>
      <c r="S320" s="268"/>
      <c r="T320" s="268"/>
      <c r="U320" s="268"/>
      <c r="V320" s="268"/>
      <c r="W320" s="268"/>
      <c r="X320" s="268"/>
      <c r="Y320" s="268"/>
      <c r="Z320" s="268"/>
      <c r="AA320" s="268"/>
    </row>
    <row r="321" customHeight="1" spans="1:27">
      <c r="A321" s="158">
        <v>45603</v>
      </c>
      <c r="B321" s="142">
        <v>17.13</v>
      </c>
      <c r="S321" s="268"/>
      <c r="T321" s="268"/>
      <c r="U321" s="268"/>
      <c r="V321" s="268"/>
      <c r="W321" s="268"/>
      <c r="X321" s="268"/>
      <c r="Y321" s="268"/>
      <c r="Z321" s="268"/>
      <c r="AA321" s="268"/>
    </row>
    <row r="322" customHeight="1" spans="1:27">
      <c r="A322" s="158">
        <v>45610</v>
      </c>
      <c r="B322" s="142">
        <v>16.63</v>
      </c>
      <c r="S322" s="268"/>
      <c r="T322" s="268"/>
      <c r="U322" s="268"/>
      <c r="V322" s="268"/>
      <c r="W322" s="268"/>
      <c r="X322" s="268"/>
      <c r="Y322" s="268"/>
      <c r="Z322" s="268"/>
      <c r="AA322" s="268"/>
    </row>
    <row r="323" customHeight="1" spans="1:27">
      <c r="A323" s="158">
        <v>45617</v>
      </c>
      <c r="B323" s="142">
        <v>16.15</v>
      </c>
      <c r="S323" s="268"/>
      <c r="T323" s="268"/>
      <c r="U323" s="268"/>
      <c r="V323" s="268"/>
      <c r="W323" s="268"/>
      <c r="X323" s="268"/>
      <c r="Y323" s="268"/>
      <c r="Z323" s="268"/>
      <c r="AA323" s="268"/>
    </row>
    <row r="324" customHeight="1" spans="1:27">
      <c r="A324" s="158">
        <v>45624</v>
      </c>
      <c r="B324" s="142">
        <v>16.49</v>
      </c>
      <c r="S324" s="268"/>
      <c r="T324" s="268"/>
      <c r="U324" s="268"/>
      <c r="V324" s="268"/>
      <c r="W324" s="268"/>
      <c r="X324" s="268"/>
      <c r="Y324" s="268"/>
      <c r="Z324" s="268"/>
      <c r="AA324" s="268"/>
    </row>
    <row r="325" customHeight="1" spans="1:27">
      <c r="A325" s="158">
        <v>45631</v>
      </c>
      <c r="B325" s="142">
        <v>16.17</v>
      </c>
      <c r="S325" s="268"/>
      <c r="T325" s="268"/>
      <c r="U325" s="268"/>
      <c r="V325" s="268"/>
      <c r="W325" s="268"/>
      <c r="X325" s="268"/>
      <c r="Y325" s="268"/>
      <c r="Z325" s="268"/>
      <c r="AA325" s="268"/>
    </row>
    <row r="326" customHeight="1" spans="1:27">
      <c r="A326" s="158">
        <v>45638</v>
      </c>
      <c r="B326" s="142">
        <v>15.69</v>
      </c>
      <c r="S326" s="268"/>
      <c r="T326" s="268"/>
      <c r="U326" s="268"/>
      <c r="V326" s="268"/>
      <c r="W326" s="268"/>
      <c r="X326" s="268"/>
      <c r="Y326" s="268"/>
      <c r="Z326" s="268"/>
      <c r="AA326" s="268"/>
    </row>
    <row r="327" customHeight="1" spans="1:27">
      <c r="A327" s="158">
        <v>45645</v>
      </c>
      <c r="B327" s="142">
        <v>15.76</v>
      </c>
      <c r="S327" s="268"/>
      <c r="T327" s="268"/>
      <c r="U327" s="268"/>
      <c r="V327" s="268"/>
      <c r="W327" s="268"/>
      <c r="X327" s="268"/>
      <c r="Y327" s="268"/>
      <c r="Z327" s="268"/>
      <c r="AA327" s="268"/>
    </row>
    <row r="328" customHeight="1" spans="1:27">
      <c r="A328" s="158">
        <v>45652</v>
      </c>
      <c r="B328" s="142">
        <v>15.42</v>
      </c>
      <c r="S328" s="268"/>
      <c r="T328" s="268"/>
      <c r="U328" s="268"/>
      <c r="V328" s="268"/>
      <c r="W328" s="268"/>
      <c r="X328" s="268"/>
      <c r="Y328" s="268"/>
      <c r="Z328" s="268"/>
      <c r="AA328" s="268"/>
    </row>
    <row r="329" customHeight="1" spans="1:27">
      <c r="A329" s="158">
        <v>45659</v>
      </c>
      <c r="B329" s="142">
        <v>15.8</v>
      </c>
      <c r="S329" s="268"/>
      <c r="T329" s="268"/>
      <c r="U329" s="268"/>
      <c r="V329" s="268"/>
      <c r="W329" s="268"/>
      <c r="X329" s="268"/>
      <c r="Y329" s="268"/>
      <c r="Z329" s="268"/>
      <c r="AA329" s="268"/>
    </row>
    <row r="330" customHeight="1" spans="1:27">
      <c r="A330" s="158">
        <v>45666</v>
      </c>
      <c r="B330" s="142">
        <v>16.14</v>
      </c>
      <c r="S330" s="268"/>
      <c r="T330" s="268"/>
      <c r="U330" s="268"/>
      <c r="V330" s="268"/>
      <c r="W330" s="268"/>
      <c r="X330" s="268"/>
      <c r="Y330" s="268"/>
      <c r="Z330" s="268"/>
      <c r="AA330" s="268"/>
    </row>
    <row r="331" customHeight="1" spans="1:27">
      <c r="A331" s="158">
        <v>45673</v>
      </c>
      <c r="B331" s="142">
        <v>15.73</v>
      </c>
      <c r="S331" s="268"/>
      <c r="T331" s="268"/>
      <c r="U331" s="268"/>
      <c r="V331" s="268"/>
      <c r="W331" s="268"/>
      <c r="X331" s="268"/>
      <c r="Y331" s="268"/>
      <c r="Z331" s="268"/>
      <c r="AA331" s="268"/>
    </row>
    <row r="332" customHeight="1" spans="1:27">
      <c r="A332" s="158">
        <v>45680</v>
      </c>
      <c r="B332" s="142">
        <v>15.4</v>
      </c>
      <c r="S332" s="268"/>
      <c r="T332" s="268"/>
      <c r="U332" s="268"/>
      <c r="V332" s="268"/>
      <c r="W332" s="268"/>
      <c r="X332" s="268"/>
      <c r="Y332" s="268"/>
      <c r="Z332" s="268"/>
      <c r="AA332" s="268"/>
    </row>
    <row r="333" customHeight="1" spans="1:27">
      <c r="A333" s="158">
        <v>45694</v>
      </c>
      <c r="B333" s="142">
        <v>15.62</v>
      </c>
      <c r="S333" s="268"/>
      <c r="T333" s="268"/>
      <c r="U333" s="268"/>
      <c r="V333" s="268"/>
      <c r="W333" s="268"/>
      <c r="X333" s="268"/>
      <c r="Y333" s="268"/>
      <c r="Z333" s="268"/>
      <c r="AA333" s="268"/>
    </row>
    <row r="334" customHeight="1" spans="1:27">
      <c r="A334" s="158">
        <v>45701</v>
      </c>
      <c r="B334" s="142">
        <v>14.61</v>
      </c>
      <c r="S334" s="268"/>
      <c r="T334" s="268"/>
      <c r="U334" s="268"/>
      <c r="V334" s="268"/>
      <c r="W334" s="268"/>
      <c r="X334" s="268"/>
      <c r="Y334" s="268"/>
      <c r="Z334" s="268"/>
      <c r="AA334" s="268"/>
    </row>
    <row r="335" customHeight="1" spans="1:27">
      <c r="A335" s="158">
        <v>45708</v>
      </c>
      <c r="B335" s="142">
        <v>14.81</v>
      </c>
      <c r="S335" s="268"/>
      <c r="T335" s="268"/>
      <c r="U335" s="268"/>
      <c r="V335" s="268"/>
      <c r="W335" s="268"/>
      <c r="X335" s="268"/>
      <c r="Y335" s="268"/>
      <c r="Z335" s="268"/>
      <c r="AA335" s="268"/>
    </row>
    <row r="336" customHeight="1" spans="1:27">
      <c r="A336" s="158">
        <v>45715</v>
      </c>
      <c r="B336" s="142">
        <v>14.7</v>
      </c>
      <c r="S336" s="268"/>
      <c r="T336" s="268"/>
      <c r="U336" s="268"/>
      <c r="V336" s="268"/>
      <c r="W336" s="268"/>
      <c r="X336" s="268"/>
      <c r="Y336" s="268"/>
      <c r="Z336" s="268"/>
      <c r="AA336" s="268"/>
    </row>
    <row r="337" customHeight="1" spans="1:27">
      <c r="A337" s="158">
        <v>45722</v>
      </c>
      <c r="B337" s="142">
        <v>14.56</v>
      </c>
      <c r="S337" s="268"/>
      <c r="T337" s="268"/>
      <c r="U337" s="268"/>
      <c r="V337" s="268"/>
      <c r="W337" s="268"/>
      <c r="X337" s="268"/>
      <c r="Y337" s="268"/>
      <c r="Z337" s="268"/>
      <c r="AA337" s="268"/>
    </row>
    <row r="338" customHeight="1" spans="1:27">
      <c r="A338" s="158">
        <v>45729</v>
      </c>
      <c r="B338" s="142">
        <v>14.57</v>
      </c>
      <c r="S338" s="268"/>
      <c r="T338" s="268"/>
      <c r="U338" s="268"/>
      <c r="V338" s="268"/>
      <c r="W338" s="268"/>
      <c r="X338" s="268"/>
      <c r="Y338" s="268"/>
      <c r="Z338" s="268"/>
      <c r="AA338" s="268"/>
    </row>
    <row r="339" customHeight="1" spans="1:27">
      <c r="A339" s="158">
        <v>45736</v>
      </c>
      <c r="B339" s="142">
        <v>14.65</v>
      </c>
      <c r="S339" s="268"/>
      <c r="T339" s="268"/>
      <c r="U339" s="268"/>
      <c r="V339" s="268"/>
      <c r="W339" s="268"/>
      <c r="X339" s="268"/>
      <c r="Y339" s="268"/>
      <c r="Z339" s="268"/>
      <c r="AA339" s="268"/>
    </row>
    <row r="340" customHeight="1" spans="1:27">
      <c r="A340" s="158">
        <v>45743</v>
      </c>
      <c r="B340" s="142">
        <v>14.66</v>
      </c>
      <c r="S340" s="268"/>
      <c r="T340" s="268"/>
      <c r="U340" s="268"/>
      <c r="V340" s="268"/>
      <c r="W340" s="268"/>
      <c r="X340" s="268"/>
      <c r="Y340" s="268"/>
      <c r="Z340" s="268"/>
      <c r="AA340" s="268"/>
    </row>
    <row r="341" customHeight="1" spans="1:27">
      <c r="A341" s="158">
        <v>45750</v>
      </c>
      <c r="B341" s="142">
        <v>14.6</v>
      </c>
      <c r="S341" s="268"/>
      <c r="T341" s="268"/>
      <c r="U341" s="268"/>
      <c r="V341" s="268"/>
      <c r="W341" s="268"/>
      <c r="X341" s="268"/>
      <c r="Y341" s="268"/>
      <c r="Z341" s="268"/>
      <c r="AA341" s="268"/>
    </row>
    <row r="342" customHeight="1" spans="1:27">
      <c r="A342" s="158">
        <v>45757</v>
      </c>
      <c r="B342" s="142">
        <v>14.6</v>
      </c>
      <c r="S342" s="268"/>
      <c r="T342" s="268"/>
      <c r="U342" s="268"/>
      <c r="V342" s="268"/>
      <c r="W342" s="268"/>
      <c r="X342" s="268"/>
      <c r="Y342" s="268"/>
      <c r="Z342" s="268"/>
      <c r="AA342" s="268"/>
    </row>
    <row r="343" customHeight="1" spans="1:27">
      <c r="A343" s="158">
        <v>45764</v>
      </c>
      <c r="B343" s="142">
        <v>14.83</v>
      </c>
      <c r="S343" s="268"/>
      <c r="T343" s="268"/>
      <c r="U343" s="268"/>
      <c r="V343" s="268"/>
      <c r="W343" s="268"/>
      <c r="X343" s="268"/>
      <c r="Y343" s="268"/>
      <c r="Z343" s="268"/>
      <c r="AA343" s="268"/>
    </row>
    <row r="344" customHeight="1" spans="1:27">
      <c r="A344" s="158">
        <v>45771</v>
      </c>
      <c r="B344" s="142">
        <v>14.96</v>
      </c>
      <c r="S344" s="268"/>
      <c r="T344" s="268"/>
      <c r="U344" s="268"/>
      <c r="V344" s="268"/>
      <c r="W344" s="268"/>
      <c r="X344" s="268"/>
      <c r="Y344" s="268"/>
      <c r="Z344" s="268"/>
      <c r="AA344" s="268"/>
    </row>
    <row r="345" customHeight="1" spans="1:27">
      <c r="A345" s="158">
        <v>45777</v>
      </c>
      <c r="B345" s="142">
        <v>14.79</v>
      </c>
      <c r="S345" s="268"/>
      <c r="T345" s="268"/>
      <c r="U345" s="268"/>
      <c r="V345" s="268"/>
      <c r="W345" s="268"/>
      <c r="X345" s="268"/>
      <c r="Y345" s="268"/>
      <c r="Z345" s="268"/>
      <c r="AA345" s="268"/>
    </row>
    <row r="346" customHeight="1" spans="1:27">
      <c r="A346" s="158">
        <v>45785</v>
      </c>
      <c r="B346" s="142">
        <v>14.81</v>
      </c>
      <c r="S346" s="268"/>
      <c r="T346" s="268"/>
      <c r="U346" s="268"/>
      <c r="V346" s="268"/>
      <c r="W346" s="268"/>
      <c r="X346" s="268"/>
      <c r="Y346" s="268"/>
      <c r="Z346" s="268"/>
      <c r="AA346" s="268"/>
    </row>
    <row r="347" customHeight="1" spans="1:27">
      <c r="A347" s="158">
        <v>45792</v>
      </c>
      <c r="B347" s="142">
        <v>14.77</v>
      </c>
      <c r="S347" s="268"/>
      <c r="T347" s="268"/>
      <c r="U347" s="268"/>
      <c r="V347" s="268"/>
      <c r="W347" s="268"/>
      <c r="X347" s="268"/>
      <c r="Y347" s="268"/>
      <c r="Z347" s="268"/>
      <c r="AA347" s="268"/>
    </row>
    <row r="348" customHeight="1" spans="1:27">
      <c r="A348" s="158">
        <v>45799</v>
      </c>
      <c r="B348" s="142">
        <v>14.51</v>
      </c>
      <c r="S348" s="268"/>
      <c r="T348" s="268"/>
      <c r="U348" s="268"/>
      <c r="V348" s="268"/>
      <c r="W348" s="268"/>
      <c r="X348" s="268"/>
      <c r="Y348" s="268"/>
      <c r="Z348" s="268"/>
      <c r="AA348" s="268"/>
    </row>
    <row r="349" customHeight="1" spans="1:27">
      <c r="A349" s="158">
        <v>45806</v>
      </c>
      <c r="B349" s="142">
        <v>14.41</v>
      </c>
      <c r="S349" s="268"/>
      <c r="T349" s="268"/>
      <c r="U349" s="268"/>
      <c r="V349" s="268"/>
      <c r="W349" s="268"/>
      <c r="X349" s="268"/>
      <c r="Y349" s="268"/>
      <c r="Z349" s="268"/>
      <c r="AA349" s="268"/>
    </row>
    <row r="350" customHeight="1" spans="1:27">
      <c r="A350" s="158">
        <v>45813</v>
      </c>
      <c r="B350" s="142">
        <v>14.38</v>
      </c>
      <c r="S350" s="268"/>
      <c r="T350" s="268"/>
      <c r="U350" s="268"/>
      <c r="V350" s="268"/>
      <c r="W350" s="268"/>
      <c r="X350" s="268"/>
      <c r="Y350" s="268"/>
      <c r="Z350" s="268"/>
      <c r="AA350" s="268"/>
    </row>
    <row r="351" customHeight="1" spans="1:27">
      <c r="A351" s="158">
        <v>45820</v>
      </c>
      <c r="B351" s="142">
        <v>14</v>
      </c>
      <c r="S351" s="268"/>
      <c r="T351" s="268"/>
      <c r="U351" s="268"/>
      <c r="V351" s="268"/>
      <c r="W351" s="268"/>
      <c r="X351" s="268"/>
      <c r="Y351" s="268"/>
      <c r="Z351" s="268"/>
      <c r="AA351" s="268"/>
    </row>
    <row r="352" customHeight="1" spans="1:27">
      <c r="A352" s="158">
        <v>45827</v>
      </c>
      <c r="B352" s="142">
        <v>14.17</v>
      </c>
      <c r="S352" s="268"/>
      <c r="T352" s="268"/>
      <c r="U352" s="268"/>
      <c r="V352" s="268"/>
      <c r="W352" s="268"/>
      <c r="X352" s="268"/>
      <c r="Y352" s="268"/>
      <c r="Z352" s="268"/>
      <c r="AA352" s="268"/>
    </row>
    <row r="353" customHeight="1" spans="1:27">
      <c r="A353" s="158">
        <v>45834</v>
      </c>
      <c r="B353" s="142">
        <v>14.4</v>
      </c>
      <c r="S353" s="268"/>
      <c r="T353" s="268"/>
      <c r="U353" s="268"/>
      <c r="V353" s="268"/>
      <c r="W353" s="268"/>
      <c r="X353" s="268"/>
      <c r="Y353" s="268"/>
      <c r="Z353" s="268"/>
      <c r="AA353" s="268"/>
    </row>
    <row r="354" customHeight="1" spans="1:27">
      <c r="A354" s="158">
        <v>45841</v>
      </c>
      <c r="B354" s="142">
        <v>15</v>
      </c>
      <c r="S354" s="268"/>
      <c r="T354" s="268"/>
      <c r="U354" s="268"/>
      <c r="V354" s="268"/>
      <c r="W354" s="268"/>
      <c r="X354" s="268"/>
      <c r="Y354" s="268"/>
      <c r="Z354" s="268"/>
      <c r="AA354" s="268"/>
    </row>
    <row r="355" customHeight="1" spans="1:27">
      <c r="A355" s="158">
        <v>45848</v>
      </c>
      <c r="B355" s="142">
        <v>15.02</v>
      </c>
      <c r="S355" s="268"/>
      <c r="T355" s="268"/>
      <c r="U355" s="268"/>
      <c r="V355" s="268"/>
      <c r="W355" s="268"/>
      <c r="X355" s="268"/>
      <c r="Y355" s="268"/>
      <c r="Z355" s="268"/>
      <c r="AA355" s="268"/>
    </row>
    <row r="356" customHeight="1" spans="1:27">
      <c r="A356" s="158">
        <v>45855</v>
      </c>
      <c r="B356" s="142">
        <v>14.6</v>
      </c>
      <c r="S356" s="268"/>
      <c r="T356" s="268"/>
      <c r="U356" s="268"/>
      <c r="V356" s="268"/>
      <c r="W356" s="268"/>
      <c r="X356" s="268"/>
      <c r="Y356" s="268"/>
      <c r="Z356" s="268"/>
      <c r="AA356" s="268"/>
    </row>
    <row r="357" customHeight="1" spans="1:27">
      <c r="A357" s="158">
        <v>45862</v>
      </c>
      <c r="B357" s="142">
        <v>14.31</v>
      </c>
    </row>
    <row r="358" customHeight="1" spans="1:27">
      <c r="A358" s="158">
        <v>45869</v>
      </c>
      <c r="B358" s="142">
        <v>14.08</v>
      </c>
    </row>
    <row r="359" customHeight="1" spans="1:27">
      <c r="A359" s="158">
        <v>45876</v>
      </c>
      <c r="B359" s="142">
        <v>14.02</v>
      </c>
    </row>
    <row r="360" customHeight="1" spans="1:27">
      <c r="A360" s="158">
        <v>45883</v>
      </c>
      <c r="B360" s="142">
        <v>13.74</v>
      </c>
    </row>
    <row r="361" customHeight="1" spans="1:27">
      <c r="A361" s="158">
        <v>45890</v>
      </c>
      <c r="B361" s="142">
        <v>13.71</v>
      </c>
    </row>
    <row r="362" customHeight="1" spans="1:27">
      <c r="A362" s="158">
        <v>45897</v>
      </c>
      <c r="B362" s="142">
        <v>13.7</v>
      </c>
    </row>
    <row r="363" customHeight="1" spans="1:27">
      <c r="A363" s="158">
        <v>45904</v>
      </c>
      <c r="B363" s="142">
        <v>13.87</v>
      </c>
    </row>
    <row r="364" customHeight="1" spans="1:27">
      <c r="A364" s="158">
        <v>45911</v>
      </c>
      <c r="B364" s="142">
        <v>13.52</v>
      </c>
    </row>
    <row r="365" customHeight="1" spans="1:27">
      <c r="A365" s="158">
        <v>45918</v>
      </c>
      <c r="B365" s="142">
        <v>13.15</v>
      </c>
    </row>
    <row r="366" customHeight="1" spans="1:27">
      <c r="A366" s="158">
        <v>45925</v>
      </c>
      <c r="B366" s="142">
        <v>12.67</v>
      </c>
    </row>
    <row r="367" customHeight="1" spans="1:27">
      <c r="A367" s="158">
        <v>45939</v>
      </c>
      <c r="B367" s="142">
        <v>11.89</v>
      </c>
    </row>
    <row r="368" customHeight="1" spans="1:27">
      <c r="A368" s="158">
        <v>45946</v>
      </c>
      <c r="B368" s="142">
        <v>11.02</v>
      </c>
    </row>
    <row r="369" customHeight="1" spans="1:5">
      <c r="A369" s="158">
        <v>45953</v>
      </c>
      <c r="B369" s="142">
        <v>11.41</v>
      </c>
    </row>
    <row r="370" customHeight="1" spans="1:5">
      <c r="A370" s="158">
        <v>45960</v>
      </c>
      <c r="B370" s="142">
        <v>12.22</v>
      </c>
    </row>
    <row r="371" customHeight="1" spans="1:5">
      <c r="A371" s="158">
        <v>45967</v>
      </c>
      <c r="B371" s="142">
        <v>12.16</v>
      </c>
      <c r="E371" s="279"/>
    </row>
    <row r="372" customHeight="1" spans="1:5">
      <c r="A372" s="158">
        <v>45974</v>
      </c>
      <c r="B372" s="142">
        <v>11.85</v>
      </c>
      <c r="E372" s="279"/>
    </row>
    <row r="373" customHeight="1" spans="1:5">
      <c r="A373" s="158">
        <v>45981</v>
      </c>
      <c r="B373" s="142">
        <v>11.6</v>
      </c>
      <c r="E373" s="279"/>
    </row>
    <row r="374" customHeight="1" spans="1:5">
      <c r="A374" s="158">
        <v>45988</v>
      </c>
      <c r="B374" s="142">
        <v>11.48</v>
      </c>
      <c r="E374" s="279"/>
    </row>
    <row r="375" customHeight="1" spans="1:5">
      <c r="A375" s="158">
        <v>45995</v>
      </c>
      <c r="B375" s="142">
        <v>11.3</v>
      </c>
      <c r="E375" s="279"/>
    </row>
    <row r="376" customHeight="1" spans="1:5">
      <c r="A376" s="158">
        <v>46002</v>
      </c>
      <c r="B376" s="142">
        <v>11.27</v>
      </c>
      <c r="E376" s="279"/>
    </row>
    <row r="377" customHeight="1" spans="1:5">
      <c r="A377" s="158">
        <v>46009</v>
      </c>
      <c r="B377" s="142">
        <v>11.53</v>
      </c>
      <c r="E377" s="279"/>
    </row>
    <row r="378" customHeight="1" spans="1:5">
      <c r="A378" s="158">
        <v>46016</v>
      </c>
      <c r="B378" s="142">
        <v>11.5</v>
      </c>
      <c r="E378" s="279"/>
    </row>
    <row r="379" customHeight="1" spans="1:5">
      <c r="A379" s="158">
        <v>46023</v>
      </c>
      <c r="B379" s="142">
        <v>12.3</v>
      </c>
      <c r="E379" s="279"/>
    </row>
    <row r="380" customHeight="1" spans="1:5">
      <c r="A380" s="158">
        <v>46030</v>
      </c>
      <c r="B380" s="142">
        <v>12.49</v>
      </c>
      <c r="E380" s="279"/>
    </row>
    <row r="381" customHeight="1" spans="1:5">
      <c r="A381" s="158">
        <v>46037</v>
      </c>
      <c r="B381" s="142">
        <v>12.69</v>
      </c>
      <c r="E381" s="279"/>
    </row>
    <row r="382" customHeight="1" spans="1:5">
      <c r="A382" s="158">
        <v>46044</v>
      </c>
      <c r="B382" s="142">
        <v>13.06</v>
      </c>
      <c r="E382" s="279"/>
    </row>
    <row r="383" customHeight="1" spans="1:5">
      <c r="A383" s="158">
        <v>46051</v>
      </c>
      <c r="B383" s="142">
        <v>12.84</v>
      </c>
      <c r="E383" s="279"/>
    </row>
    <row r="384" customHeight="1" spans="1:5">
      <c r="A384" s="158">
        <v>46058</v>
      </c>
      <c r="B384" s="142">
        <v>12.3</v>
      </c>
      <c r="E384" s="279"/>
    </row>
    <row r="385" customHeight="1" spans="1:5">
      <c r="A385" s="158">
        <v>46065</v>
      </c>
      <c r="B385" s="142">
        <v>11.76</v>
      </c>
      <c r="E385" s="279"/>
    </row>
    <row r="386" customHeight="1" spans="1:5">
      <c r="A386" s="158">
        <v>46079</v>
      </c>
      <c r="B386" s="142">
        <v>10.93</v>
      </c>
      <c r="E386" s="279"/>
    </row>
    <row r="387" customHeight="1" spans="1:5">
      <c r="A387" s="158">
        <v>46086</v>
      </c>
      <c r="B387" s="142">
        <v>10.56</v>
      </c>
      <c r="E387" s="279"/>
    </row>
    <row r="388" customHeight="1" spans="1:5">
      <c r="A388" s="158">
        <v>46093</v>
      </c>
      <c r="B388" s="142">
        <v>10.18</v>
      </c>
      <c r="E388" s="279"/>
    </row>
    <row r="389" customHeight="1" spans="1:5">
      <c r="A389" s="158">
        <v>46100</v>
      </c>
      <c r="B389" s="142">
        <v>10.06</v>
      </c>
      <c r="E389" s="279"/>
    </row>
    <row r="390" customHeight="1" spans="1:5">
      <c r="A390" s="158">
        <v>46107</v>
      </c>
      <c r="B390" s="142">
        <v>9.68</v>
      </c>
      <c r="E390" s="279"/>
    </row>
    <row r="391" customHeight="1" spans="1:5">
      <c r="A391" s="158">
        <v>46114</v>
      </c>
      <c r="B391" s="142">
        <v>9.38</v>
      </c>
      <c r="E391" s="279"/>
    </row>
    <row r="392" customHeight="1" spans="1:5">
      <c r="A392" s="158">
        <v>46121</v>
      </c>
      <c r="B392" s="142">
        <v>8.99</v>
      </c>
      <c r="E392" s="279"/>
    </row>
    <row r="393" customHeight="1" spans="1:5">
      <c r="A393" s="158">
        <v>46128</v>
      </c>
      <c r="B393" s="142">
        <v>8.78</v>
      </c>
      <c r="E393" s="279"/>
    </row>
    <row r="394" customHeight="1" spans="1:5">
      <c r="A394" s="158">
        <v>46135</v>
      </c>
      <c r="B394" s="142">
        <v>9.69</v>
      </c>
      <c r="E394" s="279"/>
    </row>
    <row r="395" customHeight="1" spans="1:5">
      <c r="A395" s="158">
        <v>46142</v>
      </c>
      <c r="B395" s="142">
        <v>9.94</v>
      </c>
      <c r="E395" s="279"/>
    </row>
    <row r="396" customHeight="1" spans="1:5">
      <c r="A396" s="158">
        <v>46149</v>
      </c>
      <c r="B396" s="142">
        <v>9.81</v>
      </c>
      <c r="E396" s="279"/>
    </row>
    <row r="397" customHeight="1" spans="1:5">
      <c r="A397" s="158">
        <v>46156</v>
      </c>
      <c r="B397" s="142">
        <v>9.64</v>
      </c>
      <c r="E397" s="279"/>
    </row>
    <row r="398" customHeight="1" spans="1:5">
      <c r="A398" s="158">
        <v>46163</v>
      </c>
      <c r="B398" s="142">
        <v>9.56</v>
      </c>
      <c r="E398" s="279"/>
    </row>
    <row r="399" customHeight="1" spans="1:5">
      <c r="A399" s="158">
        <v>46170</v>
      </c>
      <c r="B399" s="142">
        <v>9.65</v>
      </c>
      <c r="E399" s="279"/>
    </row>
    <row r="400" customHeight="1" spans="1:5">
      <c r="A400" s="158">
        <v>46177</v>
      </c>
      <c r="B400" s="142">
        <v>9.6</v>
      </c>
      <c r="E400" s="279"/>
    </row>
    <row r="401" customHeight="1" spans="1:5">
      <c r="A401" s="158">
        <v>46184</v>
      </c>
      <c r="B401" s="142">
        <v>9.53</v>
      </c>
      <c r="E401" s="279"/>
    </row>
    <row r="402" customHeight="1" spans="1:5">
      <c r="A402" s="158">
        <v>46191</v>
      </c>
      <c r="B402" s="142">
        <v>9.57</v>
      </c>
      <c r="E402" s="279"/>
    </row>
    <row r="403" customHeight="1" spans="1:5">
      <c r="A403" s="158">
        <v>46198</v>
      </c>
      <c r="B403" s="142">
        <v>9.57</v>
      </c>
      <c r="E403" s="279"/>
    </row>
    <row r="404" customHeight="1" spans="1:5">
      <c r="A404" s="158">
        <v>46205</v>
      </c>
      <c r="B404" s="142">
        <v>10</v>
      </c>
      <c r="E404" s="279"/>
    </row>
    <row r="405" customHeight="1" spans="1:5">
      <c r="A405" s="158">
        <v>46212</v>
      </c>
      <c r="B405" s="142">
        <v>11.18</v>
      </c>
      <c r="E405" s="279"/>
    </row>
    <row r="406" customHeight="1" spans="1:5">
      <c r="A406" s="158">
        <v>46219</v>
      </c>
      <c r="B406" s="142">
        <v>11.26</v>
      </c>
      <c r="E406" s="279"/>
    </row>
    <row r="407" customHeight="1" spans="1:5">
      <c r="A407" s="158">
        <v>46226</v>
      </c>
      <c r="B407" s="142">
        <v>10.88</v>
      </c>
      <c r="E407" s="279"/>
    </row>
    <row r="408" customHeight="1" spans="1:5">
      <c r="A408" s="158">
        <v>46233</v>
      </c>
      <c r="B408" s="142">
        <v>10.43</v>
      </c>
      <c r="E408" s="279"/>
    </row>
    <row r="409" customHeight="1" spans="1:5">
      <c r="A409" s="158">
        <v>46240</v>
      </c>
      <c r="B409" s="142">
        <v>10.4</v>
      </c>
      <c r="E409" s="279"/>
    </row>
    <row r="410" customHeight="1" spans="1:5">
      <c r="A410" s="158">
        <v>46247</v>
      </c>
      <c r="B410" s="142">
        <v>10.72</v>
      </c>
      <c r="E410" s="279"/>
    </row>
    <row r="411" customHeight="1" spans="1:5">
      <c r="A411" s="158">
        <v>46254</v>
      </c>
      <c r="B411" s="142">
        <v>11.09</v>
      </c>
      <c r="E411" s="279"/>
    </row>
    <row r="412" customHeight="1" spans="1:5">
      <c r="A412" s="158">
        <v>46261</v>
      </c>
      <c r="B412" s="142">
        <v>11.03</v>
      </c>
      <c r="E412" s="279"/>
    </row>
    <row r="413" customHeight="1" spans="1:5">
      <c r="A413" s="158">
        <v>46268</v>
      </c>
      <c r="B413" s="142">
        <v>10.96</v>
      </c>
      <c r="E413" s="279"/>
    </row>
    <row r="414" customHeight="1" spans="1:5">
      <c r="A414" s="158">
        <v>46275</v>
      </c>
      <c r="B414" s="142">
        <v>10.97</v>
      </c>
      <c r="E414" s="279"/>
    </row>
    <row r="415" customHeight="1" spans="1:5">
      <c r="A415" s="158">
        <v>46282</v>
      </c>
      <c r="B415" s="142">
        <v>10.8</v>
      </c>
      <c r="E415" s="279"/>
    </row>
    <row r="416" customHeight="1" spans="1:5">
      <c r="A416" s="158">
        <v>46289</v>
      </c>
      <c r="B416" s="142">
        <v>10.63</v>
      </c>
      <c r="E416" s="279"/>
    </row>
    <row r="417" customHeight="1" spans="5:5">
      <c r="E417" s="279"/>
    </row>
    <row r="418" customHeight="1" spans="5:5">
      <c r="E418" s="279"/>
    </row>
    <row r="419" customHeight="1" spans="5:5">
      <c r="E419" s="279"/>
    </row>
    <row r="420" customHeight="1" spans="5:5">
      <c r="E420" s="279"/>
    </row>
    <row r="421" customHeight="1" spans="5:5">
      <c r="E421" s="279"/>
    </row>
    <row r="422" customHeight="1" spans="5:5">
      <c r="E422" s="279"/>
    </row>
    <row r="423" customHeight="1" spans="5:5">
      <c r="E423" s="279"/>
    </row>
    <row r="424" customHeight="1" spans="5:5">
      <c r="E424" s="279"/>
    </row>
    <row r="425" customHeight="1" spans="5:5">
      <c r="E425" s="279"/>
    </row>
    <row r="426" customHeight="1" spans="5:5">
      <c r="E426" s="279"/>
    </row>
    <row r="427" customHeight="1" spans="5:5">
      <c r="E427" s="279"/>
    </row>
    <row r="428" customHeight="1" spans="5:5">
      <c r="E428" s="279"/>
    </row>
    <row r="429" customHeight="1" spans="5:5">
      <c r="E429" s="279"/>
    </row>
    <row r="430" customHeight="1" spans="5:5">
      <c r="E430" s="279"/>
    </row>
    <row r="431" customHeight="1" spans="5:5">
      <c r="E431" s="279"/>
    </row>
    <row r="432" customHeight="1" spans="5:5">
      <c r="E432" s="279"/>
    </row>
    <row r="433" customHeight="1" spans="5:5">
      <c r="E433" s="279"/>
    </row>
    <row r="434" customHeight="1" spans="5:5">
      <c r="E434" s="279"/>
    </row>
    <row r="435" customHeight="1" spans="5:5">
      <c r="E435" s="279"/>
    </row>
    <row r="436" customHeight="1" spans="5:5">
      <c r="E436" s="279"/>
    </row>
    <row r="437" customHeight="1" spans="5:5">
      <c r="E437" s="279"/>
    </row>
    <row r="438" customHeight="1" spans="5:5">
      <c r="E438" s="279"/>
    </row>
    <row r="439" customHeight="1" spans="5:5">
      <c r="E439" s="279"/>
    </row>
    <row r="440" customHeight="1" spans="5:5">
      <c r="E440" s="279"/>
    </row>
    <row r="441" customHeight="1" spans="5:5">
      <c r="E441" s="279"/>
    </row>
    <row r="442" customHeight="1" spans="5:5">
      <c r="E442" s="279"/>
    </row>
    <row r="443" customHeight="1" spans="5:5">
      <c r="E443" s="279"/>
    </row>
    <row r="444" customHeight="1" spans="5:5">
      <c r="E444" s="279"/>
    </row>
    <row r="445" customHeight="1" spans="5:5">
      <c r="E445" s="279"/>
    </row>
    <row r="446" customHeight="1" spans="5:5">
      <c r="E446" s="279"/>
    </row>
    <row r="447" customHeight="1" spans="5:5">
      <c r="E447" s="279"/>
    </row>
    <row r="448" customHeight="1" spans="5:5">
      <c r="E448" s="279"/>
    </row>
    <row r="449" customHeight="1" spans="5:5">
      <c r="E449" s="279"/>
    </row>
    <row r="450" customHeight="1" spans="5:5">
      <c r="E450" s="279"/>
    </row>
    <row r="451" customHeight="1" spans="5:5">
      <c r="E451" s="279"/>
    </row>
    <row r="452" customHeight="1" spans="5:5">
      <c r="E452" s="279"/>
    </row>
    <row r="453" customHeight="1" spans="5:5">
      <c r="E453" s="279"/>
    </row>
    <row r="454" customHeight="1" spans="5:5">
      <c r="E454" s="279"/>
    </row>
    <row r="455" customHeight="1" spans="5:5">
      <c r="E455" s="279"/>
    </row>
    <row r="456" customHeight="1" spans="5:5">
      <c r="E456" s="279"/>
    </row>
    <row r="457" customHeight="1" spans="5:5">
      <c r="E457" s="279"/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53"/>
  <sheetViews>
    <sheetView workbookViewId="0">
      <pane xSplit="1" ySplit="2" topLeftCell="C15" activePane="bottomRight" state="frozen"/>
      <selection/>
      <selection pane="topRight"/>
      <selection pane="bottomLeft"/>
      <selection pane="bottomRight" activeCell="L38" sqref="L38"/>
    </sheetView>
  </sheetViews>
  <sheetFormatPr defaultColWidth="13.125" defaultRowHeight="20" customHeight="1"/>
  <cols>
    <col min="1" max="16383" width="13.125" customWidth="1"/>
  </cols>
  <sheetData>
    <row r="2" customHeight="1" spans="1:10">
      <c r="A2" s="198" t="s">
        <v>29</v>
      </c>
      <c r="B2" s="199" t="s">
        <v>38</v>
      </c>
      <c r="C2" s="199" t="s">
        <v>30</v>
      </c>
      <c r="D2" s="199" t="s">
        <v>31</v>
      </c>
      <c r="E2" s="199" t="s">
        <v>32</v>
      </c>
      <c r="F2" s="199" t="s">
        <v>33</v>
      </c>
      <c r="G2" s="199" t="s">
        <v>34</v>
      </c>
      <c r="H2" s="199" t="s">
        <v>35</v>
      </c>
      <c r="I2" s="199" t="s">
        <v>36</v>
      </c>
      <c r="J2" s="199" t="s">
        <v>37</v>
      </c>
    </row>
    <row r="3" customHeight="1" spans="1:10">
      <c r="A3" s="182">
        <v>43466</v>
      </c>
      <c r="B3" s="200"/>
      <c r="C3" s="200">
        <v>119.41</v>
      </c>
      <c r="D3" s="201">
        <v>128.51</v>
      </c>
      <c r="E3" s="201">
        <v>134.42</v>
      </c>
      <c r="F3" s="201">
        <v>122.15</v>
      </c>
      <c r="G3" s="161">
        <v>126.06</v>
      </c>
      <c r="H3" s="161">
        <v>124.3</v>
      </c>
      <c r="I3" s="161">
        <v>126.06</v>
      </c>
      <c r="J3" s="161">
        <v>128.66</v>
      </c>
    </row>
    <row r="4" customHeight="1" spans="1:10">
      <c r="A4" s="182">
        <v>43473</v>
      </c>
      <c r="B4" s="200"/>
      <c r="C4" s="200">
        <v>118.5</v>
      </c>
      <c r="D4" s="201">
        <v>124.38</v>
      </c>
      <c r="E4" s="201">
        <v>133.83</v>
      </c>
      <c r="F4" s="201">
        <v>120.25</v>
      </c>
      <c r="G4" s="161">
        <v>124.54</v>
      </c>
      <c r="H4" s="161">
        <v>123.51</v>
      </c>
      <c r="I4" s="161">
        <v>124.1</v>
      </c>
      <c r="J4" s="161">
        <v>128.54</v>
      </c>
    </row>
    <row r="5" customHeight="1" spans="1:10">
      <c r="A5" s="182">
        <v>43480</v>
      </c>
      <c r="B5" s="200"/>
      <c r="C5" s="200">
        <v>119.38</v>
      </c>
      <c r="D5" s="201">
        <v>122.52</v>
      </c>
      <c r="E5" s="201">
        <v>131.81</v>
      </c>
      <c r="F5" s="201">
        <v>118.89</v>
      </c>
      <c r="G5" s="201">
        <v>122.97</v>
      </c>
      <c r="H5" s="201">
        <v>122.96</v>
      </c>
      <c r="I5" s="201">
        <v>122.96</v>
      </c>
      <c r="J5" s="201">
        <v>128.85</v>
      </c>
    </row>
    <row r="6" customHeight="1" spans="1:10">
      <c r="A6" s="182">
        <v>43487</v>
      </c>
      <c r="B6" s="200"/>
      <c r="C6" s="200">
        <v>117.89</v>
      </c>
      <c r="D6" s="201">
        <v>119.84</v>
      </c>
      <c r="E6" s="201">
        <v>128.09</v>
      </c>
      <c r="F6" s="201">
        <v>117.89</v>
      </c>
      <c r="G6" s="201">
        <v>119.87</v>
      </c>
      <c r="H6" s="201">
        <v>122.47</v>
      </c>
      <c r="I6" s="201">
        <v>121.51</v>
      </c>
      <c r="J6" s="201">
        <v>128.89</v>
      </c>
    </row>
    <row r="7" customHeight="1" spans="1:10">
      <c r="A7" s="182">
        <v>43494</v>
      </c>
      <c r="B7" s="200"/>
      <c r="C7" s="200">
        <v>114.78</v>
      </c>
      <c r="D7" s="201">
        <v>121.75</v>
      </c>
      <c r="E7" s="201">
        <v>125.49</v>
      </c>
      <c r="F7" s="201">
        <v>116.49</v>
      </c>
      <c r="G7" s="201">
        <v>120.87</v>
      </c>
      <c r="H7" s="201">
        <v>120.67</v>
      </c>
      <c r="I7" s="161">
        <v>124.18</v>
      </c>
      <c r="J7" s="161">
        <v>127.86</v>
      </c>
    </row>
    <row r="8" customHeight="1" spans="1:10">
      <c r="A8" s="182">
        <v>43501</v>
      </c>
      <c r="B8" s="200"/>
      <c r="C8" s="200">
        <v>112.4</v>
      </c>
      <c r="D8" s="201">
        <v>122.43</v>
      </c>
      <c r="E8" s="201">
        <v>124.55</v>
      </c>
      <c r="F8" s="201">
        <v>116.29</v>
      </c>
      <c r="G8" s="201">
        <v>121.17</v>
      </c>
      <c r="H8" s="201"/>
      <c r="I8" s="161">
        <v>125.04</v>
      </c>
      <c r="J8" s="161">
        <v>127.4</v>
      </c>
    </row>
    <row r="9" customHeight="1" spans="1:10">
      <c r="A9" s="188">
        <v>43508</v>
      </c>
      <c r="B9" s="200"/>
      <c r="C9" s="200">
        <v>111.68</v>
      </c>
      <c r="D9" s="201">
        <v>123.28</v>
      </c>
      <c r="E9" s="201">
        <v>123.83</v>
      </c>
      <c r="F9" s="201">
        <v>116.36</v>
      </c>
      <c r="G9" s="201">
        <v>121.45</v>
      </c>
      <c r="H9" s="201">
        <v>121.43</v>
      </c>
      <c r="I9" s="201">
        <v>125.68</v>
      </c>
      <c r="J9" s="201">
        <v>126.05</v>
      </c>
    </row>
    <row r="10" customHeight="1" spans="1:10">
      <c r="A10" s="188">
        <v>43522</v>
      </c>
      <c r="B10" s="200"/>
      <c r="C10" s="201">
        <v>110.44</v>
      </c>
      <c r="D10" s="201">
        <v>125.03</v>
      </c>
      <c r="E10" s="201">
        <v>122.99</v>
      </c>
      <c r="F10" s="201">
        <v>116.92</v>
      </c>
      <c r="G10" s="201">
        <v>120.23</v>
      </c>
      <c r="H10" s="201">
        <v>121.72</v>
      </c>
      <c r="I10" s="201">
        <v>126.52</v>
      </c>
      <c r="J10" s="201">
        <v>127.73</v>
      </c>
    </row>
    <row r="11" customHeight="1" spans="1:10">
      <c r="A11" s="188">
        <v>43529</v>
      </c>
      <c r="B11" s="200"/>
      <c r="C11" s="201">
        <v>109.78</v>
      </c>
      <c r="D11" s="201">
        <v>126.58</v>
      </c>
      <c r="E11" s="201">
        <v>124.52</v>
      </c>
      <c r="F11" s="201">
        <v>117.23</v>
      </c>
      <c r="G11" s="201">
        <v>120.76</v>
      </c>
      <c r="H11" s="161">
        <v>122.77</v>
      </c>
      <c r="I11" s="161">
        <v>127.06</v>
      </c>
      <c r="J11" s="161">
        <v>128.15</v>
      </c>
    </row>
    <row r="12" customHeight="1" spans="1:10">
      <c r="A12" s="188">
        <v>43536</v>
      </c>
      <c r="B12" s="200"/>
      <c r="C12" s="201">
        <v>106.27</v>
      </c>
      <c r="D12" s="201">
        <v>129.65</v>
      </c>
      <c r="E12" s="201">
        <v>126.93</v>
      </c>
      <c r="F12" s="201">
        <v>117.05</v>
      </c>
      <c r="G12" s="201">
        <v>121.11</v>
      </c>
      <c r="H12" s="161">
        <v>123.5</v>
      </c>
      <c r="I12" s="161">
        <v>127.92</v>
      </c>
      <c r="J12" s="161">
        <v>128.55</v>
      </c>
    </row>
    <row r="13" customHeight="1" spans="1:10">
      <c r="A13" s="188">
        <v>43543</v>
      </c>
      <c r="B13" s="200"/>
      <c r="C13" s="201">
        <v>106.03</v>
      </c>
      <c r="D13" s="201">
        <v>132.6</v>
      </c>
      <c r="E13" s="201">
        <v>130.74</v>
      </c>
      <c r="F13" s="201">
        <v>116.79</v>
      </c>
      <c r="G13" s="201">
        <v>122.05</v>
      </c>
      <c r="H13" s="201">
        <v>124.03</v>
      </c>
      <c r="I13" s="201">
        <v>128.4</v>
      </c>
      <c r="J13" s="201">
        <v>128.62</v>
      </c>
    </row>
    <row r="14" customHeight="1" spans="1:10">
      <c r="A14" s="188">
        <v>43550</v>
      </c>
      <c r="B14" s="200"/>
      <c r="C14" s="201">
        <v>111.34</v>
      </c>
      <c r="D14" s="201">
        <v>132.71</v>
      </c>
      <c r="E14" s="201">
        <v>133.51</v>
      </c>
      <c r="F14" s="201">
        <v>116.65</v>
      </c>
      <c r="G14" s="201">
        <v>122.32</v>
      </c>
      <c r="H14" s="201">
        <v>124.67</v>
      </c>
      <c r="I14" s="201">
        <v>128.64</v>
      </c>
      <c r="J14" s="201">
        <v>128.71</v>
      </c>
    </row>
    <row r="15" customHeight="1" spans="1:10">
      <c r="A15" s="188">
        <v>43557</v>
      </c>
      <c r="B15" s="200"/>
      <c r="C15" s="201">
        <v>118.89</v>
      </c>
      <c r="D15" s="201">
        <v>133.13</v>
      </c>
      <c r="E15" s="201">
        <v>135.69</v>
      </c>
      <c r="F15" s="201">
        <v>116.55</v>
      </c>
      <c r="G15" s="201">
        <v>122.56</v>
      </c>
      <c r="H15" s="161">
        <v>125.36</v>
      </c>
      <c r="I15" s="161">
        <v>128.89</v>
      </c>
      <c r="J15" s="161">
        <v>128.81</v>
      </c>
    </row>
    <row r="16" customHeight="1" spans="1:10">
      <c r="A16" s="188">
        <v>43564</v>
      </c>
      <c r="B16" s="200"/>
      <c r="C16" s="201">
        <v>121.67</v>
      </c>
      <c r="D16" s="201">
        <v>134.48</v>
      </c>
      <c r="E16" s="201">
        <v>135.87</v>
      </c>
      <c r="F16" s="201">
        <v>116.51</v>
      </c>
      <c r="G16" s="201">
        <v>122.78</v>
      </c>
      <c r="H16" s="201">
        <v>126.03</v>
      </c>
      <c r="I16" s="161">
        <v>128.81</v>
      </c>
      <c r="J16" s="161">
        <v>128.61</v>
      </c>
    </row>
    <row r="17" customHeight="1" spans="1:10">
      <c r="A17" s="188">
        <v>43571</v>
      </c>
      <c r="B17" s="200"/>
      <c r="C17" s="201">
        <v>123.28</v>
      </c>
      <c r="D17" s="201">
        <v>134.79</v>
      </c>
      <c r="E17" s="201">
        <v>135.67</v>
      </c>
      <c r="F17" s="201">
        <v>116.69</v>
      </c>
      <c r="G17" s="201">
        <v>122.86</v>
      </c>
      <c r="H17" s="201">
        <v>126.67</v>
      </c>
      <c r="I17" s="201">
        <v>128.57</v>
      </c>
      <c r="J17" s="201">
        <v>128.46</v>
      </c>
    </row>
    <row r="18" customHeight="1" spans="1:10">
      <c r="A18" s="188">
        <v>43578</v>
      </c>
      <c r="B18" s="200"/>
      <c r="C18" s="201">
        <v>121.36</v>
      </c>
      <c r="D18" s="201">
        <v>136.09</v>
      </c>
      <c r="E18" s="201">
        <v>136.14</v>
      </c>
      <c r="F18" s="201">
        <v>116.59</v>
      </c>
      <c r="G18" s="201">
        <v>122.74</v>
      </c>
      <c r="H18" s="201">
        <v>126.25</v>
      </c>
      <c r="I18" s="201">
        <v>128.94</v>
      </c>
      <c r="J18" s="201">
        <v>128.51</v>
      </c>
    </row>
    <row r="19" customHeight="1" spans="1:10">
      <c r="A19" s="188">
        <v>43585</v>
      </c>
      <c r="B19" s="200"/>
      <c r="C19" s="201">
        <v>121.76</v>
      </c>
      <c r="D19" s="201">
        <v>135.32</v>
      </c>
      <c r="E19" s="201">
        <v>136.55</v>
      </c>
      <c r="F19" s="201">
        <v>117.21</v>
      </c>
      <c r="G19" s="162">
        <v>122.64</v>
      </c>
      <c r="H19" s="201">
        <v>125.84</v>
      </c>
      <c r="I19" s="161">
        <v>129.22</v>
      </c>
      <c r="J19" s="161">
        <v>128.68</v>
      </c>
    </row>
    <row r="20" customHeight="1" spans="1:10">
      <c r="A20" s="188">
        <v>43592</v>
      </c>
      <c r="B20" s="200"/>
      <c r="C20" s="201">
        <v>121.96</v>
      </c>
      <c r="D20" s="201">
        <v>134.61</v>
      </c>
      <c r="E20" s="265">
        <v>136.88</v>
      </c>
      <c r="F20" s="201">
        <v>117.55</v>
      </c>
      <c r="G20" s="201">
        <v>122.67</v>
      </c>
      <c r="H20" s="201">
        <v>125.41</v>
      </c>
      <c r="I20" s="161">
        <v>129.71</v>
      </c>
      <c r="J20" s="161">
        <v>128.85</v>
      </c>
    </row>
    <row r="21" customHeight="1" spans="1:10">
      <c r="A21" s="188">
        <v>43599</v>
      </c>
      <c r="B21" s="200"/>
      <c r="C21" s="201">
        <v>122.2</v>
      </c>
      <c r="D21" s="201">
        <v>133.24</v>
      </c>
      <c r="E21" s="201">
        <v>136.65</v>
      </c>
      <c r="F21" s="201">
        <v>119.16</v>
      </c>
      <c r="G21" s="201">
        <v>122.59</v>
      </c>
      <c r="H21" s="201">
        <v>125.3</v>
      </c>
      <c r="I21" s="201">
        <v>129.71</v>
      </c>
      <c r="J21" s="201">
        <v>128.8</v>
      </c>
    </row>
    <row r="22" customHeight="1" spans="1:10">
      <c r="A22" s="188">
        <v>43606</v>
      </c>
      <c r="B22" s="200"/>
      <c r="C22" s="201">
        <v>120.54</v>
      </c>
      <c r="D22" s="201">
        <v>132.41</v>
      </c>
      <c r="E22" s="201">
        <v>135.71</v>
      </c>
      <c r="F22" s="201">
        <v>120.21</v>
      </c>
      <c r="G22" s="201">
        <v>122.28</v>
      </c>
      <c r="H22" s="161">
        <v>125.72</v>
      </c>
      <c r="I22" s="201">
        <v>129.38</v>
      </c>
      <c r="J22" s="201">
        <v>128.79</v>
      </c>
    </row>
    <row r="23" customHeight="1" spans="1:10">
      <c r="A23" s="188">
        <v>43613</v>
      </c>
      <c r="B23" s="200"/>
      <c r="C23" s="201">
        <v>118.7</v>
      </c>
      <c r="D23" s="201">
        <v>132.16</v>
      </c>
      <c r="E23" s="201">
        <v>134.9</v>
      </c>
      <c r="F23" s="201">
        <v>121.81</v>
      </c>
      <c r="G23" s="201">
        <v>121.86</v>
      </c>
      <c r="H23" s="161">
        <v>125.92</v>
      </c>
      <c r="I23" s="161">
        <v>129.18</v>
      </c>
      <c r="J23" s="161">
        <v>128.8</v>
      </c>
    </row>
    <row r="24" customHeight="1" spans="1:10">
      <c r="A24" s="188">
        <v>43620</v>
      </c>
      <c r="B24" s="200"/>
      <c r="C24" s="201">
        <v>119.09</v>
      </c>
      <c r="D24" s="201">
        <v>132.08</v>
      </c>
      <c r="E24" s="266">
        <v>134.14</v>
      </c>
      <c r="F24" s="201">
        <v>122.92</v>
      </c>
      <c r="G24" s="201">
        <v>121.58</v>
      </c>
      <c r="H24" s="201">
        <v>126.13</v>
      </c>
      <c r="I24" s="161">
        <v>129.17</v>
      </c>
      <c r="J24" s="161">
        <v>129.08</v>
      </c>
    </row>
    <row r="25" customHeight="1" spans="1:10">
      <c r="A25" s="188">
        <v>43627</v>
      </c>
      <c r="B25" s="200"/>
      <c r="C25" s="201">
        <v>119.89</v>
      </c>
      <c r="D25" s="201">
        <v>131.788235294118</v>
      </c>
      <c r="E25" s="201">
        <v>133.64</v>
      </c>
      <c r="F25" s="201">
        <v>124.53</v>
      </c>
      <c r="G25" s="162">
        <v>121.38</v>
      </c>
      <c r="H25" s="201">
        <v>126.28</v>
      </c>
      <c r="I25" s="201">
        <v>128.82</v>
      </c>
      <c r="J25" s="201">
        <v>129.32</v>
      </c>
    </row>
    <row r="26" customHeight="1" spans="1:10">
      <c r="A26" s="188">
        <v>43634</v>
      </c>
      <c r="B26" s="200"/>
      <c r="C26" s="201">
        <v>120.18</v>
      </c>
      <c r="D26" s="201">
        <v>130.97</v>
      </c>
      <c r="E26" s="201">
        <v>133.06</v>
      </c>
      <c r="F26" s="201">
        <v>125.41</v>
      </c>
      <c r="G26" s="201">
        <v>121.27</v>
      </c>
      <c r="H26" s="201">
        <v>126.29</v>
      </c>
      <c r="I26" s="201">
        <v>128.28</v>
      </c>
      <c r="J26" s="201">
        <v>129.27</v>
      </c>
    </row>
    <row r="27" customHeight="1" spans="1:10">
      <c r="A27" s="188">
        <v>43641</v>
      </c>
      <c r="B27" s="200"/>
      <c r="C27" s="201">
        <v>122.79</v>
      </c>
      <c r="D27" s="201">
        <v>130.39</v>
      </c>
      <c r="E27" s="201">
        <v>132.14</v>
      </c>
      <c r="F27" s="201">
        <v>125.29</v>
      </c>
      <c r="G27" s="201">
        <v>120.89</v>
      </c>
      <c r="H27" s="201">
        <v>125.99</v>
      </c>
      <c r="I27" s="161">
        <v>128.14</v>
      </c>
      <c r="J27" s="161">
        <v>128.26</v>
      </c>
    </row>
    <row r="28" customHeight="1" spans="1:10">
      <c r="A28" s="188">
        <v>43648</v>
      </c>
      <c r="B28" s="200"/>
      <c r="C28" s="201">
        <v>121.83</v>
      </c>
      <c r="D28" s="201">
        <v>129.86</v>
      </c>
      <c r="E28" s="201">
        <v>131.35</v>
      </c>
      <c r="F28" s="201">
        <v>125.16</v>
      </c>
      <c r="G28" s="201">
        <v>120.56</v>
      </c>
      <c r="H28" s="201">
        <v>125.71</v>
      </c>
      <c r="I28" s="161">
        <v>128.64</v>
      </c>
      <c r="J28" s="161">
        <v>127.99</v>
      </c>
    </row>
    <row r="29" customHeight="1" spans="1:10">
      <c r="A29" s="188">
        <v>43655</v>
      </c>
      <c r="B29" s="200"/>
      <c r="C29" s="201">
        <v>121.36</v>
      </c>
      <c r="D29" s="201">
        <v>129.49</v>
      </c>
      <c r="E29" s="201">
        <v>130.54</v>
      </c>
      <c r="F29" s="201">
        <v>125.26</v>
      </c>
      <c r="G29" s="201">
        <v>120.34</v>
      </c>
      <c r="H29" s="161">
        <v>125.66</v>
      </c>
      <c r="I29" s="201">
        <v>129.03</v>
      </c>
      <c r="J29" s="201">
        <v>128.03</v>
      </c>
    </row>
    <row r="30" customHeight="1" spans="1:10">
      <c r="A30" s="188">
        <v>43662</v>
      </c>
      <c r="B30" s="200"/>
      <c r="C30" s="201">
        <v>119.24</v>
      </c>
      <c r="D30" s="201">
        <v>127.51</v>
      </c>
      <c r="E30" s="200">
        <v>130.15</v>
      </c>
      <c r="F30" s="201">
        <v>125.71</v>
      </c>
      <c r="G30" s="201">
        <v>120.21</v>
      </c>
      <c r="H30" s="201">
        <v>125.37</v>
      </c>
      <c r="I30" s="201">
        <v>128.83</v>
      </c>
      <c r="J30" s="201">
        <v>128.1</v>
      </c>
    </row>
    <row r="31" customHeight="1" spans="1:10">
      <c r="A31" s="188">
        <v>43669</v>
      </c>
      <c r="B31" s="267">
        <v>115.73</v>
      </c>
      <c r="C31" s="201">
        <v>118.71</v>
      </c>
      <c r="D31" s="201">
        <v>126.92</v>
      </c>
      <c r="E31" s="200">
        <v>129.46</v>
      </c>
      <c r="F31" s="201">
        <v>126.44</v>
      </c>
      <c r="G31" s="201">
        <v>120.11</v>
      </c>
      <c r="H31" s="161">
        <v>125.39</v>
      </c>
      <c r="I31" s="161">
        <v>128.48</v>
      </c>
      <c r="J31" s="161">
        <v>128.15</v>
      </c>
    </row>
    <row r="32" customHeight="1" spans="1:10">
      <c r="A32" s="188">
        <v>43676</v>
      </c>
      <c r="B32" s="200">
        <v>114.89</v>
      </c>
      <c r="C32" s="201">
        <v>117.21</v>
      </c>
      <c r="D32" s="201">
        <v>126.37</v>
      </c>
      <c r="E32" s="200">
        <v>128.82</v>
      </c>
      <c r="F32" s="201">
        <v>126.32</v>
      </c>
      <c r="G32" s="201">
        <v>120.06</v>
      </c>
      <c r="H32" s="161">
        <v>125.46</v>
      </c>
      <c r="I32" s="161">
        <v>127.98</v>
      </c>
      <c r="J32" s="161">
        <v>128.04</v>
      </c>
    </row>
    <row r="33" customHeight="1" spans="1:10">
      <c r="A33" s="188">
        <v>43683</v>
      </c>
      <c r="B33" s="200">
        <v>113.57</v>
      </c>
      <c r="C33" s="201">
        <v>116.35</v>
      </c>
      <c r="D33" s="201">
        <v>126.694117647059</v>
      </c>
      <c r="E33" s="200">
        <v>128.55</v>
      </c>
      <c r="F33" s="201">
        <v>126.45</v>
      </c>
      <c r="G33" s="201">
        <v>120.36</v>
      </c>
      <c r="H33" s="201">
        <v>125.83</v>
      </c>
      <c r="I33" s="201">
        <v>127.8</v>
      </c>
      <c r="J33" s="201">
        <v>128.1</v>
      </c>
    </row>
    <row r="34" customHeight="1" spans="1:10">
      <c r="A34" s="188">
        <v>43690</v>
      </c>
      <c r="B34" s="200">
        <v>114.35</v>
      </c>
      <c r="C34" s="201">
        <v>116.91</v>
      </c>
      <c r="D34" s="201">
        <v>126.58</v>
      </c>
      <c r="E34" s="200">
        <v>128.2</v>
      </c>
      <c r="F34" s="201">
        <v>126.39</v>
      </c>
      <c r="G34" s="201">
        <v>121.33</v>
      </c>
      <c r="H34" s="201">
        <v>126.17</v>
      </c>
      <c r="I34" s="201">
        <v>127.82</v>
      </c>
      <c r="J34" s="201">
        <v>128.1</v>
      </c>
    </row>
    <row r="35" customHeight="1" spans="1:10">
      <c r="A35" s="188">
        <v>43697</v>
      </c>
      <c r="B35" s="200">
        <v>113.63</v>
      </c>
      <c r="C35" s="201">
        <v>119.04</v>
      </c>
      <c r="D35" s="201">
        <v>126.53</v>
      </c>
      <c r="E35" s="200">
        <v>127.66</v>
      </c>
      <c r="F35" s="201">
        <v>126.01</v>
      </c>
      <c r="G35" s="201">
        <v>121.51</v>
      </c>
      <c r="H35" s="201">
        <v>126.47</v>
      </c>
      <c r="I35" s="161">
        <v>127.98</v>
      </c>
      <c r="J35" s="161">
        <v>128.37</v>
      </c>
    </row>
    <row r="36" customHeight="1" spans="1:10">
      <c r="A36" s="188">
        <v>43704</v>
      </c>
      <c r="B36" s="200">
        <v>115.31</v>
      </c>
      <c r="C36" s="201">
        <v>122.66</v>
      </c>
      <c r="D36" s="201">
        <v>126.84</v>
      </c>
      <c r="E36" s="200">
        <v>126.52</v>
      </c>
      <c r="F36" s="201">
        <v>126.61</v>
      </c>
      <c r="G36" s="201">
        <v>122.24</v>
      </c>
      <c r="H36" s="201">
        <v>126.73</v>
      </c>
      <c r="I36" s="161">
        <v>127.83</v>
      </c>
      <c r="J36" s="161">
        <v>128.76</v>
      </c>
    </row>
    <row r="37" customHeight="1" spans="1:10">
      <c r="A37" s="188">
        <v>43711</v>
      </c>
      <c r="B37" s="200">
        <v>115.39</v>
      </c>
      <c r="C37" s="201">
        <v>124.24</v>
      </c>
      <c r="D37" s="201">
        <v>126.78</v>
      </c>
      <c r="E37" s="200">
        <v>125.21</v>
      </c>
      <c r="F37" s="201">
        <v>127.26</v>
      </c>
      <c r="G37" s="201">
        <v>122.49</v>
      </c>
      <c r="H37" s="201">
        <v>126.27</v>
      </c>
      <c r="I37" s="201">
        <v>128.23</v>
      </c>
      <c r="J37" s="201">
        <v>129.19</v>
      </c>
    </row>
    <row r="38" customHeight="1" spans="1:10">
      <c r="A38" s="188">
        <v>43718</v>
      </c>
      <c r="B38" s="200">
        <v>115.48</v>
      </c>
      <c r="C38" s="201">
        <v>123.88</v>
      </c>
      <c r="D38" s="201">
        <v>126.61</v>
      </c>
      <c r="E38" s="200">
        <v>124.12</v>
      </c>
      <c r="F38" s="201">
        <v>127.26</v>
      </c>
      <c r="G38" s="201">
        <v>122.83</v>
      </c>
      <c r="H38" s="201">
        <v>125.96</v>
      </c>
      <c r="I38" s="201">
        <v>128.32</v>
      </c>
      <c r="J38" s="201">
        <v>129.32</v>
      </c>
    </row>
    <row r="39" customHeight="1" spans="1:10">
      <c r="A39" s="188">
        <v>43725</v>
      </c>
      <c r="B39" s="200">
        <v>115.36</v>
      </c>
      <c r="C39" s="201">
        <v>124.56</v>
      </c>
      <c r="D39" s="201">
        <v>126.26</v>
      </c>
      <c r="E39" s="200">
        <v>123.14</v>
      </c>
      <c r="F39" s="201">
        <v>127.68</v>
      </c>
      <c r="G39" s="201">
        <v>122.81</v>
      </c>
      <c r="H39" s="201">
        <v>125.97</v>
      </c>
      <c r="I39" s="161">
        <v>128.45</v>
      </c>
      <c r="J39" s="161">
        <v>129.25</v>
      </c>
    </row>
    <row r="40" customHeight="1" spans="1:10">
      <c r="A40" s="188">
        <v>43732</v>
      </c>
      <c r="B40" s="200">
        <v>115.09</v>
      </c>
      <c r="C40" s="201">
        <v>125.53</v>
      </c>
      <c r="D40" s="201">
        <v>126.34</v>
      </c>
      <c r="E40" s="200">
        <v>122.2</v>
      </c>
      <c r="F40" s="201">
        <v>127.95</v>
      </c>
      <c r="G40" s="201">
        <v>123</v>
      </c>
      <c r="H40" s="161">
        <v>125.68</v>
      </c>
      <c r="I40" s="161">
        <v>128.55</v>
      </c>
      <c r="J40" s="161">
        <v>128.82</v>
      </c>
    </row>
    <row r="41" customHeight="1" spans="1:10">
      <c r="A41" s="182">
        <v>43747</v>
      </c>
      <c r="B41" s="200">
        <v>115.05</v>
      </c>
      <c r="C41" s="201">
        <v>130.49</v>
      </c>
      <c r="D41" s="201">
        <v>126.61</v>
      </c>
      <c r="E41" s="200">
        <v>119.79</v>
      </c>
      <c r="F41" s="201">
        <v>128.07</v>
      </c>
      <c r="G41" s="201">
        <v>123.45</v>
      </c>
      <c r="H41" s="161">
        <v>125.87</v>
      </c>
      <c r="I41" s="201">
        <v>128.48</v>
      </c>
      <c r="J41" s="201"/>
    </row>
    <row r="42" customHeight="1" spans="1:10">
      <c r="A42" s="182">
        <v>43754</v>
      </c>
      <c r="B42" s="200">
        <v>114.91</v>
      </c>
      <c r="C42" s="201">
        <v>131.97</v>
      </c>
      <c r="D42" s="201">
        <v>126.44</v>
      </c>
      <c r="E42" s="200">
        <v>121.05</v>
      </c>
      <c r="F42" s="201">
        <v>128.68</v>
      </c>
      <c r="G42" s="201">
        <v>123.22</v>
      </c>
      <c r="H42" s="201">
        <v>126.34</v>
      </c>
      <c r="I42" s="161">
        <v>128.25</v>
      </c>
      <c r="J42" s="161"/>
    </row>
    <row r="43" customHeight="1" spans="1:10">
      <c r="A43" s="182">
        <v>43761</v>
      </c>
      <c r="B43" s="200">
        <v>115.24</v>
      </c>
      <c r="C43" s="201">
        <v>133.62</v>
      </c>
      <c r="D43" s="201">
        <v>126.08</v>
      </c>
      <c r="E43" s="200">
        <v>122.08</v>
      </c>
      <c r="F43" s="201">
        <v>129.06</v>
      </c>
      <c r="G43" s="201">
        <v>123.02</v>
      </c>
      <c r="H43" s="201">
        <v>126.07</v>
      </c>
      <c r="I43" s="161">
        <v>127.9</v>
      </c>
      <c r="J43" s="161"/>
    </row>
    <row r="44" customHeight="1" spans="1:10">
      <c r="A44" s="182">
        <v>43768</v>
      </c>
      <c r="B44" s="200">
        <v>117.12</v>
      </c>
      <c r="C44" s="201">
        <v>135.32</v>
      </c>
      <c r="D44" s="201">
        <v>126.09</v>
      </c>
      <c r="E44" s="200">
        <v>123.98</v>
      </c>
      <c r="F44" s="201">
        <v>129.32</v>
      </c>
      <c r="G44" s="201">
        <v>122.59</v>
      </c>
      <c r="H44" s="201">
        <v>125.5</v>
      </c>
      <c r="I44" s="201">
        <v>127.69</v>
      </c>
      <c r="J44" s="201"/>
    </row>
    <row r="45" customHeight="1" spans="1:10">
      <c r="A45" s="182">
        <v>43775</v>
      </c>
      <c r="B45" s="200">
        <v>117.31</v>
      </c>
      <c r="C45" s="201">
        <v>134.43</v>
      </c>
      <c r="D45" s="201">
        <v>125.79</v>
      </c>
      <c r="E45" s="200">
        <v>125.04</v>
      </c>
      <c r="F45" s="201">
        <v>129.58</v>
      </c>
      <c r="G45" s="201">
        <v>121.88</v>
      </c>
      <c r="H45" s="201">
        <v>125.9</v>
      </c>
      <c r="I45" s="201">
        <v>128.3</v>
      </c>
      <c r="J45" s="201"/>
    </row>
    <row r="46" customHeight="1" spans="1:10">
      <c r="A46" s="182">
        <v>43782</v>
      </c>
      <c r="B46" s="200">
        <v>117.65</v>
      </c>
      <c r="C46" s="201">
        <v>133.39</v>
      </c>
      <c r="D46" s="201">
        <v>125.83</v>
      </c>
      <c r="E46" s="200">
        <v>125.6</v>
      </c>
      <c r="F46" s="201">
        <v>130.05</v>
      </c>
      <c r="G46" s="201">
        <v>122</v>
      </c>
      <c r="H46" s="201">
        <v>126.46</v>
      </c>
      <c r="I46" s="161">
        <v>128.48</v>
      </c>
      <c r="J46" s="161"/>
    </row>
    <row r="47" customHeight="1" spans="1:10">
      <c r="A47" s="182">
        <v>43789</v>
      </c>
      <c r="B47" s="200">
        <v>118.46</v>
      </c>
      <c r="C47" s="201">
        <v>131.05</v>
      </c>
      <c r="D47" s="201">
        <v>125.85</v>
      </c>
      <c r="E47" s="200">
        <v>126.19</v>
      </c>
      <c r="F47" s="201">
        <v>130.19</v>
      </c>
      <c r="G47" s="201">
        <v>123.21</v>
      </c>
      <c r="H47" s="201">
        <v>126.73</v>
      </c>
      <c r="I47" s="161">
        <v>128.81</v>
      </c>
      <c r="J47" s="161"/>
    </row>
    <row r="48" customHeight="1" spans="1:10">
      <c r="A48" s="182">
        <v>43796</v>
      </c>
      <c r="B48" s="200">
        <v>118.69</v>
      </c>
      <c r="C48" s="201">
        <v>130.14</v>
      </c>
      <c r="D48" s="201">
        <v>126.6</v>
      </c>
      <c r="E48" s="200">
        <v>126.82</v>
      </c>
      <c r="F48" s="201">
        <v>130.54</v>
      </c>
      <c r="G48" s="201">
        <v>123.79</v>
      </c>
      <c r="H48" s="201">
        <v>127.35</v>
      </c>
      <c r="I48" s="201">
        <v>129.22</v>
      </c>
      <c r="J48" s="201"/>
    </row>
    <row r="49" customHeight="1" spans="1:10">
      <c r="A49" s="182">
        <v>43803</v>
      </c>
      <c r="B49" s="200">
        <v>118.8</v>
      </c>
      <c r="C49" s="201">
        <v>129.69</v>
      </c>
      <c r="D49" s="201">
        <v>126.95</v>
      </c>
      <c r="E49" s="200">
        <v>127.03</v>
      </c>
      <c r="F49" s="201">
        <v>130.62</v>
      </c>
      <c r="G49" s="201">
        <v>124</v>
      </c>
      <c r="H49" s="161">
        <v>128.33</v>
      </c>
      <c r="I49" s="201">
        <v>129.82</v>
      </c>
      <c r="J49" s="201"/>
    </row>
    <row r="50" customHeight="1" spans="1:10">
      <c r="A50" s="182">
        <v>43810</v>
      </c>
      <c r="B50" s="200">
        <v>118.67</v>
      </c>
      <c r="C50" s="201">
        <v>128.86</v>
      </c>
      <c r="D50" s="201">
        <v>127.55</v>
      </c>
      <c r="E50" s="200">
        <v>126.75</v>
      </c>
      <c r="F50" s="201">
        <v>129.85</v>
      </c>
      <c r="G50" s="161">
        <v>123.38</v>
      </c>
      <c r="H50" s="161">
        <v>130.27</v>
      </c>
      <c r="I50" s="161">
        <v>129.63</v>
      </c>
      <c r="J50" s="161"/>
    </row>
    <row r="51" customHeight="1" spans="1:10">
      <c r="A51" s="182">
        <v>43817</v>
      </c>
      <c r="B51" s="200">
        <v>118.66</v>
      </c>
      <c r="C51" s="201">
        <v>129.53</v>
      </c>
      <c r="D51" s="201">
        <v>128.75</v>
      </c>
      <c r="E51" s="200">
        <v>125.75</v>
      </c>
      <c r="F51" s="161">
        <v>129.07</v>
      </c>
      <c r="G51" s="161">
        <v>123.64</v>
      </c>
      <c r="H51" s="201">
        <v>130.68</v>
      </c>
      <c r="I51" s="161">
        <v>130.18</v>
      </c>
      <c r="J51" s="161"/>
    </row>
    <row r="52" customHeight="1" spans="1:10">
      <c r="A52" s="182">
        <v>43824</v>
      </c>
      <c r="B52" s="200">
        <v>118.73</v>
      </c>
      <c r="C52" s="201">
        <v>132.23</v>
      </c>
      <c r="D52" s="201">
        <v>130.79</v>
      </c>
      <c r="E52" s="200">
        <v>124.31</v>
      </c>
      <c r="F52" s="161">
        <v>128.28</v>
      </c>
      <c r="G52" s="201">
        <v>123.93</v>
      </c>
      <c r="H52" s="201">
        <v>127.76</v>
      </c>
      <c r="I52" s="201">
        <v>129.7</v>
      </c>
      <c r="J52" s="201"/>
    </row>
    <row r="53" customHeight="1" spans="1:10">
      <c r="A53" s="182">
        <v>43830</v>
      </c>
      <c r="B53" s="200">
        <v>119.46</v>
      </c>
      <c r="C53" s="201">
        <v>131.1</v>
      </c>
      <c r="D53" s="201">
        <v>132.7</v>
      </c>
      <c r="E53" s="200">
        <v>123.18</v>
      </c>
      <c r="F53" s="201">
        <v>127.3</v>
      </c>
      <c r="G53" s="201">
        <v>124.24</v>
      </c>
      <c r="H53" s="201"/>
      <c r="I53" s="201"/>
      <c r="J53" s="201"/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8"/>
  <sheetViews>
    <sheetView workbookViewId="0">
      <pane xSplit="1" ySplit="1" topLeftCell="B323" activePane="bottomRight" state="frozen"/>
      <selection/>
      <selection pane="topRight"/>
      <selection pane="bottomLeft"/>
      <selection pane="bottomRight" activeCell="C348" sqref="C348"/>
    </sheetView>
  </sheetViews>
  <sheetFormatPr defaultColWidth="9" defaultRowHeight="21.75" customHeight="1"/>
  <cols>
    <col min="1" max="1" width="14.875" style="254" customWidth="1"/>
    <col min="2" max="2" width="9.75833333333333" style="253" customWidth="1"/>
    <col min="3" max="3" width="10.8833333333333" style="253" customWidth="1"/>
    <col min="4" max="7" width="9" style="253"/>
    <col min="8" max="8" width="12.625" style="253"/>
    <col min="9" max="17" width="9" style="253"/>
    <col min="18" max="18" width="12.625" style="253"/>
    <col min="19" max="16384" width="9" style="253"/>
  </cols>
  <sheetData>
    <row r="1" s="253" customFormat="1" customHeight="1" spans="1:3">
      <c r="A1" s="156" t="s">
        <v>39</v>
      </c>
      <c r="B1" s="156" t="s">
        <v>40</v>
      </c>
      <c r="C1" s="156" t="s">
        <v>41</v>
      </c>
    </row>
    <row r="2" s="253" customFormat="1" customHeight="1" spans="1:3">
      <c r="A2" s="158">
        <v>43797</v>
      </c>
      <c r="B2" s="23">
        <v>0.1406</v>
      </c>
      <c r="C2" s="23">
        <v>0.2906</v>
      </c>
    </row>
    <row r="3" s="253" customFormat="1" customHeight="1" spans="1:3">
      <c r="A3" s="158">
        <v>43804</v>
      </c>
      <c r="B3" s="23">
        <v>0.1094</v>
      </c>
      <c r="C3" s="23">
        <v>0.2941</v>
      </c>
    </row>
    <row r="4" s="253" customFormat="1" customHeight="1" spans="1:3">
      <c r="A4" s="158">
        <v>43811</v>
      </c>
      <c r="B4" s="23">
        <v>0.1041</v>
      </c>
      <c r="C4" s="23">
        <v>0.3071</v>
      </c>
    </row>
    <row r="5" s="253" customFormat="1" customHeight="1" spans="1:3">
      <c r="A5" s="158">
        <v>43818</v>
      </c>
      <c r="B5" s="23">
        <v>0.1335</v>
      </c>
      <c r="C5" s="23">
        <v>0.3388</v>
      </c>
    </row>
    <row r="6" s="253" customFormat="1" customHeight="1" spans="1:3">
      <c r="A6" s="158">
        <v>43825</v>
      </c>
      <c r="B6" s="23">
        <v>0.1371</v>
      </c>
      <c r="C6" s="23">
        <v>0.3376</v>
      </c>
    </row>
    <row r="7" s="253" customFormat="1" customHeight="1" spans="1:3">
      <c r="A7" s="158">
        <v>43832</v>
      </c>
      <c r="B7" s="23">
        <v>0.1388</v>
      </c>
      <c r="C7" s="23">
        <v>0.2818</v>
      </c>
    </row>
    <row r="8" s="253" customFormat="1" customHeight="1" spans="1:3">
      <c r="A8" s="158">
        <v>43839</v>
      </c>
      <c r="B8" s="23">
        <v>0.1412</v>
      </c>
      <c r="C8" s="23">
        <v>0.22</v>
      </c>
    </row>
    <row r="9" s="253" customFormat="1" customHeight="1" spans="1:3">
      <c r="A9" s="158">
        <v>43846</v>
      </c>
      <c r="B9" s="23">
        <v>0.1312</v>
      </c>
      <c r="C9" s="23">
        <v>0.1806</v>
      </c>
    </row>
    <row r="10" s="253" customFormat="1" customHeight="1" spans="1:3">
      <c r="A10" s="158">
        <v>43867</v>
      </c>
      <c r="B10" s="23">
        <v>0.1153</v>
      </c>
      <c r="C10" s="23">
        <v>0.0776</v>
      </c>
    </row>
    <row r="11" s="253" customFormat="1" customHeight="1" spans="1:3">
      <c r="A11" s="158">
        <v>43874</v>
      </c>
      <c r="B11" s="23">
        <v>0.1106</v>
      </c>
      <c r="C11" s="23">
        <v>0.1024</v>
      </c>
    </row>
    <row r="12" s="253" customFormat="1" customHeight="1" spans="1:3">
      <c r="A12" s="158">
        <v>43881</v>
      </c>
      <c r="B12" s="23">
        <v>0.1029</v>
      </c>
      <c r="C12" s="23">
        <v>0.0941</v>
      </c>
    </row>
    <row r="13" s="253" customFormat="1" customHeight="1" spans="1:3">
      <c r="A13" s="158">
        <v>43888</v>
      </c>
      <c r="B13" s="23">
        <v>0.0947</v>
      </c>
      <c r="C13" s="23">
        <v>0.1018</v>
      </c>
    </row>
    <row r="14" s="253" customFormat="1" customHeight="1" spans="1:3">
      <c r="A14" s="158">
        <v>43895</v>
      </c>
      <c r="B14" s="23">
        <v>0.0965</v>
      </c>
      <c r="C14" s="23">
        <v>0.1094</v>
      </c>
    </row>
    <row r="15" s="253" customFormat="1" customHeight="1" spans="1:3">
      <c r="A15" s="158">
        <v>43902</v>
      </c>
      <c r="B15" s="23">
        <v>0.0929</v>
      </c>
      <c r="C15" s="23">
        <v>0.1165</v>
      </c>
    </row>
    <row r="16" s="253" customFormat="1" customHeight="1" spans="1:3">
      <c r="A16" s="158">
        <v>43909</v>
      </c>
      <c r="B16" s="23">
        <v>0.0929</v>
      </c>
      <c r="C16" s="23">
        <v>0.1365</v>
      </c>
    </row>
    <row r="17" s="253" customFormat="1" customHeight="1" spans="1:3">
      <c r="A17" s="158">
        <v>43916</v>
      </c>
      <c r="B17" s="23">
        <v>0.1035</v>
      </c>
      <c r="C17" s="23">
        <v>0.1382</v>
      </c>
    </row>
    <row r="18" s="253" customFormat="1" customHeight="1" spans="1:3">
      <c r="A18" s="158">
        <v>43923</v>
      </c>
      <c r="B18" s="23">
        <v>0.1076</v>
      </c>
      <c r="C18" s="23">
        <v>0.1388</v>
      </c>
    </row>
    <row r="19" s="253" customFormat="1" customHeight="1" spans="1:3">
      <c r="A19" s="158">
        <v>43930</v>
      </c>
      <c r="B19" s="23">
        <v>0.1176</v>
      </c>
      <c r="C19" s="23">
        <v>0.1435</v>
      </c>
    </row>
    <row r="20" s="253" customFormat="1" customHeight="1" spans="1:3">
      <c r="A20" s="158">
        <v>43937</v>
      </c>
      <c r="B20" s="23">
        <v>0.1141</v>
      </c>
      <c r="C20" s="23">
        <v>0.1553</v>
      </c>
    </row>
    <row r="21" s="253" customFormat="1" customHeight="1" spans="1:3">
      <c r="A21" s="158">
        <v>43944</v>
      </c>
      <c r="B21" s="143">
        <v>0.1159</v>
      </c>
      <c r="C21" s="143">
        <v>0.1618</v>
      </c>
    </row>
    <row r="22" s="253" customFormat="1" customHeight="1" spans="1:3">
      <c r="A22" s="158">
        <v>43951</v>
      </c>
      <c r="B22" s="143">
        <v>0.109411764705882</v>
      </c>
      <c r="C22" s="143">
        <v>0.178823529411765</v>
      </c>
    </row>
    <row r="23" s="253" customFormat="1" customHeight="1" spans="1:3">
      <c r="A23" s="158">
        <v>43958</v>
      </c>
      <c r="B23" s="143">
        <v>0.1047</v>
      </c>
      <c r="C23" s="143">
        <v>0.17</v>
      </c>
    </row>
    <row r="24" s="253" customFormat="1" customHeight="1" spans="1:3">
      <c r="A24" s="158">
        <v>43965</v>
      </c>
      <c r="B24" s="23">
        <v>0.1012</v>
      </c>
      <c r="C24" s="23">
        <v>0.1571</v>
      </c>
    </row>
    <row r="25" s="253" customFormat="1" customHeight="1" spans="1:3">
      <c r="A25" s="158">
        <v>43972</v>
      </c>
      <c r="B25" s="23">
        <v>0.0959</v>
      </c>
      <c r="C25" s="23">
        <v>0.1424</v>
      </c>
    </row>
    <row r="26" s="253" customFormat="1" customHeight="1" spans="1:3">
      <c r="A26" s="158">
        <v>43979</v>
      </c>
      <c r="B26" s="23">
        <v>0.0918</v>
      </c>
      <c r="C26" s="23">
        <v>0.1147</v>
      </c>
    </row>
    <row r="27" s="253" customFormat="1" customHeight="1" spans="1:3">
      <c r="A27" s="158">
        <v>43986</v>
      </c>
      <c r="B27" s="23">
        <v>0.0894</v>
      </c>
      <c r="C27" s="23">
        <v>0.1071</v>
      </c>
    </row>
    <row r="28" s="253" customFormat="1" customHeight="1" spans="1:3">
      <c r="A28" s="158">
        <v>43993</v>
      </c>
      <c r="B28" s="23">
        <v>0.0947</v>
      </c>
      <c r="C28" s="23">
        <v>0.107058823529412</v>
      </c>
    </row>
    <row r="29" s="253" customFormat="1" customHeight="1" spans="1:3">
      <c r="A29" s="158">
        <v>44000</v>
      </c>
      <c r="B29" s="23">
        <v>0.107058823529412</v>
      </c>
      <c r="C29" s="23">
        <v>0.108823529411765</v>
      </c>
    </row>
    <row r="30" s="253" customFormat="1" customHeight="1" spans="1:3">
      <c r="A30" s="158">
        <v>44007</v>
      </c>
      <c r="B30" s="23">
        <v>0.1112</v>
      </c>
      <c r="C30" s="23">
        <v>0.1012</v>
      </c>
    </row>
    <row r="31" s="253" customFormat="1" customHeight="1" spans="1:3">
      <c r="A31" s="158">
        <v>44014</v>
      </c>
      <c r="B31" s="23">
        <v>0.1176</v>
      </c>
      <c r="C31" s="23">
        <v>0.0959</v>
      </c>
    </row>
    <row r="32" s="253" customFormat="1" customHeight="1" spans="1:3">
      <c r="A32" s="158">
        <v>44021</v>
      </c>
      <c r="B32" s="23">
        <v>0.1241</v>
      </c>
      <c r="C32" s="23">
        <v>0.0894</v>
      </c>
    </row>
    <row r="33" s="253" customFormat="1" customHeight="1" spans="1:3">
      <c r="A33" s="158">
        <v>44028</v>
      </c>
      <c r="B33" s="23">
        <v>0.1324</v>
      </c>
      <c r="C33" s="23">
        <v>0.0888</v>
      </c>
    </row>
    <row r="34" s="253" customFormat="1" customHeight="1" spans="1:3">
      <c r="A34" s="158">
        <v>44035</v>
      </c>
      <c r="B34" s="23">
        <v>0.1452</v>
      </c>
      <c r="C34" s="23">
        <v>0.0853</v>
      </c>
    </row>
    <row r="35" s="253" customFormat="1" customHeight="1" spans="1:3">
      <c r="A35" s="158">
        <v>44042</v>
      </c>
      <c r="B35" s="23">
        <v>0.1459</v>
      </c>
      <c r="C35" s="23">
        <v>0.0794</v>
      </c>
    </row>
    <row r="36" s="253" customFormat="1" customHeight="1" spans="1:3">
      <c r="A36" s="158">
        <v>44049</v>
      </c>
      <c r="B36" s="23">
        <v>0.141764705882353</v>
      </c>
      <c r="C36" s="23">
        <v>0.0776470588235294</v>
      </c>
    </row>
    <row r="37" s="253" customFormat="1" customHeight="1" spans="1:3">
      <c r="A37" s="158">
        <v>44056</v>
      </c>
      <c r="B37" s="143">
        <v>0.142941176470588</v>
      </c>
      <c r="C37" s="143">
        <v>0.0817647058823529</v>
      </c>
    </row>
    <row r="38" s="253" customFormat="1" customHeight="1" spans="1:3">
      <c r="A38" s="158">
        <v>44063</v>
      </c>
      <c r="B38" s="143">
        <v>0.14</v>
      </c>
      <c r="C38" s="143">
        <v>0.08</v>
      </c>
    </row>
    <row r="39" s="253" customFormat="1" customHeight="1" spans="1:3">
      <c r="A39" s="158">
        <v>44070</v>
      </c>
      <c r="B39" s="23">
        <v>0.1368</v>
      </c>
      <c r="C39" s="23">
        <v>0.0782</v>
      </c>
    </row>
    <row r="40" s="253" customFormat="1" customHeight="1" spans="1:3">
      <c r="A40" s="158">
        <v>44077</v>
      </c>
      <c r="B40" s="23">
        <v>0.1212</v>
      </c>
      <c r="C40" s="23">
        <v>0.0765</v>
      </c>
    </row>
    <row r="41" s="253" customFormat="1" customHeight="1" spans="1:3">
      <c r="A41" s="158">
        <v>44084</v>
      </c>
      <c r="B41" s="23">
        <v>0.113</v>
      </c>
      <c r="C41" s="23">
        <v>0.0735</v>
      </c>
    </row>
    <row r="42" s="253" customFormat="1" customHeight="1" spans="1:3">
      <c r="A42" s="158">
        <v>44091</v>
      </c>
      <c r="B42" s="23">
        <v>0.1141</v>
      </c>
      <c r="C42" s="23">
        <v>0.0741</v>
      </c>
    </row>
    <row r="43" s="253" customFormat="1" customHeight="1" spans="1:3">
      <c r="A43" s="158">
        <v>44098</v>
      </c>
      <c r="B43" s="23">
        <v>0.1147</v>
      </c>
      <c r="C43" s="23">
        <v>0.0776</v>
      </c>
    </row>
    <row r="44" s="253" customFormat="1" customHeight="1" spans="1:3">
      <c r="A44" s="158">
        <v>44104</v>
      </c>
      <c r="B44" s="23">
        <v>0.1141</v>
      </c>
      <c r="C44" s="23">
        <v>0.0806</v>
      </c>
    </row>
    <row r="45" s="253" customFormat="1" customHeight="1" spans="1:3">
      <c r="A45" s="158">
        <v>44112</v>
      </c>
      <c r="B45" s="23">
        <v>0.11</v>
      </c>
      <c r="C45" s="23">
        <v>0.0847</v>
      </c>
    </row>
    <row r="46" s="253" customFormat="1" customHeight="1" spans="1:3">
      <c r="A46" s="158">
        <v>44119</v>
      </c>
      <c r="B46" s="23">
        <v>0.1117</v>
      </c>
      <c r="C46" s="23">
        <v>0.0835</v>
      </c>
    </row>
    <row r="47" s="253" customFormat="1" customHeight="1" spans="1:3">
      <c r="A47" s="158">
        <v>44126</v>
      </c>
      <c r="B47" s="23">
        <v>0.1141</v>
      </c>
      <c r="C47" s="23">
        <v>0.0788</v>
      </c>
    </row>
    <row r="48" s="253" customFormat="1" customHeight="1" spans="1:3">
      <c r="A48" s="158">
        <v>44133</v>
      </c>
      <c r="B48" s="23">
        <v>0.1071</v>
      </c>
      <c r="C48" s="23">
        <v>0.0771</v>
      </c>
    </row>
    <row r="49" s="253" customFormat="1" customHeight="1" spans="1:3">
      <c r="A49" s="158">
        <v>44140</v>
      </c>
      <c r="B49" s="23">
        <v>0.1124</v>
      </c>
      <c r="C49" s="23">
        <v>0.0759</v>
      </c>
    </row>
    <row r="50" s="253" customFormat="1" customHeight="1" spans="1:3">
      <c r="A50" s="158">
        <v>44147</v>
      </c>
      <c r="B50" s="23">
        <v>0.1141</v>
      </c>
      <c r="C50" s="23">
        <v>0.0741</v>
      </c>
    </row>
    <row r="51" s="253" customFormat="1" customHeight="1" spans="1:3">
      <c r="A51" s="158">
        <v>44154</v>
      </c>
      <c r="B51" s="23">
        <v>0.1176</v>
      </c>
      <c r="C51" s="23">
        <v>0.0776</v>
      </c>
    </row>
    <row r="52" s="253" customFormat="1" customHeight="1" spans="1:3">
      <c r="A52" s="158">
        <v>44161</v>
      </c>
      <c r="B52" s="23">
        <v>0.1159</v>
      </c>
      <c r="C52" s="23">
        <v>0.0888</v>
      </c>
    </row>
    <row r="53" s="253" customFormat="1" customHeight="1" spans="1:3">
      <c r="A53" s="158">
        <v>44168</v>
      </c>
      <c r="B53" s="23">
        <v>0.1176</v>
      </c>
      <c r="C53" s="23">
        <v>0.1</v>
      </c>
    </row>
    <row r="54" s="253" customFormat="1" customHeight="1" spans="1:3">
      <c r="A54" s="158">
        <v>44175</v>
      </c>
      <c r="B54" s="23">
        <v>0.1168</v>
      </c>
      <c r="C54" s="23">
        <v>0.1737</v>
      </c>
    </row>
    <row r="55" s="253" customFormat="1" customHeight="1" spans="1:3">
      <c r="A55" s="158">
        <v>44182</v>
      </c>
      <c r="B55" s="23">
        <v>0.1142</v>
      </c>
      <c r="C55" s="23">
        <v>0.1905</v>
      </c>
    </row>
    <row r="56" s="253" customFormat="1" customHeight="1" spans="1:3">
      <c r="A56" s="158">
        <v>44189</v>
      </c>
      <c r="B56" s="23">
        <v>0.1179</v>
      </c>
      <c r="C56" s="23">
        <v>0.2137</v>
      </c>
    </row>
    <row r="57" s="253" customFormat="1" customHeight="1" spans="1:3">
      <c r="A57" s="158">
        <v>44196</v>
      </c>
      <c r="B57" s="23">
        <v>0.1263</v>
      </c>
      <c r="C57" s="23">
        <v>0.2326</v>
      </c>
    </row>
    <row r="58" s="253" customFormat="1" customHeight="1" spans="1:3">
      <c r="A58" s="158">
        <v>44203</v>
      </c>
      <c r="B58" s="23">
        <v>0.1384</v>
      </c>
      <c r="C58" s="23">
        <v>0.2458</v>
      </c>
    </row>
    <row r="59" s="253" customFormat="1" customHeight="1" spans="1:3">
      <c r="A59" s="158">
        <v>44210</v>
      </c>
      <c r="B59" s="23">
        <v>0.1411</v>
      </c>
      <c r="C59" s="23">
        <v>0.2279</v>
      </c>
    </row>
    <row r="60" s="253" customFormat="1" customHeight="1" spans="1:3">
      <c r="A60" s="158">
        <v>44217</v>
      </c>
      <c r="B60" s="23">
        <v>0.1458</v>
      </c>
      <c r="C60" s="23">
        <v>0.2005</v>
      </c>
    </row>
    <row r="61" s="253" customFormat="1" customHeight="1" spans="1:3">
      <c r="A61" s="158">
        <v>44224</v>
      </c>
      <c r="B61" s="23">
        <v>0.1695</v>
      </c>
      <c r="C61" s="23">
        <v>0.1732</v>
      </c>
    </row>
    <row r="62" s="253" customFormat="1" customHeight="1" spans="1:3">
      <c r="A62" s="158">
        <v>44231</v>
      </c>
      <c r="B62" s="23">
        <v>0.1705</v>
      </c>
      <c r="C62" s="23">
        <v>0.1453</v>
      </c>
    </row>
    <row r="63" s="253" customFormat="1" customHeight="1" spans="1:3">
      <c r="A63" s="158">
        <v>44245</v>
      </c>
      <c r="B63" s="23">
        <v>0.1779</v>
      </c>
      <c r="C63" s="23">
        <v>0.1395</v>
      </c>
    </row>
    <row r="64" s="253" customFormat="1" customHeight="1" spans="1:3">
      <c r="A64" s="158">
        <v>44252</v>
      </c>
      <c r="B64" s="23">
        <v>0.1674</v>
      </c>
      <c r="C64" s="23">
        <v>0.13</v>
      </c>
    </row>
    <row r="65" s="253" customFormat="1" customHeight="1" spans="1:3">
      <c r="A65" s="158">
        <v>44259</v>
      </c>
      <c r="B65" s="23">
        <v>0.1666</v>
      </c>
      <c r="C65" s="23">
        <v>0.1205</v>
      </c>
    </row>
    <row r="66" s="253" customFormat="1" customHeight="1" spans="1:3">
      <c r="A66" s="158">
        <v>44266</v>
      </c>
      <c r="B66" s="23">
        <v>0.1642</v>
      </c>
      <c r="C66" s="23">
        <v>0.1321</v>
      </c>
    </row>
    <row r="67" s="253" customFormat="1" customHeight="1" spans="1:3">
      <c r="A67" s="158">
        <v>44273</v>
      </c>
      <c r="B67" s="23">
        <v>0.1468</v>
      </c>
      <c r="C67" s="23">
        <v>0.16</v>
      </c>
    </row>
    <row r="68" s="253" customFormat="1" customHeight="1" spans="1:3">
      <c r="A68" s="158">
        <v>44280</v>
      </c>
      <c r="B68" s="23">
        <v>0.13</v>
      </c>
      <c r="C68" s="23">
        <v>0.1968</v>
      </c>
    </row>
    <row r="69" s="253" customFormat="1" customHeight="1" spans="1:3">
      <c r="A69" s="158">
        <v>44287</v>
      </c>
      <c r="B69" s="23">
        <v>0.1174</v>
      </c>
      <c r="C69" s="23">
        <v>0.2221</v>
      </c>
    </row>
    <row r="70" s="253" customFormat="1" customHeight="1" spans="1:3">
      <c r="A70" s="158">
        <v>44294</v>
      </c>
      <c r="B70" s="23">
        <v>0.1095</v>
      </c>
      <c r="C70" s="23">
        <v>0.2337</v>
      </c>
    </row>
    <row r="71" s="253" customFormat="1" customHeight="1" spans="1:3">
      <c r="A71" s="158">
        <v>44301</v>
      </c>
      <c r="B71" s="23">
        <v>0.1</v>
      </c>
      <c r="C71" s="23">
        <v>0.2284</v>
      </c>
    </row>
    <row r="72" s="253" customFormat="1" customHeight="1" spans="1:3">
      <c r="A72" s="158">
        <v>44308</v>
      </c>
      <c r="B72" s="23">
        <v>0.0974</v>
      </c>
      <c r="C72" s="23">
        <v>0.2321</v>
      </c>
    </row>
    <row r="73" s="253" customFormat="1" customHeight="1" spans="1:3">
      <c r="A73" s="158">
        <v>44315</v>
      </c>
      <c r="B73" s="23">
        <v>0.1</v>
      </c>
      <c r="C73" s="23">
        <v>0.2389</v>
      </c>
    </row>
    <row r="74" s="253" customFormat="1" customHeight="1" spans="1:3">
      <c r="A74" s="158">
        <v>44322</v>
      </c>
      <c r="B74" s="23">
        <v>0.0995</v>
      </c>
      <c r="C74" s="23">
        <v>0.2432</v>
      </c>
    </row>
    <row r="75" s="253" customFormat="1" customHeight="1" spans="1:3">
      <c r="A75" s="158">
        <v>44329</v>
      </c>
      <c r="B75" s="143">
        <v>0.1016</v>
      </c>
      <c r="C75" s="143">
        <v>0.2511</v>
      </c>
    </row>
    <row r="76" s="253" customFormat="1" customHeight="1" spans="1:3">
      <c r="A76" s="158">
        <v>44336</v>
      </c>
      <c r="B76" s="143">
        <v>0.1021</v>
      </c>
      <c r="C76" s="143">
        <v>0.2653</v>
      </c>
    </row>
    <row r="77" s="253" customFormat="1" customHeight="1" spans="1:3">
      <c r="A77" s="158">
        <v>44343</v>
      </c>
      <c r="B77" s="143">
        <v>0.1037</v>
      </c>
      <c r="C77" s="143">
        <v>0.2463</v>
      </c>
    </row>
    <row r="78" s="253" customFormat="1" customHeight="1" spans="1:3">
      <c r="A78" s="158">
        <v>44350</v>
      </c>
      <c r="B78" s="143">
        <v>0.1042</v>
      </c>
      <c r="C78" s="143">
        <v>0.2316</v>
      </c>
    </row>
    <row r="79" s="253" customFormat="1" customHeight="1" spans="1:3">
      <c r="A79" s="158">
        <v>44357</v>
      </c>
      <c r="B79" s="143">
        <v>0.1042</v>
      </c>
      <c r="C79" s="143">
        <v>0.2226</v>
      </c>
    </row>
    <row r="80" s="253" customFormat="1" customHeight="1" spans="1:3">
      <c r="A80" s="158">
        <v>44364</v>
      </c>
      <c r="B80" s="23">
        <v>0.1042</v>
      </c>
      <c r="C80" s="23">
        <v>0.2205</v>
      </c>
    </row>
    <row r="81" s="253" customFormat="1" customHeight="1" spans="1:3">
      <c r="A81" s="158">
        <v>44371</v>
      </c>
      <c r="B81" s="23">
        <v>0.1053</v>
      </c>
      <c r="C81" s="23">
        <v>0.2095</v>
      </c>
    </row>
    <row r="82" s="253" customFormat="1" customHeight="1" spans="1:3">
      <c r="A82" s="158">
        <v>44378</v>
      </c>
      <c r="B82" s="23">
        <v>0.0974</v>
      </c>
      <c r="C82" s="23">
        <v>0.1911</v>
      </c>
    </row>
    <row r="83" s="253" customFormat="1" customHeight="1" spans="1:3">
      <c r="A83" s="158">
        <v>44385</v>
      </c>
      <c r="B83" s="23">
        <v>0.0916</v>
      </c>
      <c r="C83" s="23">
        <v>0.1742</v>
      </c>
    </row>
    <row r="84" s="253" customFormat="1" customHeight="1" spans="1:3">
      <c r="A84" s="158">
        <v>44392</v>
      </c>
      <c r="B84" s="23">
        <v>0.0984</v>
      </c>
      <c r="C84" s="23">
        <v>0.1563</v>
      </c>
    </row>
    <row r="85" s="253" customFormat="1" customHeight="1" spans="1:3">
      <c r="A85" s="158">
        <v>44399</v>
      </c>
      <c r="B85" s="23">
        <v>0.0979</v>
      </c>
      <c r="C85" s="23">
        <v>0.1463</v>
      </c>
    </row>
    <row r="86" s="253" customFormat="1" customHeight="1" spans="1:3">
      <c r="A86" s="158">
        <v>44406</v>
      </c>
      <c r="B86" s="143">
        <v>0.1047</v>
      </c>
      <c r="C86" s="143">
        <v>0.1379</v>
      </c>
    </row>
    <row r="87" s="253" customFormat="1" customHeight="1" spans="1:3">
      <c r="A87" s="158">
        <v>44413</v>
      </c>
      <c r="B87" s="23">
        <v>0.1089</v>
      </c>
      <c r="C87" s="23">
        <v>0.13</v>
      </c>
    </row>
    <row r="88" s="253" customFormat="1" customHeight="1" spans="1:3">
      <c r="A88" s="158">
        <v>44420</v>
      </c>
      <c r="B88" s="23">
        <v>0.1063</v>
      </c>
      <c r="C88" s="23">
        <v>0.1253</v>
      </c>
    </row>
    <row r="89" s="253" customFormat="1" customHeight="1" spans="1:3">
      <c r="A89" s="158">
        <v>44427</v>
      </c>
      <c r="B89" s="143">
        <v>0.0989</v>
      </c>
      <c r="C89" s="143">
        <v>0.12</v>
      </c>
    </row>
    <row r="90" s="253" customFormat="1" customHeight="1" spans="1:3">
      <c r="A90" s="158">
        <v>44434</v>
      </c>
      <c r="B90" s="143">
        <v>0.0926</v>
      </c>
      <c r="C90" s="143">
        <v>0.1153</v>
      </c>
    </row>
    <row r="91" s="253" customFormat="1" customHeight="1" spans="1:3">
      <c r="A91" s="158">
        <v>44441</v>
      </c>
      <c r="B91" s="23">
        <v>0.0868</v>
      </c>
      <c r="C91" s="23">
        <v>0.1095</v>
      </c>
    </row>
    <row r="92" s="253" customFormat="1" customHeight="1" spans="1:3">
      <c r="A92" s="158">
        <v>44448</v>
      </c>
      <c r="B92" s="23">
        <v>0.0816</v>
      </c>
      <c r="C92" s="23">
        <v>0.1016</v>
      </c>
    </row>
    <row r="93" s="253" customFormat="1" customHeight="1" spans="1:3">
      <c r="A93" s="158">
        <v>44455</v>
      </c>
      <c r="B93" s="23">
        <v>0.0795</v>
      </c>
      <c r="C93" s="23">
        <v>0.0968</v>
      </c>
    </row>
    <row r="94" s="253" customFormat="1" customHeight="1" spans="1:3">
      <c r="A94" s="158">
        <v>44462</v>
      </c>
      <c r="B94" s="23">
        <v>0.0763</v>
      </c>
      <c r="C94" s="23">
        <v>0.0911</v>
      </c>
    </row>
    <row r="95" s="253" customFormat="1" customHeight="1" spans="1:3">
      <c r="A95" s="158">
        <v>44469</v>
      </c>
      <c r="B95" s="23">
        <v>0.0742</v>
      </c>
      <c r="C95" s="23">
        <v>0.0858</v>
      </c>
    </row>
    <row r="96" s="253" customFormat="1" customHeight="1" spans="1:3">
      <c r="A96" s="158">
        <v>44477</v>
      </c>
      <c r="B96" s="143">
        <v>0.0737</v>
      </c>
      <c r="C96" s="143">
        <v>0.0784</v>
      </c>
    </row>
    <row r="97" s="253" customFormat="1" customHeight="1" spans="1:3">
      <c r="A97" s="158">
        <v>44483</v>
      </c>
      <c r="B97" s="143">
        <v>0.0737</v>
      </c>
      <c r="C97" s="143">
        <v>0.0795</v>
      </c>
    </row>
    <row r="98" s="253" customFormat="1" customHeight="1" spans="1:3">
      <c r="A98" s="158">
        <v>44490</v>
      </c>
      <c r="B98" s="143">
        <v>0.0763</v>
      </c>
      <c r="C98" s="143">
        <v>0.0837</v>
      </c>
    </row>
    <row r="99" s="253" customFormat="1" customHeight="1" spans="1:3">
      <c r="A99" s="158">
        <v>44497</v>
      </c>
      <c r="B99" s="23">
        <v>0.0758</v>
      </c>
      <c r="C99" s="23">
        <v>0.0942</v>
      </c>
    </row>
    <row r="100" s="253" customFormat="1" customHeight="1" spans="1:3">
      <c r="A100" s="158">
        <v>44504</v>
      </c>
      <c r="B100" s="23">
        <v>0.0774</v>
      </c>
      <c r="C100" s="23">
        <v>0.1016</v>
      </c>
    </row>
    <row r="101" s="253" customFormat="1" customHeight="1" spans="1:3">
      <c r="A101" s="158">
        <v>44511</v>
      </c>
      <c r="B101" s="23">
        <v>0.0795</v>
      </c>
      <c r="C101" s="23">
        <v>0.1079</v>
      </c>
    </row>
    <row r="102" s="253" customFormat="1" customHeight="1" spans="1:3">
      <c r="A102" s="158">
        <v>44518</v>
      </c>
      <c r="B102" s="23">
        <v>0.0826</v>
      </c>
      <c r="C102" s="23">
        <v>0.1111</v>
      </c>
    </row>
    <row r="103" s="253" customFormat="1" customHeight="1" spans="1:3">
      <c r="A103" s="158">
        <v>44525</v>
      </c>
      <c r="B103" s="23">
        <v>0.0858</v>
      </c>
      <c r="C103" s="23">
        <v>0.1179</v>
      </c>
    </row>
    <row r="104" s="253" customFormat="1" customHeight="1" spans="1:3">
      <c r="A104" s="158">
        <v>44532</v>
      </c>
      <c r="B104" s="23">
        <v>0.0868</v>
      </c>
      <c r="C104" s="23">
        <v>0.1216</v>
      </c>
    </row>
    <row r="105" s="253" customFormat="1" customHeight="1" spans="1:3">
      <c r="A105" s="158">
        <v>44539</v>
      </c>
      <c r="B105" s="23">
        <v>0.0916</v>
      </c>
      <c r="C105" s="23">
        <v>0.1168</v>
      </c>
    </row>
    <row r="106" s="253" customFormat="1" customHeight="1" spans="1:3">
      <c r="A106" s="158">
        <v>44546</v>
      </c>
      <c r="B106" s="23">
        <v>0.0916</v>
      </c>
      <c r="C106" s="23">
        <v>0.1126</v>
      </c>
    </row>
    <row r="107" s="253" customFormat="1" customHeight="1" spans="1:3">
      <c r="A107" s="158">
        <v>44553</v>
      </c>
      <c r="B107" s="23">
        <v>0.1026</v>
      </c>
      <c r="C107" s="23">
        <v>0.1042</v>
      </c>
    </row>
    <row r="108" s="253" customFormat="1" customHeight="1" spans="1:3">
      <c r="A108" s="158">
        <v>44560</v>
      </c>
      <c r="B108" s="23">
        <v>0.1053</v>
      </c>
      <c r="C108" s="23">
        <v>0.0953</v>
      </c>
    </row>
    <row r="109" s="253" customFormat="1" customHeight="1" spans="1:3">
      <c r="A109" s="158">
        <v>44567</v>
      </c>
      <c r="B109" s="23">
        <v>0.1053</v>
      </c>
      <c r="C109" s="23">
        <v>0.0879</v>
      </c>
    </row>
    <row r="110" s="253" customFormat="1" customHeight="1" spans="1:3">
      <c r="A110" s="158">
        <v>44574</v>
      </c>
      <c r="B110" s="23">
        <v>0.1079</v>
      </c>
      <c r="C110" s="23">
        <v>0.0863</v>
      </c>
    </row>
    <row r="111" s="253" customFormat="1" customHeight="1" spans="1:3">
      <c r="A111" s="158">
        <v>44581</v>
      </c>
      <c r="B111" s="23">
        <v>0.1063</v>
      </c>
      <c r="C111" s="23">
        <v>0.0805</v>
      </c>
    </row>
    <row r="112" s="253" customFormat="1" customHeight="1" spans="1:3">
      <c r="A112" s="158">
        <v>44587</v>
      </c>
      <c r="B112" s="23">
        <v>0.1047</v>
      </c>
      <c r="C112" s="23">
        <v>0.0789</v>
      </c>
    </row>
    <row r="113" s="253" customFormat="1" customHeight="1" spans="1:3">
      <c r="A113" s="158">
        <v>44602</v>
      </c>
      <c r="B113" s="23">
        <v>0.1074</v>
      </c>
      <c r="C113" s="23">
        <v>0.0647</v>
      </c>
    </row>
    <row r="114" s="253" customFormat="1" customHeight="1" spans="1:3">
      <c r="A114" s="158">
        <v>44609</v>
      </c>
      <c r="B114" s="23">
        <v>0.0984</v>
      </c>
      <c r="C114" s="23">
        <v>0.0616</v>
      </c>
    </row>
    <row r="115" s="253" customFormat="1" customHeight="1" spans="1:3">
      <c r="A115" s="158">
        <v>44616</v>
      </c>
      <c r="B115" s="23">
        <v>0.0868</v>
      </c>
      <c r="C115" s="23">
        <v>0.0621</v>
      </c>
    </row>
    <row r="116" s="253" customFormat="1" customHeight="1" spans="1:3">
      <c r="A116" s="158">
        <v>44623</v>
      </c>
      <c r="B116" s="23">
        <v>0.0789</v>
      </c>
      <c r="C116" s="23">
        <v>0.0605</v>
      </c>
    </row>
    <row r="117" s="253" customFormat="1" customHeight="1" spans="1:3">
      <c r="A117" s="158">
        <v>44630</v>
      </c>
      <c r="B117" s="117">
        <v>0.0742</v>
      </c>
      <c r="C117" s="117">
        <v>0.0595</v>
      </c>
    </row>
    <row r="118" s="253" customFormat="1" customHeight="1" spans="1:3">
      <c r="A118" s="158">
        <v>44637</v>
      </c>
      <c r="B118" s="117">
        <v>0.0721</v>
      </c>
      <c r="C118" s="117">
        <v>0.0584</v>
      </c>
    </row>
    <row r="119" s="253" customFormat="1" customHeight="1" spans="1:3">
      <c r="A119" s="158">
        <v>44644</v>
      </c>
      <c r="B119" s="117">
        <v>0.0647</v>
      </c>
      <c r="C119" s="117">
        <v>0.0547</v>
      </c>
    </row>
    <row r="120" s="253" customFormat="1" customHeight="1" spans="1:3">
      <c r="A120" s="158">
        <v>44651</v>
      </c>
      <c r="B120" s="117">
        <v>0.0584</v>
      </c>
      <c r="C120" s="117">
        <v>0.0521</v>
      </c>
    </row>
    <row r="121" s="253" customFormat="1" customHeight="1" spans="1:3">
      <c r="A121" s="158">
        <v>44658</v>
      </c>
      <c r="B121" s="117">
        <v>0.0579</v>
      </c>
      <c r="C121" s="117">
        <v>0.0521</v>
      </c>
    </row>
    <row r="122" s="253" customFormat="1" customHeight="1" spans="1:3">
      <c r="A122" s="158">
        <v>44665</v>
      </c>
      <c r="B122" s="117">
        <v>0.0579</v>
      </c>
      <c r="C122" s="117">
        <v>0.0521</v>
      </c>
    </row>
    <row r="123" s="253" customFormat="1" customHeight="1" spans="1:3">
      <c r="A123" s="158">
        <v>44672</v>
      </c>
      <c r="B123" s="117">
        <v>0.0579</v>
      </c>
      <c r="C123" s="117">
        <v>0.0521</v>
      </c>
    </row>
    <row r="124" s="253" customFormat="1" customHeight="1" spans="1:3">
      <c r="A124" s="158">
        <v>44679</v>
      </c>
      <c r="B124" s="117">
        <v>0.0595</v>
      </c>
      <c r="C124" s="117">
        <v>0.0516</v>
      </c>
    </row>
    <row r="125" s="253" customFormat="1" customHeight="1" spans="1:3">
      <c r="A125" s="158">
        <v>44686</v>
      </c>
      <c r="B125" s="23">
        <v>0.0574</v>
      </c>
      <c r="C125" s="23">
        <v>0.0526</v>
      </c>
    </row>
    <row r="126" s="253" customFormat="1" customHeight="1" spans="1:3">
      <c r="A126" s="158">
        <v>44693</v>
      </c>
      <c r="B126" s="23">
        <v>0.0568</v>
      </c>
      <c r="C126" s="23">
        <v>0.0537</v>
      </c>
    </row>
    <row r="127" s="253" customFormat="1" customHeight="1" spans="1:3">
      <c r="A127" s="158">
        <v>44700</v>
      </c>
      <c r="B127" s="23">
        <v>0.0574</v>
      </c>
      <c r="C127" s="23">
        <v>0.0526</v>
      </c>
    </row>
    <row r="128" s="253" customFormat="1" customHeight="1" spans="1:3">
      <c r="A128" s="158">
        <v>44707</v>
      </c>
      <c r="B128" s="23">
        <v>0.0568</v>
      </c>
      <c r="C128" s="23">
        <v>0.0553</v>
      </c>
    </row>
    <row r="129" s="253" customFormat="1" customHeight="1" spans="1:3">
      <c r="A129" s="158">
        <v>44714</v>
      </c>
      <c r="B129" s="23">
        <v>0.0584</v>
      </c>
      <c r="C129" s="23">
        <v>0.0547</v>
      </c>
    </row>
    <row r="130" s="253" customFormat="1" customHeight="1" spans="1:3">
      <c r="A130" s="158">
        <v>44721</v>
      </c>
      <c r="B130" s="23">
        <v>0.0595</v>
      </c>
      <c r="C130" s="23">
        <v>0.0568</v>
      </c>
    </row>
    <row r="131" s="253" customFormat="1" customHeight="1" spans="1:3">
      <c r="A131" s="158">
        <v>44728</v>
      </c>
      <c r="B131" s="23">
        <v>0.0626</v>
      </c>
      <c r="C131" s="23">
        <v>0.0595</v>
      </c>
    </row>
    <row r="132" s="253" customFormat="1" customHeight="1" spans="1:3">
      <c r="A132" s="158">
        <v>44735</v>
      </c>
      <c r="B132" s="23">
        <v>0.0637</v>
      </c>
      <c r="C132" s="23">
        <v>0.0626</v>
      </c>
    </row>
    <row r="133" s="253" customFormat="1" customHeight="1" spans="1:3">
      <c r="A133" s="158">
        <v>44742</v>
      </c>
      <c r="B133" s="23">
        <v>0.0653</v>
      </c>
      <c r="C133" s="23">
        <v>0.0653</v>
      </c>
    </row>
    <row r="134" s="253" customFormat="1" customHeight="1" spans="1:3">
      <c r="A134" s="158">
        <v>44749</v>
      </c>
      <c r="B134" s="23">
        <v>0.0668</v>
      </c>
      <c r="C134" s="23">
        <v>0.0653</v>
      </c>
    </row>
    <row r="135" s="253" customFormat="1" customHeight="1" spans="1:3">
      <c r="A135" s="158">
        <v>44756</v>
      </c>
      <c r="B135" s="23">
        <v>0.0663</v>
      </c>
      <c r="C135" s="23">
        <v>0.0653</v>
      </c>
    </row>
    <row r="136" s="253" customFormat="1" customHeight="1" spans="1:3">
      <c r="A136" s="158">
        <v>44763</v>
      </c>
      <c r="B136" s="23">
        <v>0.0663</v>
      </c>
      <c r="C136" s="23">
        <v>0.0684</v>
      </c>
    </row>
    <row r="137" s="253" customFormat="1" customHeight="1" spans="1:3">
      <c r="A137" s="158">
        <v>44770</v>
      </c>
      <c r="B137" s="23">
        <v>0.0663</v>
      </c>
      <c r="C137" s="23">
        <v>0.0742</v>
      </c>
    </row>
    <row r="138" s="253" customFormat="1" customHeight="1" spans="1:3">
      <c r="A138" s="255">
        <v>44777</v>
      </c>
      <c r="B138" s="23">
        <v>0.0642</v>
      </c>
      <c r="C138" s="23">
        <v>0.0721</v>
      </c>
    </row>
    <row r="139" s="253" customFormat="1" customHeight="1" spans="1:3">
      <c r="A139" s="255">
        <v>44784</v>
      </c>
      <c r="B139" s="23">
        <v>0.0611</v>
      </c>
      <c r="C139" s="23">
        <v>0.0705</v>
      </c>
    </row>
    <row r="140" s="253" customFormat="1" customHeight="1" spans="1:3">
      <c r="A140" s="255">
        <v>44791</v>
      </c>
      <c r="B140" s="23">
        <v>0.0611</v>
      </c>
      <c r="C140" s="23">
        <v>0.0711</v>
      </c>
    </row>
    <row r="141" s="253" customFormat="1" customHeight="1" spans="1:3">
      <c r="A141" s="255">
        <v>44798</v>
      </c>
      <c r="B141" s="23">
        <v>0.0611</v>
      </c>
      <c r="C141" s="23">
        <v>0.0689</v>
      </c>
    </row>
    <row r="142" s="253" customFormat="1" customHeight="1" spans="1:3">
      <c r="A142" s="255">
        <v>44805</v>
      </c>
      <c r="B142" s="23">
        <v>0.0579</v>
      </c>
      <c r="C142" s="23">
        <v>0.0705</v>
      </c>
    </row>
    <row r="143" s="253" customFormat="1" customHeight="1" spans="1:3">
      <c r="A143" s="255">
        <v>44812</v>
      </c>
      <c r="B143" s="23">
        <v>0.0561</v>
      </c>
      <c r="C143" s="23">
        <v>0.075</v>
      </c>
    </row>
    <row r="144" s="253" customFormat="1" customHeight="1" spans="1:3">
      <c r="A144" s="255">
        <v>44819</v>
      </c>
      <c r="B144" s="23">
        <v>0.0563</v>
      </c>
      <c r="C144" s="23">
        <v>0.0732</v>
      </c>
    </row>
    <row r="145" s="253" customFormat="1" customHeight="1" spans="1:3">
      <c r="A145" s="255">
        <v>44826</v>
      </c>
      <c r="B145" s="23">
        <v>0.0547</v>
      </c>
      <c r="C145" s="23">
        <v>0.0768</v>
      </c>
    </row>
    <row r="146" s="253" customFormat="1" customHeight="1" spans="1:3">
      <c r="A146" s="255">
        <v>44833</v>
      </c>
      <c r="B146" s="23">
        <v>0.0542</v>
      </c>
      <c r="C146" s="23">
        <v>0.0753</v>
      </c>
    </row>
    <row r="147" s="253" customFormat="1" customHeight="1" spans="1:3">
      <c r="A147" s="158">
        <v>44842</v>
      </c>
      <c r="B147" s="256">
        <v>0.0537</v>
      </c>
      <c r="C147" s="256">
        <v>0.0763</v>
      </c>
    </row>
    <row r="148" s="253" customFormat="1" customHeight="1" spans="1:3">
      <c r="A148" s="158">
        <v>44847</v>
      </c>
      <c r="B148" s="256">
        <v>0.0542</v>
      </c>
      <c r="C148" s="256">
        <v>0.0816</v>
      </c>
    </row>
    <row r="149" s="253" customFormat="1" customHeight="1" spans="1:3">
      <c r="A149" s="257">
        <v>44854</v>
      </c>
      <c r="B149" s="256">
        <v>0.0542</v>
      </c>
      <c r="C149" s="256">
        <v>0.0811</v>
      </c>
    </row>
    <row r="150" s="253" customFormat="1" customHeight="1" spans="1:3">
      <c r="A150" s="257">
        <v>44861</v>
      </c>
      <c r="B150" s="256">
        <v>0.0558</v>
      </c>
      <c r="C150" s="256">
        <v>0.0858</v>
      </c>
    </row>
    <row r="151" s="253" customFormat="1" customHeight="1" spans="1:3">
      <c r="A151" s="257">
        <v>44868</v>
      </c>
      <c r="B151" s="256">
        <v>0.0579</v>
      </c>
      <c r="C151" s="256">
        <v>0.0884</v>
      </c>
    </row>
    <row r="152" s="253" customFormat="1" customHeight="1" spans="1:3">
      <c r="A152" s="257">
        <v>44875</v>
      </c>
      <c r="B152" s="256">
        <v>0.0563</v>
      </c>
      <c r="C152" s="256">
        <v>0.0921</v>
      </c>
    </row>
    <row r="153" s="253" customFormat="1" customHeight="1" spans="1:3">
      <c r="A153" s="257">
        <v>44882</v>
      </c>
      <c r="B153" s="256">
        <v>0.0568</v>
      </c>
      <c r="C153" s="256">
        <v>0.0953</v>
      </c>
    </row>
    <row r="154" s="253" customFormat="1" customHeight="1" spans="1:3">
      <c r="A154" s="257">
        <v>44889</v>
      </c>
      <c r="B154" s="256">
        <v>0.0553</v>
      </c>
      <c r="C154" s="256">
        <v>0.0984</v>
      </c>
    </row>
    <row r="155" s="253" customFormat="1" customHeight="1" spans="1:3">
      <c r="A155" s="257">
        <v>44896</v>
      </c>
      <c r="B155" s="256">
        <v>0.0547</v>
      </c>
      <c r="C155" s="256">
        <v>0.0995</v>
      </c>
    </row>
    <row r="156" s="253" customFormat="1" customHeight="1" spans="1:3">
      <c r="A156" s="257">
        <v>44903</v>
      </c>
      <c r="B156" s="256">
        <v>0.0553</v>
      </c>
      <c r="C156" s="256">
        <v>0.0971</v>
      </c>
    </row>
    <row r="157" s="253" customFormat="1" customHeight="1" spans="1:3">
      <c r="A157" s="257">
        <v>44910</v>
      </c>
      <c r="B157" s="256">
        <v>0.0559</v>
      </c>
      <c r="C157" s="256">
        <v>0.0982</v>
      </c>
    </row>
    <row r="158" s="253" customFormat="1" customHeight="1" spans="1:3">
      <c r="A158" s="257">
        <v>44917</v>
      </c>
      <c r="B158" s="256">
        <v>0.0553</v>
      </c>
      <c r="C158" s="256">
        <v>0.0947</v>
      </c>
    </row>
    <row r="159" s="253" customFormat="1" customHeight="1" spans="1:3">
      <c r="A159" s="257">
        <v>44924</v>
      </c>
      <c r="B159" s="256">
        <v>0.0559</v>
      </c>
      <c r="C159" s="256">
        <v>0.09</v>
      </c>
    </row>
    <row r="160" s="253" customFormat="1" customHeight="1" spans="1:3">
      <c r="A160" s="257">
        <v>44931</v>
      </c>
      <c r="B160" s="256">
        <v>0.0571</v>
      </c>
      <c r="C160" s="256">
        <v>0.0841</v>
      </c>
    </row>
    <row r="161" s="253" customFormat="1" customHeight="1" spans="1:11">
      <c r="A161" s="257">
        <v>44938</v>
      </c>
      <c r="B161" s="256">
        <v>0.0606</v>
      </c>
      <c r="C161" s="256">
        <v>0.0824</v>
      </c>
    </row>
    <row r="162" s="253" customFormat="1" customHeight="1" spans="1:11">
      <c r="A162" s="257">
        <v>44942</v>
      </c>
      <c r="B162" s="258">
        <v>0.0682</v>
      </c>
      <c r="C162" s="258">
        <v>0.0765</v>
      </c>
    </row>
    <row r="163" s="253" customFormat="1" customHeight="1" spans="1:11">
      <c r="A163" s="257">
        <v>44955</v>
      </c>
      <c r="B163" s="258">
        <v>0.0771</v>
      </c>
      <c r="C163" s="258">
        <v>0.0647</v>
      </c>
    </row>
    <row r="164" s="253" customFormat="1" customHeight="1" spans="1:11">
      <c r="A164" s="257">
        <v>44959</v>
      </c>
      <c r="B164" s="258">
        <v>0.0794</v>
      </c>
      <c r="C164" s="258">
        <v>0.0618</v>
      </c>
    </row>
    <row r="165" s="253" customFormat="1" customHeight="1" spans="1:11">
      <c r="A165" s="257">
        <v>44966</v>
      </c>
      <c r="B165" s="258">
        <v>0.0753</v>
      </c>
      <c r="C165" s="258">
        <v>0.0582</v>
      </c>
    </row>
    <row r="166" s="253" customFormat="1" customHeight="1" spans="1:11">
      <c r="A166" s="257">
        <v>44973</v>
      </c>
      <c r="B166" s="258">
        <v>0.0747</v>
      </c>
      <c r="C166" s="258">
        <v>0.0547</v>
      </c>
    </row>
    <row r="167" s="253" customFormat="1" customHeight="1" spans="1:11">
      <c r="A167" s="257">
        <v>44980</v>
      </c>
      <c r="B167" s="258">
        <v>0.0818</v>
      </c>
      <c r="C167" s="258">
        <v>0.0506</v>
      </c>
    </row>
    <row r="168" s="253" customFormat="1" customHeight="1" spans="1:11">
      <c r="A168" s="257">
        <v>44987</v>
      </c>
      <c r="B168" s="256">
        <v>0.0782</v>
      </c>
      <c r="C168" s="256">
        <v>0.0506</v>
      </c>
    </row>
    <row r="169" s="253" customFormat="1" customHeight="1" spans="1:11">
      <c r="A169" s="257">
        <v>44994</v>
      </c>
      <c r="B169" s="256">
        <v>0.0771</v>
      </c>
      <c r="C169" s="256">
        <v>0.0494</v>
      </c>
    </row>
    <row r="170" s="253" customFormat="1" customHeight="1" spans="1:11">
      <c r="A170" s="257">
        <v>45001</v>
      </c>
      <c r="B170" s="256">
        <v>0.0729</v>
      </c>
      <c r="C170" s="256">
        <v>0.0524</v>
      </c>
    </row>
    <row r="171" s="253" customFormat="1" customHeight="1" spans="1:11">
      <c r="A171" s="257">
        <v>45008</v>
      </c>
      <c r="B171" s="256">
        <v>0.0706</v>
      </c>
      <c r="C171" s="256">
        <v>0.0541</v>
      </c>
    </row>
    <row r="172" s="253" customFormat="1" customHeight="1" spans="1:11">
      <c r="A172" s="257">
        <v>45015</v>
      </c>
      <c r="B172" s="258">
        <v>0.0682352941176471</v>
      </c>
      <c r="C172" s="258">
        <v>0.0547058823529412</v>
      </c>
      <c r="I172" s="259"/>
    </row>
    <row r="173" s="253" customFormat="1" customHeight="1" spans="1:11">
      <c r="A173" s="257">
        <v>45022</v>
      </c>
      <c r="B173" s="258">
        <v>0.0641</v>
      </c>
      <c r="C173" s="258">
        <v>0.0582</v>
      </c>
      <c r="D173" s="260"/>
      <c r="E173" s="260"/>
      <c r="F173" s="260"/>
      <c r="G173" s="260"/>
      <c r="H173" s="260"/>
      <c r="I173" s="260"/>
      <c r="J173" s="260"/>
      <c r="K173" s="260"/>
    </row>
    <row r="174" s="253" customFormat="1" customHeight="1" spans="1:11">
      <c r="A174" s="257">
        <v>45029</v>
      </c>
      <c r="B174" s="258">
        <v>0.0629</v>
      </c>
      <c r="C174" s="258">
        <v>0.0629</v>
      </c>
    </row>
    <row r="175" s="253" customFormat="1" customHeight="1" spans="1:11">
      <c r="A175" s="257">
        <v>45036</v>
      </c>
      <c r="B175" s="258">
        <v>0.0541</v>
      </c>
      <c r="C175" s="258">
        <v>0.0629</v>
      </c>
    </row>
    <row r="176" s="253" customFormat="1" customHeight="1" spans="1:11">
      <c r="A176" s="257">
        <v>45043</v>
      </c>
      <c r="B176" s="256">
        <v>0.0524</v>
      </c>
      <c r="C176" s="256">
        <v>0.0612</v>
      </c>
    </row>
    <row r="177" s="253" customFormat="1" customHeight="1" spans="1:3">
      <c r="A177" s="257">
        <v>45050</v>
      </c>
      <c r="B177" s="256">
        <v>0.0518</v>
      </c>
      <c r="C177" s="256">
        <v>0.0606</v>
      </c>
    </row>
    <row r="178" s="253" customFormat="1" customHeight="1" spans="1:3">
      <c r="A178" s="257">
        <v>45057</v>
      </c>
      <c r="B178" s="256">
        <v>0.0494</v>
      </c>
      <c r="C178" s="256">
        <v>0.0594</v>
      </c>
    </row>
    <row r="179" s="253" customFormat="1" customHeight="1" spans="1:3">
      <c r="A179" s="257">
        <v>45064</v>
      </c>
      <c r="B179" s="256">
        <v>0.0488</v>
      </c>
      <c r="C179" s="256">
        <v>0.0588</v>
      </c>
    </row>
    <row r="180" s="253" customFormat="1" customHeight="1" spans="1:3">
      <c r="A180" s="257">
        <v>45071</v>
      </c>
      <c r="B180" s="256">
        <v>0.0488</v>
      </c>
      <c r="C180" s="256">
        <v>0.0553</v>
      </c>
    </row>
    <row r="181" s="253" customFormat="1" customHeight="1" spans="1:3">
      <c r="A181" s="257">
        <v>45078</v>
      </c>
      <c r="B181" s="256">
        <v>0.0488</v>
      </c>
      <c r="C181" s="256">
        <v>0.0547</v>
      </c>
    </row>
    <row r="182" s="253" customFormat="1" customHeight="1" spans="1:3">
      <c r="A182" s="257">
        <v>45085</v>
      </c>
      <c r="B182" s="256">
        <v>0.0459</v>
      </c>
      <c r="C182" s="256">
        <v>0.0512</v>
      </c>
    </row>
    <row r="183" s="253" customFormat="1" customHeight="1" spans="1:3">
      <c r="A183" s="158">
        <v>45092</v>
      </c>
      <c r="B183" s="256">
        <v>0.0435</v>
      </c>
      <c r="C183" s="256">
        <v>0.0494</v>
      </c>
    </row>
    <row r="184" s="253" customFormat="1" customHeight="1" spans="1:3">
      <c r="A184" s="158">
        <v>45098</v>
      </c>
      <c r="B184" s="256">
        <v>0.0435</v>
      </c>
      <c r="C184" s="256">
        <v>0.0494</v>
      </c>
    </row>
    <row r="185" s="253" customFormat="1" customHeight="1" spans="1:3">
      <c r="A185" s="158">
        <v>45106</v>
      </c>
      <c r="B185" s="256">
        <v>0.0471</v>
      </c>
      <c r="C185" s="256">
        <v>0.0476</v>
      </c>
    </row>
    <row r="186" s="253" customFormat="1" customHeight="1" spans="1:3">
      <c r="A186" s="158">
        <v>45113</v>
      </c>
      <c r="B186" s="256">
        <v>0.0494</v>
      </c>
      <c r="C186" s="256">
        <v>0.0441</v>
      </c>
    </row>
    <row r="187" s="253" customFormat="1" customHeight="1" spans="1:3">
      <c r="A187" s="158">
        <v>45120</v>
      </c>
      <c r="B187" s="256">
        <v>0.05</v>
      </c>
      <c r="C187" s="256">
        <v>0.0424</v>
      </c>
    </row>
    <row r="188" s="253" customFormat="1" customHeight="1" spans="1:3">
      <c r="A188" s="158">
        <v>45127</v>
      </c>
      <c r="B188" s="256">
        <v>0.05</v>
      </c>
      <c r="C188" s="256">
        <v>0.0424</v>
      </c>
    </row>
    <row r="189" s="253" customFormat="1" customHeight="1" spans="1:3">
      <c r="A189" s="158">
        <v>45134</v>
      </c>
      <c r="B189" s="256">
        <v>0.0506</v>
      </c>
      <c r="C189" s="256">
        <v>0.0406</v>
      </c>
    </row>
    <row r="190" s="253" customFormat="1" customHeight="1" spans="1:3">
      <c r="A190" s="158">
        <v>45141</v>
      </c>
      <c r="B190" s="256">
        <v>0.0506</v>
      </c>
      <c r="C190" s="256">
        <v>0.0424</v>
      </c>
    </row>
    <row r="191" s="253" customFormat="1" customHeight="1" spans="1:3">
      <c r="A191" s="158">
        <v>45148</v>
      </c>
      <c r="B191" s="256">
        <v>0.0512</v>
      </c>
      <c r="C191" s="256">
        <v>0.0435</v>
      </c>
    </row>
    <row r="192" s="253" customFormat="1" customHeight="1" spans="1:3">
      <c r="A192" s="158">
        <v>45155</v>
      </c>
      <c r="B192" s="256">
        <v>0.0512</v>
      </c>
      <c r="C192" s="256">
        <v>0.0435</v>
      </c>
    </row>
    <row r="193" s="253" customFormat="1" customHeight="1" spans="1:3">
      <c r="A193" s="158">
        <v>45162</v>
      </c>
      <c r="B193" s="256">
        <v>0.05</v>
      </c>
      <c r="C193" s="256">
        <v>0.0435</v>
      </c>
    </row>
    <row r="194" s="253" customFormat="1" customHeight="1" spans="1:3">
      <c r="A194" s="158">
        <v>45169</v>
      </c>
      <c r="B194" s="256">
        <v>0.05</v>
      </c>
      <c r="C194" s="256">
        <v>0.0459</v>
      </c>
    </row>
    <row r="195" s="253" customFormat="1" customHeight="1" spans="1:3">
      <c r="A195" s="158">
        <v>45176</v>
      </c>
      <c r="B195" s="256">
        <v>0.05</v>
      </c>
      <c r="C195" s="256">
        <v>0.0465</v>
      </c>
    </row>
    <row r="196" s="253" customFormat="1" customHeight="1" spans="1:3">
      <c r="A196" s="158">
        <v>45183</v>
      </c>
      <c r="B196" s="256">
        <v>0.0505</v>
      </c>
      <c r="C196" s="256">
        <v>0.0464</v>
      </c>
    </row>
    <row r="197" s="253" customFormat="1" customHeight="1" spans="1:3">
      <c r="A197" s="158">
        <v>45190</v>
      </c>
      <c r="B197" s="256">
        <v>0.0494</v>
      </c>
      <c r="C197" s="256">
        <v>0.0488</v>
      </c>
    </row>
    <row r="198" s="253" customFormat="1" customHeight="1" spans="1:3">
      <c r="A198" s="158">
        <v>45197</v>
      </c>
      <c r="B198" s="256">
        <v>0.0465</v>
      </c>
      <c r="C198" s="256">
        <v>0.0529</v>
      </c>
    </row>
    <row r="199" s="253" customFormat="1" customHeight="1" spans="1:3">
      <c r="A199" s="257">
        <v>45205</v>
      </c>
      <c r="B199" s="256">
        <v>0.0468</v>
      </c>
      <c r="C199" s="256">
        <v>0.0547</v>
      </c>
    </row>
    <row r="200" s="253" customFormat="1" customHeight="1" spans="1:3">
      <c r="A200" s="257">
        <v>45211</v>
      </c>
      <c r="B200" s="256">
        <v>0.0495</v>
      </c>
      <c r="C200" s="256">
        <v>0.0516</v>
      </c>
    </row>
    <row r="201" s="253" customFormat="1" customHeight="1" spans="1:3">
      <c r="A201" s="257">
        <v>45218</v>
      </c>
      <c r="B201" s="256">
        <v>0.0641</v>
      </c>
      <c r="C201" s="256">
        <v>0.0447</v>
      </c>
    </row>
    <row r="202" s="253" customFormat="1" customHeight="1" spans="1:3">
      <c r="A202" s="257">
        <v>45225</v>
      </c>
      <c r="B202" s="256">
        <v>0.0729</v>
      </c>
      <c r="C202" s="256">
        <v>0.0435</v>
      </c>
    </row>
    <row r="203" s="253" customFormat="1" customHeight="1" spans="1:3">
      <c r="A203" s="257">
        <v>45232</v>
      </c>
      <c r="B203" s="256">
        <v>0.0641</v>
      </c>
      <c r="C203" s="256">
        <v>0.0453</v>
      </c>
    </row>
    <row r="204" s="253" customFormat="1" customHeight="1" spans="1:3">
      <c r="A204" s="257">
        <v>45239</v>
      </c>
      <c r="B204" s="256">
        <v>0.0616</v>
      </c>
      <c r="C204" s="256">
        <v>0.0447</v>
      </c>
    </row>
    <row r="205" s="253" customFormat="1" customHeight="1" spans="1:3">
      <c r="A205" s="257">
        <v>45246</v>
      </c>
      <c r="B205" s="256">
        <v>0.0584</v>
      </c>
      <c r="C205" s="256">
        <v>0.0589</v>
      </c>
    </row>
    <row r="206" s="253" customFormat="1" customHeight="1" spans="1:3">
      <c r="A206" s="257">
        <v>45253</v>
      </c>
      <c r="B206" s="256">
        <v>0.0584</v>
      </c>
      <c r="C206" s="256">
        <v>0.0621</v>
      </c>
    </row>
    <row r="207" s="253" customFormat="1" customHeight="1" spans="1:3">
      <c r="A207" s="257">
        <v>45260</v>
      </c>
      <c r="B207" s="256">
        <v>0.0605</v>
      </c>
      <c r="C207" s="256">
        <v>0.0679</v>
      </c>
    </row>
    <row r="208" s="253" customFormat="1" customHeight="1" spans="1:3">
      <c r="A208" s="257">
        <v>45267</v>
      </c>
      <c r="B208" s="256">
        <v>0.0711</v>
      </c>
      <c r="C208" s="256">
        <v>0.0689</v>
      </c>
    </row>
    <row r="209" s="253" customFormat="1" customHeight="1" spans="1:3">
      <c r="A209" s="257">
        <v>45274</v>
      </c>
      <c r="B209" s="256">
        <v>0.0647</v>
      </c>
      <c r="C209" s="256">
        <v>0.0737</v>
      </c>
    </row>
    <row r="210" s="253" customFormat="1" customHeight="1" spans="1:3">
      <c r="A210" s="257">
        <v>45281</v>
      </c>
      <c r="B210" s="256">
        <v>0.0626</v>
      </c>
      <c r="C210" s="256">
        <v>0.0779</v>
      </c>
    </row>
    <row r="211" s="253" customFormat="1" customHeight="1" spans="1:3">
      <c r="A211" s="257">
        <v>45288</v>
      </c>
      <c r="B211" s="256">
        <v>0.0621</v>
      </c>
      <c r="C211" s="256">
        <v>0.08</v>
      </c>
    </row>
    <row r="212" s="253" customFormat="1" customHeight="1" spans="1:3">
      <c r="A212" s="257">
        <v>45295</v>
      </c>
      <c r="B212" s="256">
        <v>0.06</v>
      </c>
      <c r="C212" s="256">
        <v>0.0789</v>
      </c>
    </row>
    <row r="213" s="253" customFormat="1" customHeight="1" spans="1:3">
      <c r="A213" s="257">
        <v>45302</v>
      </c>
      <c r="B213" s="256">
        <v>0.0563</v>
      </c>
      <c r="C213" s="256">
        <v>0.0737</v>
      </c>
    </row>
    <row r="214" s="253" customFormat="1" customHeight="1" spans="1:3">
      <c r="A214" s="257">
        <v>45309</v>
      </c>
      <c r="B214" s="256">
        <v>0.0542</v>
      </c>
      <c r="C214" s="256">
        <v>0.0668</v>
      </c>
    </row>
    <row r="215" s="253" customFormat="1" customHeight="1" spans="1:3">
      <c r="A215" s="257">
        <v>45316</v>
      </c>
      <c r="B215" s="256">
        <v>0.0511</v>
      </c>
      <c r="C215" s="256">
        <v>0.0611</v>
      </c>
    </row>
    <row r="216" s="253" customFormat="1" customHeight="1" spans="1:3">
      <c r="A216" s="257">
        <v>45323</v>
      </c>
      <c r="B216" s="256">
        <v>0.0495</v>
      </c>
      <c r="C216" s="256">
        <v>0.0547</v>
      </c>
    </row>
    <row r="217" s="253" customFormat="1" customHeight="1" spans="1:3">
      <c r="A217" s="257">
        <v>45344</v>
      </c>
      <c r="B217" s="256">
        <v>0.0432</v>
      </c>
      <c r="C217" s="256">
        <v>0.0432</v>
      </c>
    </row>
    <row r="218" s="253" customFormat="1" customHeight="1" spans="1:3">
      <c r="A218" s="257">
        <v>45351</v>
      </c>
      <c r="B218" s="256">
        <v>0.0405</v>
      </c>
      <c r="C218" s="256">
        <v>0.0432</v>
      </c>
    </row>
    <row r="219" s="253" customFormat="1" customHeight="1" spans="1:3">
      <c r="A219" s="257">
        <v>45358</v>
      </c>
      <c r="B219" s="256">
        <v>0.04</v>
      </c>
      <c r="C219" s="256">
        <v>0.0447</v>
      </c>
    </row>
    <row r="220" s="253" customFormat="1" customHeight="1" spans="1:3">
      <c r="A220" s="257">
        <v>45365</v>
      </c>
      <c r="B220" s="256">
        <v>0.0395</v>
      </c>
      <c r="C220" s="256">
        <v>0.0453</v>
      </c>
    </row>
    <row r="221" s="253" customFormat="1" customHeight="1" spans="1:3">
      <c r="A221" s="257">
        <v>45372</v>
      </c>
      <c r="B221" s="256">
        <v>0.0395</v>
      </c>
      <c r="C221" s="256">
        <v>0.0453</v>
      </c>
    </row>
    <row r="222" s="253" customFormat="1" customHeight="1" spans="1:3">
      <c r="A222" s="257">
        <v>45379</v>
      </c>
      <c r="B222" s="256">
        <v>0.04</v>
      </c>
      <c r="C222" s="256">
        <v>0.0527</v>
      </c>
    </row>
    <row r="223" s="253" customFormat="1" customHeight="1" spans="1:3">
      <c r="A223" s="257">
        <v>45385</v>
      </c>
      <c r="B223" s="256">
        <v>0.04</v>
      </c>
      <c r="C223" s="256">
        <v>0.0574</v>
      </c>
    </row>
    <row r="224" s="253" customFormat="1" customHeight="1" spans="1:3">
      <c r="A224" s="257">
        <v>45393</v>
      </c>
      <c r="B224" s="256">
        <v>0.0368</v>
      </c>
      <c r="C224" s="256">
        <v>0.0647</v>
      </c>
    </row>
    <row r="225" s="253" customFormat="1" customHeight="1" spans="1:3">
      <c r="A225" s="257">
        <v>45400</v>
      </c>
      <c r="B225" s="256">
        <v>0.0342</v>
      </c>
      <c r="C225" s="256">
        <v>0.0653</v>
      </c>
    </row>
    <row r="226" s="253" customFormat="1" customHeight="1" spans="1:3">
      <c r="A226" s="257">
        <v>45407</v>
      </c>
      <c r="B226" s="256">
        <v>0.0353</v>
      </c>
      <c r="C226" s="256">
        <v>0.0579</v>
      </c>
    </row>
    <row r="227" s="253" customFormat="1" customHeight="1" spans="1:3">
      <c r="A227" s="257">
        <v>45414</v>
      </c>
      <c r="B227" s="256">
        <v>0.0358</v>
      </c>
      <c r="C227" s="256">
        <v>0.0489</v>
      </c>
    </row>
    <row r="228" s="253" customFormat="1" customHeight="1" spans="1:3">
      <c r="A228" s="257">
        <v>45421</v>
      </c>
      <c r="B228" s="256">
        <v>0.0363</v>
      </c>
      <c r="C228" s="256">
        <v>0.0442</v>
      </c>
    </row>
    <row r="229" s="253" customFormat="1" customHeight="1" spans="1:3">
      <c r="A229" s="257">
        <v>45428</v>
      </c>
      <c r="B229" s="256">
        <v>0.0358</v>
      </c>
      <c r="C229" s="256">
        <v>0.0437</v>
      </c>
    </row>
    <row r="230" s="253" customFormat="1" customHeight="1" spans="1:3">
      <c r="A230" s="257">
        <v>45435</v>
      </c>
      <c r="B230" s="256">
        <v>0.0353</v>
      </c>
      <c r="C230" s="256">
        <v>0.0447</v>
      </c>
    </row>
    <row r="231" s="253" customFormat="1" customHeight="1" spans="1:3">
      <c r="A231" s="257">
        <v>45442</v>
      </c>
      <c r="B231" s="256">
        <v>0.0353</v>
      </c>
      <c r="C231" s="256">
        <v>0.0458</v>
      </c>
    </row>
    <row r="232" s="253" customFormat="1" customHeight="1" spans="1:3">
      <c r="A232" s="257">
        <v>45449</v>
      </c>
      <c r="B232" s="256">
        <v>0.0363</v>
      </c>
      <c r="C232" s="256">
        <v>0.0484</v>
      </c>
    </row>
    <row r="233" s="253" customFormat="1" customHeight="1" spans="1:3">
      <c r="A233" s="257">
        <v>45456</v>
      </c>
      <c r="B233" s="256">
        <v>0.0363</v>
      </c>
      <c r="C233" s="256">
        <v>0.0484</v>
      </c>
    </row>
    <row r="234" s="253" customFormat="1" customHeight="1" spans="1:3">
      <c r="A234" s="257">
        <v>45463</v>
      </c>
      <c r="B234" s="256">
        <v>0.0389</v>
      </c>
      <c r="C234" s="256">
        <v>0.0495</v>
      </c>
    </row>
    <row r="235" s="253" customFormat="1" customHeight="1" spans="1:3">
      <c r="A235" s="257">
        <v>45470</v>
      </c>
      <c r="B235" s="256">
        <v>0.0405</v>
      </c>
      <c r="C235" s="256">
        <v>0.0468</v>
      </c>
    </row>
    <row r="236" s="253" customFormat="1" customHeight="1" spans="1:3">
      <c r="A236" s="257">
        <v>45477</v>
      </c>
      <c r="B236" s="256">
        <v>0.04</v>
      </c>
      <c r="C236" s="256">
        <v>0.0489</v>
      </c>
    </row>
    <row r="237" s="253" customFormat="1" customHeight="1" spans="1:3">
      <c r="A237" s="257">
        <v>45484</v>
      </c>
      <c r="B237" s="256">
        <v>0.0405</v>
      </c>
      <c r="C237" s="256">
        <v>0.0489</v>
      </c>
    </row>
    <row r="238" s="253" customFormat="1" customHeight="1" spans="1:3">
      <c r="A238" s="257">
        <v>45491</v>
      </c>
      <c r="B238" s="256">
        <v>0.0447</v>
      </c>
      <c r="C238" s="256">
        <v>0.0484</v>
      </c>
    </row>
    <row r="239" s="253" customFormat="1" customHeight="1" spans="1:3">
      <c r="A239" s="257">
        <v>45498</v>
      </c>
      <c r="B239" s="256">
        <v>0.0458</v>
      </c>
      <c r="C239" s="256">
        <v>0.05</v>
      </c>
    </row>
    <row r="240" s="253" customFormat="1" customHeight="1" spans="1:3">
      <c r="A240" s="257">
        <v>45505</v>
      </c>
      <c r="B240" s="256">
        <v>0.0426</v>
      </c>
      <c r="C240" s="256">
        <v>0.0521</v>
      </c>
    </row>
    <row r="241" s="253" customFormat="1" customHeight="1" spans="1:3">
      <c r="A241" s="257">
        <v>45512</v>
      </c>
      <c r="B241" s="256">
        <v>0.0416</v>
      </c>
      <c r="C241" s="256">
        <v>0.0568</v>
      </c>
    </row>
    <row r="242" s="253" customFormat="1" customHeight="1" spans="1:3">
      <c r="A242" s="257">
        <v>45519</v>
      </c>
      <c r="B242" s="256">
        <v>0.0416</v>
      </c>
      <c r="C242" s="256">
        <v>0.0637</v>
      </c>
    </row>
    <row r="243" s="253" customFormat="1" customHeight="1" spans="1:3">
      <c r="A243" s="257">
        <v>45526</v>
      </c>
      <c r="B243" s="256">
        <v>0.0421</v>
      </c>
      <c r="C243" s="256">
        <v>0.0689</v>
      </c>
    </row>
    <row r="244" s="253" customFormat="1" customHeight="1" spans="1:3">
      <c r="A244" s="257">
        <v>45533</v>
      </c>
      <c r="B244" s="256">
        <v>0.0416</v>
      </c>
      <c r="C244" s="256">
        <v>0.0737</v>
      </c>
    </row>
    <row r="245" s="253" customFormat="1" customHeight="1" spans="1:3">
      <c r="A245" s="257">
        <v>45540</v>
      </c>
      <c r="B245" s="256">
        <v>0.0411</v>
      </c>
      <c r="C245" s="256">
        <v>0.0668</v>
      </c>
    </row>
    <row r="246" s="253" customFormat="1" customHeight="1" spans="1:3">
      <c r="A246" s="257">
        <v>45547</v>
      </c>
      <c r="B246" s="258">
        <v>0.0395</v>
      </c>
      <c r="C246" s="258">
        <v>0.06</v>
      </c>
    </row>
    <row r="247" s="253" customFormat="1" customHeight="1" spans="1:3">
      <c r="A247" s="257">
        <v>45554</v>
      </c>
      <c r="B247" s="258">
        <v>0.0395</v>
      </c>
      <c r="C247" s="258">
        <v>0.0605</v>
      </c>
    </row>
    <row r="248" s="253" customFormat="1" customHeight="1" spans="1:3">
      <c r="A248" s="257">
        <v>45561</v>
      </c>
      <c r="B248" s="258">
        <v>0.0404</v>
      </c>
      <c r="C248" s="258">
        <v>0.0584</v>
      </c>
    </row>
    <row r="249" s="253" customFormat="1" customHeight="1" spans="1:3">
      <c r="A249" s="257">
        <v>45575</v>
      </c>
      <c r="B249" s="256">
        <v>0.042</v>
      </c>
      <c r="C249" s="256">
        <v>0.0565</v>
      </c>
    </row>
    <row r="250" s="253" customFormat="1" customHeight="1" spans="1:3">
      <c r="A250" s="257">
        <v>45582</v>
      </c>
      <c r="B250" s="256">
        <v>0.042</v>
      </c>
      <c r="C250" s="256">
        <v>0.057</v>
      </c>
    </row>
    <row r="251" s="253" customFormat="1" customHeight="1" spans="1:3">
      <c r="A251" s="257">
        <v>45589</v>
      </c>
      <c r="B251" s="256">
        <v>0.0445</v>
      </c>
      <c r="C251" s="256">
        <v>0.0542</v>
      </c>
    </row>
    <row r="252" s="253" customFormat="1" customHeight="1" spans="1:3">
      <c r="A252" s="257">
        <v>45596</v>
      </c>
      <c r="B252" s="256">
        <v>0.0448</v>
      </c>
      <c r="C252" s="256">
        <v>0.0533</v>
      </c>
    </row>
    <row r="253" s="253" customFormat="1" customHeight="1" spans="1:3">
      <c r="A253" s="257">
        <v>45603</v>
      </c>
      <c r="B253" s="258">
        <v>0.046</v>
      </c>
      <c r="C253" s="258">
        <v>0.0569</v>
      </c>
    </row>
    <row r="254" s="253" customFormat="1" customHeight="1" spans="1:3">
      <c r="A254" s="257">
        <v>45610</v>
      </c>
      <c r="B254" s="258">
        <v>0.0453</v>
      </c>
      <c r="C254" s="258">
        <v>0.0578</v>
      </c>
    </row>
    <row r="255" s="253" customFormat="1" customHeight="1" spans="1:3">
      <c r="A255" s="257">
        <v>45617</v>
      </c>
      <c r="B255" s="256">
        <v>0.0446</v>
      </c>
      <c r="C255" s="256">
        <v>0.0565</v>
      </c>
    </row>
    <row r="256" s="253" customFormat="1" customHeight="1" spans="1:3">
      <c r="A256" s="257">
        <v>45624</v>
      </c>
      <c r="B256" s="256">
        <v>0.0447</v>
      </c>
      <c r="C256" s="256">
        <v>0.0581</v>
      </c>
    </row>
    <row r="257" s="253" customFormat="1" customHeight="1" spans="1:10">
      <c r="A257" s="257">
        <v>45631</v>
      </c>
      <c r="B257" s="258">
        <v>0.0456</v>
      </c>
      <c r="C257" s="258">
        <v>0.0676</v>
      </c>
    </row>
    <row r="258" s="253" customFormat="1" customHeight="1" spans="1:10">
      <c r="A258" s="257">
        <v>45638</v>
      </c>
      <c r="B258" s="258">
        <v>0.0461</v>
      </c>
      <c r="C258" s="258">
        <v>0.0825</v>
      </c>
    </row>
    <row r="259" s="253" customFormat="1" customHeight="1" spans="1:10">
      <c r="A259" s="257">
        <v>45645</v>
      </c>
      <c r="B259" s="258">
        <v>0.0463</v>
      </c>
      <c r="C259" s="258">
        <v>0.0863</v>
      </c>
    </row>
    <row r="260" s="253" customFormat="1" customHeight="1" spans="1:10">
      <c r="A260" s="257">
        <v>45652</v>
      </c>
      <c r="B260" s="258">
        <v>0.04678</v>
      </c>
      <c r="C260" s="256">
        <v>0.0673</v>
      </c>
    </row>
    <row r="261" s="253" customFormat="1" customHeight="1" spans="1:10">
      <c r="A261" s="257">
        <v>45659</v>
      </c>
      <c r="B261" s="256">
        <v>0.0473</v>
      </c>
      <c r="C261" s="256">
        <v>0.0638</v>
      </c>
      <c r="D261" s="261"/>
      <c r="E261" s="261"/>
      <c r="F261" s="261"/>
      <c r="G261" s="261"/>
      <c r="H261" s="261"/>
      <c r="I261" s="261"/>
      <c r="J261" s="261"/>
    </row>
    <row r="262" s="253" customFormat="1" customHeight="1" spans="1:10">
      <c r="A262" s="257">
        <v>45666</v>
      </c>
      <c r="B262" s="256">
        <v>0.0464</v>
      </c>
      <c r="C262" s="256">
        <v>0.0561</v>
      </c>
      <c r="D262" s="261"/>
      <c r="E262" s="261"/>
      <c r="F262" s="261"/>
      <c r="G262" s="261"/>
      <c r="H262" s="261"/>
      <c r="I262" s="261"/>
      <c r="J262" s="261"/>
    </row>
    <row r="263" s="253" customFormat="1" customHeight="1" spans="1:10">
      <c r="A263" s="257">
        <v>45673</v>
      </c>
      <c r="B263" s="256">
        <v>0.0465</v>
      </c>
      <c r="C263" s="256">
        <v>0.0524</v>
      </c>
      <c r="D263" s="261"/>
      <c r="E263" s="261"/>
      <c r="F263" s="261"/>
      <c r="G263" s="261"/>
      <c r="H263" s="261"/>
      <c r="I263" s="261"/>
      <c r="J263" s="261"/>
    </row>
    <row r="264" s="253" customFormat="1" customHeight="1" spans="1:10">
      <c r="A264" s="257">
        <v>45680</v>
      </c>
      <c r="B264" s="256">
        <v>0.0443</v>
      </c>
      <c r="C264" s="256">
        <v>0.048</v>
      </c>
      <c r="D264" s="261"/>
      <c r="E264" s="261"/>
      <c r="F264" s="261"/>
      <c r="G264" s="261"/>
      <c r="H264" s="261"/>
      <c r="I264" s="261"/>
      <c r="J264" s="261"/>
    </row>
    <row r="265" s="253" customFormat="1" customHeight="1" spans="1:10">
      <c r="A265" s="257">
        <v>45694</v>
      </c>
      <c r="B265" s="256">
        <v>0.0458</v>
      </c>
      <c r="C265" s="256">
        <v>0.0426</v>
      </c>
      <c r="D265" s="261"/>
      <c r="E265" s="261"/>
      <c r="F265" s="261"/>
      <c r="G265" s="261"/>
      <c r="H265" s="261"/>
      <c r="I265" s="261"/>
      <c r="J265" s="261"/>
    </row>
    <row r="266" s="253" customFormat="1" customHeight="1" spans="1:10">
      <c r="A266" s="257">
        <v>45701</v>
      </c>
      <c r="B266" s="256">
        <v>0.0447</v>
      </c>
      <c r="C266" s="256">
        <v>0.0404</v>
      </c>
      <c r="D266" s="261"/>
      <c r="E266" s="261"/>
      <c r="F266" s="261"/>
      <c r="G266" s="261"/>
      <c r="H266" s="261"/>
      <c r="I266" s="261"/>
      <c r="J266" s="261"/>
    </row>
    <row r="267" s="253" customFormat="1" customHeight="1" spans="1:10">
      <c r="A267" s="257">
        <v>45708</v>
      </c>
      <c r="B267" s="256">
        <v>0.0434</v>
      </c>
      <c r="C267" s="256">
        <v>0.0411</v>
      </c>
      <c r="D267" s="261"/>
      <c r="E267" s="261"/>
      <c r="F267" s="261"/>
      <c r="G267" s="261"/>
      <c r="H267" s="261"/>
      <c r="I267" s="261"/>
      <c r="J267" s="261"/>
    </row>
    <row r="268" s="253" customFormat="1" customHeight="1" spans="1:10">
      <c r="A268" s="257">
        <v>45715</v>
      </c>
      <c r="B268" s="256">
        <v>0.0422</v>
      </c>
      <c r="C268" s="256">
        <v>0.0416</v>
      </c>
      <c r="D268" s="261"/>
      <c r="E268" s="261"/>
      <c r="F268" s="261"/>
      <c r="G268" s="261"/>
      <c r="H268" s="261"/>
      <c r="I268" s="261"/>
      <c r="J268" s="261"/>
    </row>
    <row r="269" s="253" customFormat="1" customHeight="1" spans="1:10">
      <c r="A269" s="257">
        <v>45722</v>
      </c>
      <c r="B269" s="256">
        <v>0.0415</v>
      </c>
      <c r="C269" s="256">
        <v>0.0423</v>
      </c>
      <c r="D269" s="261"/>
      <c r="E269" s="261"/>
      <c r="F269" s="261"/>
      <c r="G269" s="261"/>
      <c r="H269" s="261"/>
      <c r="I269" s="261"/>
      <c r="J269" s="261"/>
    </row>
    <row r="270" s="253" customFormat="1" customHeight="1" spans="1:10">
      <c r="A270" s="257">
        <v>45729</v>
      </c>
      <c r="B270" s="256">
        <v>0.0408</v>
      </c>
      <c r="C270" s="256">
        <v>0.0447</v>
      </c>
      <c r="D270" s="261"/>
      <c r="E270" s="261"/>
      <c r="F270" s="261"/>
      <c r="G270" s="261"/>
      <c r="H270" s="261"/>
      <c r="I270" s="261"/>
      <c r="J270" s="261"/>
    </row>
    <row r="271" s="253" customFormat="1" customHeight="1" spans="1:10">
      <c r="A271" s="257">
        <v>45736</v>
      </c>
      <c r="B271" s="256">
        <v>0.0404</v>
      </c>
      <c r="C271" s="256">
        <v>0.0471</v>
      </c>
      <c r="D271" s="261"/>
      <c r="E271" s="261"/>
      <c r="F271" s="261"/>
      <c r="G271" s="261"/>
      <c r="H271" s="261"/>
      <c r="I271" s="261"/>
      <c r="J271" s="261"/>
    </row>
    <row r="272" s="253" customFormat="1" customHeight="1" spans="1:10">
      <c r="A272" s="257">
        <v>45743</v>
      </c>
      <c r="B272" s="256">
        <v>0.0401</v>
      </c>
      <c r="C272" s="256">
        <v>0.0492</v>
      </c>
      <c r="D272" s="261"/>
      <c r="E272" s="261"/>
      <c r="F272" s="261"/>
      <c r="G272" s="261"/>
      <c r="H272" s="261"/>
      <c r="I272" s="261"/>
      <c r="J272" s="261"/>
    </row>
    <row r="273" s="253" customFormat="1" customHeight="1" spans="1:3">
      <c r="A273" s="257">
        <v>45750</v>
      </c>
      <c r="B273" s="256">
        <v>0.0393</v>
      </c>
      <c r="C273" s="256">
        <v>0.0503</v>
      </c>
    </row>
    <row r="274" s="253" customFormat="1" customHeight="1" spans="1:3">
      <c r="A274" s="257">
        <v>45757</v>
      </c>
      <c r="B274" s="256">
        <v>0.0385</v>
      </c>
      <c r="C274" s="256">
        <v>0.0494</v>
      </c>
    </row>
    <row r="275" s="253" customFormat="1" customHeight="1" spans="1:3">
      <c r="A275" s="257">
        <v>45764</v>
      </c>
      <c r="B275" s="256">
        <v>0.0371</v>
      </c>
      <c r="C275" s="256">
        <v>0.0484</v>
      </c>
    </row>
    <row r="276" s="253" customFormat="1" customHeight="1" spans="1:3">
      <c r="A276" s="257">
        <v>45771</v>
      </c>
      <c r="B276" s="256">
        <v>0.0369</v>
      </c>
      <c r="C276" s="256">
        <v>0.0487</v>
      </c>
    </row>
    <row r="277" s="253" customFormat="1" customHeight="1" spans="1:3">
      <c r="A277" s="257">
        <v>45777</v>
      </c>
      <c r="B277" s="256">
        <v>0.036</v>
      </c>
      <c r="C277" s="256">
        <v>0.0508</v>
      </c>
    </row>
    <row r="278" s="253" customFormat="1" customHeight="1" spans="1:3">
      <c r="A278" s="257">
        <v>45785</v>
      </c>
      <c r="B278" s="256">
        <v>0.0349</v>
      </c>
      <c r="C278" s="256">
        <v>0.0507</v>
      </c>
    </row>
    <row r="279" s="253" customFormat="1" customHeight="1" spans="1:3">
      <c r="A279" s="257">
        <v>45792</v>
      </c>
      <c r="B279" s="256">
        <v>0.0344</v>
      </c>
      <c r="C279" s="256">
        <v>0.0501</v>
      </c>
    </row>
    <row r="280" s="253" customFormat="1" customHeight="1" spans="1:3">
      <c r="A280" s="257">
        <v>45799</v>
      </c>
      <c r="B280" s="256">
        <v>0.0343</v>
      </c>
      <c r="C280" s="256">
        <v>0.0498</v>
      </c>
    </row>
    <row r="281" s="253" customFormat="1" customHeight="1" spans="1:3">
      <c r="A281" s="257">
        <v>45806</v>
      </c>
      <c r="B281" s="256">
        <v>0.0337</v>
      </c>
      <c r="C281" s="256">
        <v>0.0492</v>
      </c>
    </row>
    <row r="282" s="253" customFormat="1" customHeight="1" spans="1:3">
      <c r="A282" s="257">
        <v>45813</v>
      </c>
      <c r="B282" s="256">
        <v>0.0333</v>
      </c>
      <c r="C282" s="256">
        <v>0.0494</v>
      </c>
    </row>
    <row r="283" s="253" customFormat="1" customHeight="1" spans="1:3">
      <c r="A283" s="257">
        <v>45820</v>
      </c>
      <c r="B283" s="256">
        <v>0.0327</v>
      </c>
      <c r="C283" s="256">
        <v>0.0482</v>
      </c>
    </row>
    <row r="284" s="253" customFormat="1" customHeight="1" spans="1:3">
      <c r="A284" s="257">
        <v>45827</v>
      </c>
      <c r="B284" s="256">
        <v>0.0325</v>
      </c>
      <c r="C284" s="256">
        <v>0.0474</v>
      </c>
    </row>
    <row r="285" s="253" customFormat="1" customHeight="1" spans="1:3">
      <c r="A285" s="257">
        <v>45834</v>
      </c>
      <c r="B285" s="262">
        <v>0.0324</v>
      </c>
      <c r="C285" s="262">
        <v>0.0472</v>
      </c>
    </row>
    <row r="286" s="253" customFormat="1" customHeight="1" spans="1:3">
      <c r="A286" s="257">
        <v>45841</v>
      </c>
      <c r="B286" s="262">
        <v>0.0325</v>
      </c>
      <c r="C286" s="262">
        <v>0.0495</v>
      </c>
    </row>
    <row r="287" s="253" customFormat="1" customHeight="1" spans="1:3">
      <c r="A287" s="257">
        <v>45848</v>
      </c>
      <c r="B287" s="256">
        <v>0.0328</v>
      </c>
      <c r="C287" s="256">
        <v>0.0512</v>
      </c>
    </row>
    <row r="288" s="253" customFormat="1" customHeight="1" spans="1:3">
      <c r="A288" s="257">
        <v>45855</v>
      </c>
      <c r="B288" s="262">
        <v>0.0336</v>
      </c>
      <c r="C288" s="262">
        <v>0.0516</v>
      </c>
    </row>
    <row r="289" s="253" customFormat="1" customHeight="1" spans="1:3">
      <c r="A289" s="257">
        <v>45862</v>
      </c>
      <c r="B289" s="262">
        <v>0.0338</v>
      </c>
      <c r="C289" s="262">
        <v>0.0514</v>
      </c>
    </row>
    <row r="290" s="253" customFormat="1" customHeight="1" spans="1:3">
      <c r="A290" s="257">
        <v>45869</v>
      </c>
      <c r="B290" s="262">
        <v>0.0347</v>
      </c>
      <c r="C290" s="262">
        <v>0.0509</v>
      </c>
    </row>
    <row r="291" s="253" customFormat="1" customHeight="1" spans="1:3">
      <c r="A291" s="257">
        <v>45876</v>
      </c>
      <c r="B291" s="262">
        <v>0.0351</v>
      </c>
      <c r="C291" s="262">
        <v>0.0503</v>
      </c>
    </row>
    <row r="292" s="253" customFormat="1" customHeight="1" spans="1:3">
      <c r="A292" s="257">
        <v>45883</v>
      </c>
      <c r="B292" s="262">
        <v>0.0377</v>
      </c>
      <c r="C292" s="262">
        <v>0.0501</v>
      </c>
    </row>
    <row r="293" s="253" customFormat="1" customHeight="1" spans="1:3">
      <c r="A293" s="257">
        <v>45890</v>
      </c>
      <c r="B293" s="262">
        <v>0.0379</v>
      </c>
      <c r="C293" s="262">
        <v>0.0502</v>
      </c>
    </row>
    <row r="294" s="253" customFormat="1" customHeight="1" spans="1:3">
      <c r="A294" s="257">
        <v>45897</v>
      </c>
      <c r="B294" s="262">
        <v>0.0382</v>
      </c>
      <c r="C294" s="262">
        <v>0.05</v>
      </c>
    </row>
    <row r="295" s="253" customFormat="1" customHeight="1" spans="1:3">
      <c r="A295" s="257">
        <v>45904</v>
      </c>
      <c r="B295" s="262">
        <v>0.0385</v>
      </c>
      <c r="C295" s="262">
        <v>0.0514</v>
      </c>
    </row>
    <row r="296" s="253" customFormat="1" customHeight="1" spans="1:3">
      <c r="A296" s="257">
        <v>45911</v>
      </c>
      <c r="B296" s="262">
        <v>0.0388</v>
      </c>
      <c r="C296" s="262">
        <v>0.0516</v>
      </c>
    </row>
    <row r="297" s="253" customFormat="1" customHeight="1" spans="1:3">
      <c r="A297" s="257">
        <v>45918</v>
      </c>
      <c r="B297" s="256">
        <v>0.0389</v>
      </c>
      <c r="C297" s="256">
        <v>0.0516</v>
      </c>
    </row>
    <row r="298" s="253" customFormat="1" customHeight="1" spans="1:3">
      <c r="A298" s="257">
        <v>45925</v>
      </c>
      <c r="B298" s="262">
        <v>0.0386</v>
      </c>
      <c r="C298" s="262">
        <v>0.0507</v>
      </c>
    </row>
    <row r="299" s="253" customFormat="1" customHeight="1" spans="1:3">
      <c r="A299" s="257">
        <v>45939</v>
      </c>
      <c r="B299" s="262">
        <v>0.0381</v>
      </c>
      <c r="C299" s="262">
        <v>0.0491</v>
      </c>
    </row>
    <row r="300" s="253" customFormat="1" customHeight="1" spans="1:3">
      <c r="A300" s="263">
        <v>45946</v>
      </c>
      <c r="B300" s="262">
        <v>0.0382</v>
      </c>
      <c r="C300" s="262">
        <v>0.0469</v>
      </c>
    </row>
    <row r="301" s="253" customFormat="1" customHeight="1" spans="1:3">
      <c r="A301" s="263">
        <v>45953</v>
      </c>
      <c r="B301" s="262">
        <v>0.0387</v>
      </c>
      <c r="C301" s="262">
        <v>0.0452</v>
      </c>
    </row>
    <row r="302" s="253" customFormat="1" customHeight="1" spans="1:3">
      <c r="A302" s="263">
        <v>45960</v>
      </c>
      <c r="B302" s="262">
        <v>0.0394</v>
      </c>
      <c r="C302" s="262">
        <v>0.0453</v>
      </c>
    </row>
    <row r="303" s="253" customFormat="1" customHeight="1" spans="1:3">
      <c r="A303" s="263">
        <v>45967</v>
      </c>
      <c r="B303" s="262">
        <v>0.0405</v>
      </c>
      <c r="C303" s="262">
        <v>0.0489</v>
      </c>
    </row>
    <row r="304" s="253" customFormat="1" customHeight="1" spans="1:3">
      <c r="A304" s="263">
        <v>45974</v>
      </c>
      <c r="B304" s="262">
        <v>0.0432</v>
      </c>
      <c r="C304" s="262">
        <v>0.0486</v>
      </c>
    </row>
    <row r="305" s="253" customFormat="1" customHeight="1" spans="1:3">
      <c r="A305" s="217">
        <v>45981</v>
      </c>
      <c r="B305" s="117">
        <v>0.0448</v>
      </c>
      <c r="C305" s="117">
        <v>0.0538</v>
      </c>
    </row>
    <row r="306" s="253" customFormat="1" customHeight="1" spans="1:3">
      <c r="A306" s="217">
        <v>45988</v>
      </c>
      <c r="B306" s="117">
        <v>0.0483</v>
      </c>
      <c r="C306" s="117">
        <v>0.0632</v>
      </c>
    </row>
    <row r="307" s="253" customFormat="1" customHeight="1" spans="1:3">
      <c r="A307" s="217">
        <v>45995</v>
      </c>
      <c r="B307" s="117">
        <v>0.0505</v>
      </c>
      <c r="C307" s="117">
        <v>0.0689</v>
      </c>
    </row>
    <row r="308" customHeight="1" spans="1:3">
      <c r="A308" s="217">
        <v>46002</v>
      </c>
      <c r="B308" s="117">
        <v>0.0543</v>
      </c>
      <c r="C308" s="117">
        <v>0.069</v>
      </c>
    </row>
    <row r="309" customHeight="1" spans="1:3">
      <c r="A309" s="217">
        <v>46009</v>
      </c>
      <c r="B309" s="117">
        <v>0.0564</v>
      </c>
      <c r="C309" s="117">
        <v>0.0734</v>
      </c>
    </row>
    <row r="310" customHeight="1" spans="1:3">
      <c r="A310" s="217">
        <v>46016</v>
      </c>
      <c r="B310" s="117">
        <v>0.0551</v>
      </c>
      <c r="C310" s="117">
        <v>0.0701</v>
      </c>
    </row>
    <row r="311" customHeight="1" spans="1:3">
      <c r="A311" s="217">
        <v>46023</v>
      </c>
      <c r="B311" s="117">
        <v>0.0544</v>
      </c>
      <c r="C311" s="117">
        <v>0.0676</v>
      </c>
    </row>
    <row r="312" customHeight="1" spans="1:3">
      <c r="A312" s="217">
        <v>46030</v>
      </c>
      <c r="B312" s="117">
        <v>0.0516</v>
      </c>
      <c r="C312" s="117">
        <v>0.0654</v>
      </c>
    </row>
    <row r="313" customHeight="1" spans="1:3">
      <c r="A313" s="217">
        <v>46037</v>
      </c>
      <c r="B313" s="117">
        <v>0.0487</v>
      </c>
      <c r="C313" s="117">
        <v>0.0671</v>
      </c>
    </row>
    <row r="314" customHeight="1" spans="1:3">
      <c r="A314" s="217">
        <v>46044</v>
      </c>
      <c r="B314" s="117">
        <v>0.0468</v>
      </c>
      <c r="C314" s="117">
        <v>0.0654</v>
      </c>
    </row>
    <row r="315" customHeight="1" spans="1:3">
      <c r="A315" s="217">
        <v>46051</v>
      </c>
      <c r="B315" s="117">
        <v>0.0448</v>
      </c>
      <c r="C315" s="117">
        <v>0.0578</v>
      </c>
    </row>
    <row r="316" customHeight="1" spans="1:3">
      <c r="A316" s="217">
        <v>46058</v>
      </c>
      <c r="B316" s="117">
        <v>0.0439</v>
      </c>
      <c r="C316" s="117">
        <v>0.056</v>
      </c>
    </row>
    <row r="317" customHeight="1" spans="1:3">
      <c r="A317" s="217">
        <v>46065</v>
      </c>
      <c r="B317" s="264">
        <v>0.0428</v>
      </c>
      <c r="C317" s="264">
        <v>0.0516</v>
      </c>
    </row>
    <row r="318" customHeight="1" spans="1:3">
      <c r="A318" s="158">
        <v>46079</v>
      </c>
      <c r="B318" s="264">
        <v>0.0408</v>
      </c>
      <c r="C318" s="264">
        <v>0.0427</v>
      </c>
    </row>
    <row r="319" customHeight="1" spans="1:3">
      <c r="A319" s="158">
        <v>46086</v>
      </c>
      <c r="B319" s="264">
        <v>0.0396</v>
      </c>
      <c r="C319" s="264">
        <v>0.0437</v>
      </c>
    </row>
    <row r="320" customHeight="1" spans="1:3">
      <c r="A320" s="158">
        <v>46093</v>
      </c>
      <c r="B320" s="264">
        <v>0.0386</v>
      </c>
      <c r="C320" s="264">
        <v>0.044</v>
      </c>
    </row>
    <row r="321" customHeight="1" spans="1:3">
      <c r="A321" s="158">
        <v>46100</v>
      </c>
      <c r="B321" s="264">
        <v>0.0379</v>
      </c>
      <c r="C321" s="264">
        <v>0.0451</v>
      </c>
    </row>
    <row r="322" customHeight="1" spans="1:3">
      <c r="A322" s="158">
        <v>46107</v>
      </c>
      <c r="B322" s="264">
        <v>0.036</v>
      </c>
      <c r="C322" s="264">
        <v>0.0454</v>
      </c>
    </row>
    <row r="323" customHeight="1" spans="1:3">
      <c r="A323" s="158">
        <v>46114</v>
      </c>
      <c r="B323" s="264">
        <v>0.0349</v>
      </c>
      <c r="C323" s="264">
        <v>0.0474</v>
      </c>
    </row>
    <row r="324" customHeight="1" spans="1:3">
      <c r="A324" s="158">
        <v>46121</v>
      </c>
      <c r="B324" s="264">
        <v>0.0337</v>
      </c>
      <c r="C324" s="264">
        <v>0.047</v>
      </c>
    </row>
    <row r="325" customHeight="1" spans="1:3">
      <c r="A325" s="158">
        <v>46128</v>
      </c>
      <c r="B325" s="264">
        <v>0.0332</v>
      </c>
      <c r="C325" s="264">
        <v>0.0479</v>
      </c>
    </row>
    <row r="326" customHeight="1" spans="1:3">
      <c r="A326" s="158">
        <v>46135</v>
      </c>
      <c r="B326" s="264">
        <v>0.0325</v>
      </c>
      <c r="C326" s="264">
        <v>0.0489</v>
      </c>
    </row>
    <row r="327" customHeight="1" spans="1:3">
      <c r="A327" s="158">
        <v>46142</v>
      </c>
      <c r="B327" s="264">
        <v>0.0319</v>
      </c>
      <c r="C327" s="264">
        <v>0.0499</v>
      </c>
    </row>
    <row r="328" customHeight="1" spans="1:3">
      <c r="A328" s="158">
        <v>46149</v>
      </c>
      <c r="B328" s="264">
        <v>0.0312</v>
      </c>
      <c r="C328" s="264">
        <v>0.0496</v>
      </c>
    </row>
    <row r="329" customHeight="1" spans="1:3">
      <c r="A329" s="158">
        <v>46156</v>
      </c>
      <c r="B329" s="264">
        <v>0.0305</v>
      </c>
      <c r="C329" s="264">
        <v>0.0504</v>
      </c>
    </row>
    <row r="330" customHeight="1" spans="1:3">
      <c r="A330" s="158">
        <v>46163</v>
      </c>
      <c r="B330" s="264">
        <v>0.0302</v>
      </c>
      <c r="C330" s="264">
        <v>0.0509</v>
      </c>
    </row>
    <row r="331" customHeight="1" spans="1:3">
      <c r="A331" s="158">
        <v>46170</v>
      </c>
      <c r="B331" s="264">
        <v>0.0303</v>
      </c>
      <c r="C331" s="264">
        <v>0.0504</v>
      </c>
    </row>
    <row r="332" customHeight="1" spans="1:3">
      <c r="A332" s="158">
        <v>46177</v>
      </c>
      <c r="B332" s="264">
        <v>0.0302</v>
      </c>
      <c r="C332" s="264">
        <v>0.052</v>
      </c>
    </row>
    <row r="333" customHeight="1" spans="1:3">
      <c r="A333" s="158">
        <v>46184</v>
      </c>
      <c r="B333" s="264">
        <v>0.0301</v>
      </c>
      <c r="C333" s="264">
        <v>0.0531</v>
      </c>
    </row>
    <row r="334" customHeight="1" spans="1:3">
      <c r="A334" s="158">
        <v>46191</v>
      </c>
      <c r="B334" s="264">
        <v>0.0313</v>
      </c>
      <c r="C334" s="264">
        <v>0.0536</v>
      </c>
    </row>
    <row r="335" customHeight="1" spans="1:3">
      <c r="A335" s="158">
        <v>46198</v>
      </c>
      <c r="B335" s="264">
        <v>0.0324</v>
      </c>
      <c r="C335" s="264">
        <v>0.0486</v>
      </c>
    </row>
    <row r="336" customHeight="1" spans="1:3">
      <c r="A336" s="158">
        <v>46205</v>
      </c>
      <c r="B336" s="264">
        <v>0.0332</v>
      </c>
      <c r="C336" s="264">
        <v>0.0439</v>
      </c>
    </row>
    <row r="337" customHeight="1" spans="1:3">
      <c r="A337" s="158">
        <v>46212</v>
      </c>
      <c r="B337" s="264">
        <v>0.0341</v>
      </c>
      <c r="C337" s="264">
        <v>0.0442</v>
      </c>
    </row>
    <row r="338" customHeight="1" spans="1:3">
      <c r="A338" s="158">
        <v>46219</v>
      </c>
      <c r="B338" s="264">
        <v>0.0356</v>
      </c>
      <c r="C338" s="264">
        <v>0.0443</v>
      </c>
    </row>
    <row r="339" customHeight="1" spans="1:3">
      <c r="A339" s="158">
        <v>46226</v>
      </c>
      <c r="B339" s="264">
        <v>0.0365</v>
      </c>
      <c r="C339" s="264">
        <v>0.0445</v>
      </c>
    </row>
    <row r="340" customHeight="1" spans="1:3">
      <c r="A340" s="158">
        <v>46233</v>
      </c>
      <c r="B340" s="264">
        <v>0.0383</v>
      </c>
      <c r="C340" s="264">
        <v>0.0449</v>
      </c>
    </row>
    <row r="341" customHeight="1" spans="1:3">
      <c r="A341" s="158">
        <v>46240</v>
      </c>
      <c r="B341" s="264">
        <v>0.0388</v>
      </c>
      <c r="C341" s="264">
        <v>0.0443</v>
      </c>
    </row>
    <row r="342" customHeight="1" spans="1:3">
      <c r="A342" s="158">
        <v>46247</v>
      </c>
      <c r="B342" s="264">
        <v>0.0402</v>
      </c>
      <c r="C342" s="264">
        <v>0.044</v>
      </c>
    </row>
    <row r="343" customHeight="1" spans="1:3">
      <c r="A343" s="158">
        <v>46254</v>
      </c>
      <c r="B343" s="264">
        <v>0.041</v>
      </c>
      <c r="C343" s="264">
        <v>0.0441</v>
      </c>
    </row>
    <row r="344" customHeight="1" spans="1:3">
      <c r="A344" s="158">
        <v>46261</v>
      </c>
      <c r="B344" s="264">
        <v>0.0414</v>
      </c>
      <c r="C344" s="264">
        <v>0.0454</v>
      </c>
    </row>
    <row r="345" customHeight="1" spans="1:3">
      <c r="A345" s="158">
        <v>46268</v>
      </c>
      <c r="B345" s="264">
        <v>0.0416</v>
      </c>
      <c r="C345" s="264">
        <v>0.0471</v>
      </c>
    </row>
    <row r="346" customHeight="1" spans="1:3">
      <c r="A346" s="158">
        <v>46275</v>
      </c>
      <c r="B346" s="264">
        <v>0.0419</v>
      </c>
      <c r="C346" s="264">
        <v>0.0462</v>
      </c>
    </row>
    <row r="347" customHeight="1" spans="1:3">
      <c r="A347" s="158">
        <v>46282</v>
      </c>
      <c r="B347" s="264">
        <v>0.0444</v>
      </c>
      <c r="C347" s="264">
        <v>0.0461</v>
      </c>
    </row>
    <row r="348" customHeight="1" spans="1:3">
      <c r="A348" s="158">
        <v>46289</v>
      </c>
      <c r="B348" s="264">
        <v>0.0443</v>
      </c>
      <c r="C348" s="264">
        <v>0.0456</v>
      </c>
    </row>
  </sheetData>
  <mergeCells count="1">
    <mergeCell ref="D261:J272"/>
  </mergeCell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61"/>
  <sheetViews>
    <sheetView workbookViewId="0">
      <pane xSplit="1" ySplit="3" topLeftCell="B236" activePane="bottomRight" state="frozen"/>
      <selection/>
      <selection pane="topRight"/>
      <selection pane="bottomLeft"/>
      <selection pane="bottomRight" activeCell="E257" sqref="E257"/>
    </sheetView>
  </sheetViews>
  <sheetFormatPr defaultColWidth="13.125" defaultRowHeight="20" customHeight="1" outlineLevelCol="7"/>
  <cols>
    <col min="1" max="1" width="13.125" style="149"/>
    <col min="2" max="16376" width="13.125" customWidth="1"/>
  </cols>
  <sheetData>
    <row r="2" s="118" customFormat="1" ht="30" customHeight="1" spans="1:4">
      <c r="A2" s="156"/>
      <c r="B2" s="247" t="s">
        <v>42</v>
      </c>
      <c r="C2" s="247"/>
      <c r="D2" s="114" t="s">
        <v>43</v>
      </c>
    </row>
    <row r="3" s="118" customFormat="1" ht="30" customHeight="1" spans="1:4">
      <c r="A3" s="156" t="s">
        <v>39</v>
      </c>
      <c r="B3" s="114" t="s">
        <v>44</v>
      </c>
      <c r="C3" s="114" t="s">
        <v>45</v>
      </c>
      <c r="D3" s="114"/>
    </row>
    <row r="4" customHeight="1" spans="1:4">
      <c r="A4" s="158">
        <v>44427</v>
      </c>
      <c r="B4" s="134">
        <v>-98.98</v>
      </c>
      <c r="C4" s="134">
        <v>-254.51</v>
      </c>
      <c r="D4" s="134">
        <v>-1371.52</v>
      </c>
    </row>
    <row r="5" customHeight="1" spans="1:4">
      <c r="A5" s="158">
        <v>44434</v>
      </c>
      <c r="B5" s="134">
        <v>-159.83</v>
      </c>
      <c r="C5" s="134">
        <v>-313.26</v>
      </c>
      <c r="D5" s="134">
        <v>-1424.36</v>
      </c>
    </row>
    <row r="6" customHeight="1" spans="1:4">
      <c r="A6" s="158">
        <v>44441</v>
      </c>
      <c r="B6" s="134">
        <v>-243.36</v>
      </c>
      <c r="C6" s="134">
        <v>-386.59</v>
      </c>
      <c r="D6" s="134">
        <v>-1491.85</v>
      </c>
    </row>
    <row r="7" customHeight="1" spans="1:4">
      <c r="A7" s="158">
        <v>44448</v>
      </c>
      <c r="B7" s="134">
        <v>-234.74</v>
      </c>
      <c r="C7" s="134">
        <v>-382.87</v>
      </c>
      <c r="D7" s="134">
        <v>-1453.64</v>
      </c>
    </row>
    <row r="8" customHeight="1" spans="1:4">
      <c r="A8" s="158">
        <v>44455</v>
      </c>
      <c r="B8" s="134">
        <v>-317.55</v>
      </c>
      <c r="C8" s="134">
        <v>-462.01</v>
      </c>
      <c r="D8" s="134">
        <v>-1547.91</v>
      </c>
    </row>
    <row r="9" customHeight="1" spans="1:4">
      <c r="A9" s="158">
        <v>44462</v>
      </c>
      <c r="B9" s="134">
        <v>-355.08</v>
      </c>
      <c r="C9" s="134">
        <v>-494.39</v>
      </c>
      <c r="D9" s="134">
        <v>-1497.97</v>
      </c>
    </row>
    <row r="10" customHeight="1" spans="1:4">
      <c r="A10" s="158">
        <v>44469</v>
      </c>
      <c r="B10" s="134">
        <v>-485.89</v>
      </c>
      <c r="C10" s="134">
        <v>-618.07</v>
      </c>
      <c r="D10" s="134">
        <v>-1584.95</v>
      </c>
    </row>
    <row r="11" customHeight="1" spans="1:4">
      <c r="A11" s="158">
        <v>44477</v>
      </c>
      <c r="B11" s="134">
        <v>-549.31</v>
      </c>
      <c r="C11" s="134">
        <v>-704.37</v>
      </c>
      <c r="D11" s="134">
        <v>-1443.6</v>
      </c>
    </row>
    <row r="12" customHeight="1" spans="1:4">
      <c r="A12" s="158">
        <v>44483</v>
      </c>
      <c r="B12" s="134">
        <v>-411.14</v>
      </c>
      <c r="C12" s="134">
        <v>-567.5904</v>
      </c>
      <c r="D12" s="134">
        <v>-1313.46</v>
      </c>
    </row>
    <row r="13" customHeight="1" spans="1:4">
      <c r="A13" s="158">
        <v>44490</v>
      </c>
      <c r="B13" s="134">
        <v>-178.44</v>
      </c>
      <c r="C13" s="134">
        <v>-329.99</v>
      </c>
      <c r="D13" s="134">
        <v>-1201.42</v>
      </c>
    </row>
    <row r="14" customHeight="1" spans="1:4">
      <c r="A14" s="158">
        <v>44497</v>
      </c>
      <c r="B14" s="134">
        <v>109.22</v>
      </c>
      <c r="C14" s="134">
        <v>-43.44</v>
      </c>
      <c r="D14" s="134">
        <v>-877.46</v>
      </c>
    </row>
    <row r="15" customHeight="1" spans="1:4">
      <c r="A15" s="158">
        <v>44504</v>
      </c>
      <c r="B15" s="134">
        <v>117.82</v>
      </c>
      <c r="C15" s="134">
        <v>-23.81</v>
      </c>
      <c r="D15" s="134">
        <v>-862.34</v>
      </c>
    </row>
    <row r="16" customHeight="1" spans="1:4">
      <c r="A16" s="158">
        <v>44511</v>
      </c>
      <c r="B16" s="134">
        <v>225.31</v>
      </c>
      <c r="C16" s="134">
        <v>96.92</v>
      </c>
      <c r="D16" s="134">
        <v>-619.28</v>
      </c>
    </row>
    <row r="17" customHeight="1" spans="1:4">
      <c r="A17" s="158">
        <v>44518</v>
      </c>
      <c r="B17" s="134">
        <v>299.62</v>
      </c>
      <c r="C17" s="134">
        <v>170.67</v>
      </c>
      <c r="D17" s="134">
        <v>-496.83</v>
      </c>
    </row>
    <row r="18" customHeight="1" spans="1:4">
      <c r="A18" s="158">
        <v>44525</v>
      </c>
      <c r="B18" s="134">
        <v>356.9</v>
      </c>
      <c r="C18" s="134">
        <v>266.72</v>
      </c>
      <c r="D18" s="134">
        <v>-226.08</v>
      </c>
    </row>
    <row r="19" customHeight="1" spans="1:4">
      <c r="A19" s="158">
        <v>44532</v>
      </c>
      <c r="B19" s="134">
        <v>363.82</v>
      </c>
      <c r="C19" s="134">
        <v>298.94</v>
      </c>
      <c r="D19" s="134">
        <v>-159.01</v>
      </c>
    </row>
    <row r="20" customHeight="1" spans="1:4">
      <c r="A20" s="158">
        <v>44539</v>
      </c>
      <c r="B20" s="134">
        <v>269.134</v>
      </c>
      <c r="C20" s="134">
        <v>212.0065</v>
      </c>
      <c r="D20" s="134">
        <v>-242.4745</v>
      </c>
    </row>
    <row r="21" customHeight="1" spans="1:4">
      <c r="A21" s="158">
        <v>44546</v>
      </c>
      <c r="B21" s="134">
        <v>84.4534999999998</v>
      </c>
      <c r="C21" s="134">
        <v>30.2519999999998</v>
      </c>
      <c r="D21" s="134">
        <v>-394.5365</v>
      </c>
    </row>
    <row r="22" customHeight="1" spans="1:4">
      <c r="A22" s="158">
        <v>44553</v>
      </c>
      <c r="B22" s="134">
        <v>52.39</v>
      </c>
      <c r="C22" s="134">
        <v>-2.49</v>
      </c>
      <c r="D22" s="134">
        <v>-399.17</v>
      </c>
    </row>
    <row r="23" customHeight="1" spans="1:4">
      <c r="A23" s="158">
        <v>44560</v>
      </c>
      <c r="B23" s="134">
        <v>49.48</v>
      </c>
      <c r="C23" s="134">
        <v>2.47</v>
      </c>
      <c r="D23" s="134">
        <v>-48.24</v>
      </c>
    </row>
    <row r="24" customHeight="1" spans="1:4">
      <c r="A24" s="158">
        <v>44567</v>
      </c>
      <c r="B24" s="134">
        <v>23.3</v>
      </c>
      <c r="C24" s="134">
        <v>-23.3</v>
      </c>
      <c r="D24" s="134">
        <v>-73.58</v>
      </c>
    </row>
    <row r="25" customHeight="1" spans="1:4">
      <c r="A25" s="158">
        <v>44574</v>
      </c>
      <c r="B25" s="134">
        <v>-136.39</v>
      </c>
      <c r="C25" s="134">
        <v>-190.71</v>
      </c>
      <c r="D25" s="134">
        <v>-207.6</v>
      </c>
    </row>
    <row r="26" customHeight="1" spans="1:4">
      <c r="A26" s="158">
        <v>44581</v>
      </c>
      <c r="B26" s="134">
        <v>-159.93</v>
      </c>
      <c r="C26" s="134">
        <v>-213.64</v>
      </c>
      <c r="D26" s="134">
        <v>-230.35</v>
      </c>
    </row>
    <row r="27" customFormat="1" customHeight="1" spans="1:4">
      <c r="A27" s="158">
        <v>44587</v>
      </c>
      <c r="B27" s="134">
        <v>-153.97</v>
      </c>
      <c r="C27" s="134">
        <v>-207.27</v>
      </c>
      <c r="D27" s="134">
        <v>-225.04</v>
      </c>
    </row>
    <row r="28" s="8" customFormat="1" customHeight="1" spans="1:4">
      <c r="A28" s="158">
        <v>44602</v>
      </c>
      <c r="B28" s="134">
        <v>-153.97</v>
      </c>
      <c r="C28" s="134">
        <v>-187.14</v>
      </c>
      <c r="D28" s="134">
        <v>-80.54</v>
      </c>
    </row>
    <row r="29" s="8" customFormat="1" customHeight="1" spans="1:4">
      <c r="A29" s="158">
        <v>44609</v>
      </c>
      <c r="B29" s="134">
        <v>-340.06</v>
      </c>
      <c r="C29" s="134">
        <v>-393.82</v>
      </c>
      <c r="D29" s="134">
        <v>-289.81</v>
      </c>
    </row>
    <row r="30" customHeight="1" spans="1:4">
      <c r="A30" s="158">
        <v>44616</v>
      </c>
      <c r="B30" s="134">
        <v>-288.84</v>
      </c>
      <c r="C30" s="134">
        <v>-329.7708</v>
      </c>
      <c r="D30" s="134">
        <v>-224.5248</v>
      </c>
    </row>
    <row r="31" customHeight="1" spans="1:4">
      <c r="A31" s="158">
        <v>44623</v>
      </c>
      <c r="B31" s="134">
        <v>-306.54</v>
      </c>
      <c r="C31" s="134">
        <v>-424.402</v>
      </c>
      <c r="D31" s="134">
        <v>-258.2805</v>
      </c>
    </row>
    <row r="32" customFormat="1" customHeight="1" spans="1:4">
      <c r="A32" s="158">
        <v>44630</v>
      </c>
      <c r="B32" s="134">
        <v>-335.62</v>
      </c>
      <c r="C32" s="134">
        <v>-375.65</v>
      </c>
      <c r="D32" s="134">
        <v>-207.26</v>
      </c>
    </row>
    <row r="33" customFormat="1" customHeight="1" spans="1:4">
      <c r="A33" s="158">
        <v>44637</v>
      </c>
      <c r="B33" s="134">
        <v>-378.61</v>
      </c>
      <c r="C33" s="134">
        <v>-409.18</v>
      </c>
      <c r="D33" s="134">
        <v>-165.79</v>
      </c>
    </row>
    <row r="34" customHeight="1" spans="1:4">
      <c r="A34" s="158">
        <v>44644</v>
      </c>
      <c r="B34" s="134">
        <v>-391.92</v>
      </c>
      <c r="C34" s="134">
        <v>-422.42</v>
      </c>
      <c r="D34" s="134">
        <v>-178.36</v>
      </c>
    </row>
    <row r="35" customHeight="1" spans="1:4">
      <c r="A35" s="158">
        <v>44651</v>
      </c>
      <c r="B35" s="134">
        <v>-367.95</v>
      </c>
      <c r="C35" s="134">
        <v>-387.87</v>
      </c>
      <c r="D35" s="134">
        <v>-117.18</v>
      </c>
    </row>
    <row r="36" customHeight="1" spans="1:4">
      <c r="A36" s="158">
        <v>44658</v>
      </c>
      <c r="B36" s="134">
        <v>-338.39</v>
      </c>
      <c r="C36" s="134">
        <v>-358.3</v>
      </c>
      <c r="D36" s="134">
        <v>-87.82</v>
      </c>
    </row>
    <row r="37" s="91" customFormat="1" customHeight="1" spans="1:4">
      <c r="A37" s="158">
        <v>44665</v>
      </c>
      <c r="B37" s="134">
        <v>-364.06</v>
      </c>
      <c r="C37" s="134">
        <v>-383.96</v>
      </c>
      <c r="D37" s="134">
        <v>-113.55</v>
      </c>
    </row>
    <row r="38" customHeight="1" spans="1:4">
      <c r="A38" s="158">
        <v>44672</v>
      </c>
      <c r="B38" s="134">
        <v>-243.84</v>
      </c>
      <c r="C38" s="134">
        <v>-262.6</v>
      </c>
      <c r="D38" s="134">
        <v>1.17</v>
      </c>
    </row>
    <row r="39" s="91" customFormat="1" customHeight="1" spans="1:4">
      <c r="A39" s="158">
        <v>44679</v>
      </c>
      <c r="B39" s="134">
        <v>-126.5</v>
      </c>
      <c r="C39" s="134">
        <v>-145.24</v>
      </c>
      <c r="D39" s="134">
        <v>118.3</v>
      </c>
    </row>
    <row r="40" customFormat="1" customHeight="1" spans="1:4">
      <c r="A40" s="158">
        <v>44686</v>
      </c>
      <c r="B40" s="134">
        <v>-89.44</v>
      </c>
      <c r="C40" s="134">
        <v>-108.27</v>
      </c>
      <c r="D40" s="134">
        <v>156.53</v>
      </c>
    </row>
    <row r="41" s="91" customFormat="1" customHeight="1" spans="1:4">
      <c r="A41" s="158">
        <v>44693</v>
      </c>
      <c r="B41" s="134">
        <v>-72.03</v>
      </c>
      <c r="C41" s="134">
        <v>-90.92</v>
      </c>
      <c r="D41" s="134">
        <v>174.77</v>
      </c>
    </row>
    <row r="42" s="91" customFormat="1" customHeight="1" spans="1:4">
      <c r="A42" s="158">
        <v>44700</v>
      </c>
      <c r="B42" s="134">
        <v>-20.34</v>
      </c>
      <c r="C42" s="134">
        <v>-39.47</v>
      </c>
      <c r="D42" s="134">
        <v>227.28</v>
      </c>
    </row>
    <row r="43" s="91" customFormat="1" customHeight="1" spans="1:4">
      <c r="A43" s="158">
        <v>44707</v>
      </c>
      <c r="B43" s="134">
        <v>9.66</v>
      </c>
      <c r="C43" s="134">
        <v>-9.66</v>
      </c>
      <c r="D43" s="134">
        <v>259.53</v>
      </c>
    </row>
    <row r="44" s="91" customFormat="1" customHeight="1" spans="1:4">
      <c r="A44" s="158">
        <v>44714</v>
      </c>
      <c r="B44" s="134">
        <v>-12.22</v>
      </c>
      <c r="C44" s="134">
        <v>-26.88</v>
      </c>
      <c r="D44" s="134">
        <v>68.42</v>
      </c>
    </row>
    <row r="45" s="91" customFormat="1" customHeight="1" spans="1:4">
      <c r="A45" s="158">
        <v>44721</v>
      </c>
      <c r="B45" s="134">
        <v>-9.86</v>
      </c>
      <c r="C45" s="134">
        <v>-69</v>
      </c>
      <c r="D45" s="134">
        <v>27.11</v>
      </c>
    </row>
    <row r="46" customHeight="1" spans="1:4">
      <c r="A46" s="158">
        <v>44728</v>
      </c>
      <c r="B46" s="134">
        <v>38.65</v>
      </c>
      <c r="C46" s="134">
        <v>-46.14</v>
      </c>
      <c r="D46" s="134">
        <v>48.63</v>
      </c>
    </row>
    <row r="47" s="91" customFormat="1" customHeight="1" spans="1:4">
      <c r="A47" s="158">
        <v>44735</v>
      </c>
      <c r="B47" s="134">
        <v>66.55</v>
      </c>
      <c r="C47" s="134">
        <v>50.22</v>
      </c>
      <c r="D47" s="134">
        <v>145.65</v>
      </c>
    </row>
    <row r="48" s="91" customFormat="1" customHeight="1" spans="1:4">
      <c r="A48" s="158">
        <v>44742</v>
      </c>
      <c r="B48" s="134">
        <v>338.74</v>
      </c>
      <c r="C48" s="134">
        <v>322.43</v>
      </c>
      <c r="D48" s="134">
        <v>417.78</v>
      </c>
    </row>
    <row r="49" s="91" customFormat="1" customHeight="1" spans="1:4">
      <c r="A49" s="158">
        <v>44749</v>
      </c>
      <c r="B49" s="134">
        <v>739.51</v>
      </c>
      <c r="C49" s="134">
        <v>723.21</v>
      </c>
      <c r="D49" s="134">
        <v>805.94</v>
      </c>
    </row>
    <row r="50" s="91" customFormat="1" customHeight="1" spans="1:4">
      <c r="A50" s="158">
        <v>44756</v>
      </c>
      <c r="B50" s="134">
        <v>799.12</v>
      </c>
      <c r="C50" s="134">
        <v>782.81</v>
      </c>
      <c r="D50" s="134">
        <v>855.57</v>
      </c>
    </row>
    <row r="51" s="91" customFormat="1" customHeight="1" spans="1:4">
      <c r="A51" s="158">
        <v>44763</v>
      </c>
      <c r="B51" s="134">
        <v>746.47</v>
      </c>
      <c r="C51" s="134">
        <v>723.81</v>
      </c>
      <c r="D51" s="134">
        <v>813.18</v>
      </c>
    </row>
    <row r="52" s="91" customFormat="1" customHeight="1" spans="1:4">
      <c r="A52" s="158">
        <v>44770</v>
      </c>
      <c r="B52" s="134">
        <v>608.85</v>
      </c>
      <c r="C52" s="134">
        <v>584.8</v>
      </c>
      <c r="D52" s="134">
        <v>674.67</v>
      </c>
    </row>
    <row r="53" customHeight="1" spans="1:4">
      <c r="A53" s="158">
        <v>44777</v>
      </c>
      <c r="B53" s="134">
        <v>645.1</v>
      </c>
      <c r="C53" s="134">
        <v>616.01</v>
      </c>
      <c r="D53" s="134">
        <v>694.43</v>
      </c>
    </row>
    <row r="54" customHeight="1" spans="1:4">
      <c r="A54" s="158">
        <v>44784</v>
      </c>
      <c r="B54" s="134">
        <v>625.45</v>
      </c>
      <c r="C54" s="134">
        <v>596.33</v>
      </c>
      <c r="D54" s="134">
        <v>674.83</v>
      </c>
    </row>
    <row r="55" customHeight="1" spans="1:4">
      <c r="A55" s="158">
        <v>44791</v>
      </c>
      <c r="B55" s="134">
        <v>626.47</v>
      </c>
      <c r="C55" s="134">
        <v>597.36</v>
      </c>
      <c r="D55" s="134">
        <v>675.83</v>
      </c>
    </row>
    <row r="56" customHeight="1" spans="1:4">
      <c r="A56" s="158">
        <v>44798</v>
      </c>
      <c r="B56" s="134">
        <v>673.96</v>
      </c>
      <c r="C56" s="134">
        <v>646.2</v>
      </c>
      <c r="D56" s="134">
        <v>719.4</v>
      </c>
    </row>
    <row r="57" customHeight="1" spans="1:4">
      <c r="A57" s="158">
        <v>44805</v>
      </c>
      <c r="B57" s="134">
        <v>837.88</v>
      </c>
      <c r="C57" s="134">
        <v>810</v>
      </c>
      <c r="D57" s="134">
        <v>877.18</v>
      </c>
    </row>
    <row r="58" customHeight="1" spans="1:4">
      <c r="A58" s="158">
        <v>44812</v>
      </c>
      <c r="B58" s="134">
        <v>857.33</v>
      </c>
      <c r="C58" s="134">
        <v>829.31</v>
      </c>
      <c r="D58" s="134">
        <v>896.83</v>
      </c>
    </row>
    <row r="59" customHeight="1" spans="1:4">
      <c r="A59" s="158">
        <v>44819</v>
      </c>
      <c r="B59" s="134">
        <v>850.02</v>
      </c>
      <c r="C59" s="134">
        <v>821.99</v>
      </c>
      <c r="D59" s="134">
        <v>857.67</v>
      </c>
    </row>
    <row r="60" customHeight="1" spans="1:4">
      <c r="A60" s="158">
        <v>44826</v>
      </c>
      <c r="B60" s="134">
        <v>910.43</v>
      </c>
      <c r="C60" s="134">
        <v>882.3</v>
      </c>
      <c r="D60" s="134">
        <v>918.11</v>
      </c>
    </row>
    <row r="61" customHeight="1" spans="1:4">
      <c r="A61" s="158">
        <v>44833</v>
      </c>
      <c r="B61" s="134">
        <v>958.41</v>
      </c>
      <c r="C61" s="134">
        <v>930.22</v>
      </c>
      <c r="D61" s="134">
        <v>953.29</v>
      </c>
    </row>
    <row r="62" customHeight="1" spans="1:4">
      <c r="A62" s="158">
        <v>44842</v>
      </c>
      <c r="B62" s="134">
        <v>1158.1</v>
      </c>
      <c r="C62" s="134">
        <v>1129.88</v>
      </c>
      <c r="D62" s="134">
        <v>1149.12</v>
      </c>
    </row>
    <row r="63" customHeight="1" spans="1:4">
      <c r="A63" s="158">
        <v>44847</v>
      </c>
      <c r="B63" s="134">
        <v>1197.93</v>
      </c>
      <c r="C63" s="134">
        <v>1174.75</v>
      </c>
      <c r="D63" s="134">
        <v>1169.59</v>
      </c>
    </row>
    <row r="64" customHeight="1" spans="1:4">
      <c r="A64" s="158">
        <v>44854</v>
      </c>
      <c r="B64" s="134">
        <v>1365.42</v>
      </c>
      <c r="C64" s="134">
        <v>1343</v>
      </c>
      <c r="D64" s="134">
        <v>1337.4</v>
      </c>
    </row>
    <row r="65" customHeight="1" spans="1:4">
      <c r="A65" s="158">
        <v>44861</v>
      </c>
      <c r="B65" s="134">
        <v>1281.36</v>
      </c>
      <c r="C65" s="134">
        <v>1259.35</v>
      </c>
      <c r="D65" s="134">
        <v>1242.53</v>
      </c>
    </row>
    <row r="66" customHeight="1" spans="1:4">
      <c r="A66" s="158">
        <v>44868</v>
      </c>
      <c r="B66" s="134">
        <v>1094.58</v>
      </c>
      <c r="C66" s="134">
        <v>1072.54</v>
      </c>
      <c r="D66" s="134">
        <v>1055.68</v>
      </c>
    </row>
    <row r="67" customHeight="1" spans="1:4">
      <c r="A67" s="158">
        <v>44875</v>
      </c>
      <c r="B67" s="134">
        <v>985.78</v>
      </c>
      <c r="C67" s="134">
        <v>954.57</v>
      </c>
      <c r="D67" s="134">
        <v>944.16</v>
      </c>
    </row>
    <row r="68" customHeight="1" spans="1:4">
      <c r="A68" s="158">
        <v>44882</v>
      </c>
      <c r="B68" s="134">
        <v>872.27</v>
      </c>
      <c r="C68" s="134">
        <v>841.03</v>
      </c>
      <c r="D68" s="134">
        <v>830.61</v>
      </c>
    </row>
    <row r="69" customHeight="1" spans="1:4">
      <c r="A69" s="158">
        <v>44889</v>
      </c>
      <c r="B69" s="134">
        <v>738.86</v>
      </c>
      <c r="C69" s="134">
        <v>707.53</v>
      </c>
      <c r="D69" s="134">
        <v>664.45</v>
      </c>
    </row>
    <row r="70" customHeight="1" spans="1:4">
      <c r="A70" s="158">
        <v>44896</v>
      </c>
      <c r="B70" s="134">
        <v>551.22</v>
      </c>
      <c r="C70" s="134">
        <v>519.87</v>
      </c>
      <c r="D70" s="134">
        <v>475.46</v>
      </c>
    </row>
    <row r="71" customHeight="1" spans="1:4">
      <c r="A71" s="158">
        <v>44903</v>
      </c>
      <c r="B71" s="134">
        <v>605.1</v>
      </c>
      <c r="C71" s="134">
        <v>573.94</v>
      </c>
      <c r="D71" s="134">
        <v>523.3</v>
      </c>
    </row>
    <row r="72" customHeight="1" spans="1:4">
      <c r="A72" s="158">
        <v>44910</v>
      </c>
      <c r="B72" s="134">
        <v>214.26</v>
      </c>
      <c r="C72" s="134">
        <v>183.28</v>
      </c>
      <c r="D72" s="134">
        <v>132.94</v>
      </c>
    </row>
    <row r="73" customHeight="1" spans="1:4">
      <c r="A73" s="158">
        <v>44917</v>
      </c>
      <c r="B73" s="134">
        <v>-94.93</v>
      </c>
      <c r="C73" s="134">
        <v>-115.45</v>
      </c>
      <c r="D73" s="134">
        <v>-177.03</v>
      </c>
    </row>
    <row r="74" customHeight="1" spans="1:4">
      <c r="A74" s="158">
        <v>44924</v>
      </c>
      <c r="B74" s="134">
        <v>-44.55</v>
      </c>
      <c r="C74" s="134">
        <v>-64.92</v>
      </c>
      <c r="D74" s="134">
        <v>-128.57</v>
      </c>
    </row>
    <row r="75" customHeight="1" spans="1:4">
      <c r="A75" s="158">
        <v>44931</v>
      </c>
      <c r="B75" s="248">
        <v>-248.34</v>
      </c>
      <c r="C75" s="248">
        <v>-268.51</v>
      </c>
      <c r="D75" s="248">
        <v>-376.92</v>
      </c>
    </row>
    <row r="76" customHeight="1" spans="1:4">
      <c r="A76" s="158">
        <v>44938</v>
      </c>
      <c r="B76" s="248">
        <v>-207.98</v>
      </c>
      <c r="C76" s="248">
        <v>-227.91</v>
      </c>
      <c r="D76" s="248">
        <v>-353.69</v>
      </c>
    </row>
    <row r="77" customHeight="1" spans="1:4">
      <c r="A77" s="158">
        <v>44959</v>
      </c>
      <c r="B77" s="248">
        <v>-247.78</v>
      </c>
      <c r="C77" s="248">
        <v>-281.63</v>
      </c>
      <c r="D77" s="248">
        <v>-395.24</v>
      </c>
    </row>
    <row r="78" customHeight="1" spans="1:4">
      <c r="A78" s="158">
        <v>44966</v>
      </c>
      <c r="B78" s="248">
        <v>-273.84</v>
      </c>
      <c r="C78" s="248">
        <v>-306.56</v>
      </c>
      <c r="D78" s="248">
        <v>-419.25</v>
      </c>
    </row>
    <row r="79" customHeight="1" spans="1:4">
      <c r="A79" s="158">
        <v>44973</v>
      </c>
      <c r="B79" s="248">
        <v>-207.68</v>
      </c>
      <c r="C79" s="248">
        <v>-238.04</v>
      </c>
      <c r="D79" s="248">
        <v>-348.56</v>
      </c>
    </row>
    <row r="80" customHeight="1" spans="1:4">
      <c r="A80" s="158">
        <v>44980</v>
      </c>
      <c r="B80" s="103">
        <v>-37.27</v>
      </c>
      <c r="C80" s="103">
        <v>-68.53</v>
      </c>
      <c r="D80" s="103">
        <v>-188.76</v>
      </c>
    </row>
    <row r="81" customHeight="1" spans="1:4">
      <c r="A81" s="158">
        <v>44987</v>
      </c>
      <c r="B81" s="248">
        <v>15.7</v>
      </c>
      <c r="C81" s="248">
        <v>-15.7</v>
      </c>
      <c r="D81" s="248">
        <v>-135.25</v>
      </c>
    </row>
    <row r="82" customHeight="1" spans="1:4">
      <c r="A82" s="158">
        <v>44994</v>
      </c>
      <c r="B82" s="248">
        <v>-12.11</v>
      </c>
      <c r="C82" s="248">
        <v>-43.6</v>
      </c>
      <c r="D82" s="248">
        <v>-162.29</v>
      </c>
    </row>
    <row r="83" customHeight="1" spans="1:4">
      <c r="A83" s="158">
        <v>45001</v>
      </c>
      <c r="B83" s="248">
        <v>-78.11</v>
      </c>
      <c r="C83" s="248">
        <v>-109.85</v>
      </c>
      <c r="D83" s="248">
        <v>-229.45</v>
      </c>
    </row>
    <row r="84" customHeight="1" spans="1:4">
      <c r="A84" s="158">
        <v>45008</v>
      </c>
      <c r="B84" s="248">
        <v>-80.73</v>
      </c>
      <c r="C84" s="248">
        <v>-111.31</v>
      </c>
      <c r="D84" s="248">
        <v>-237.3</v>
      </c>
    </row>
    <row r="85" customHeight="1" spans="1:4">
      <c r="A85" s="158">
        <v>45015</v>
      </c>
      <c r="B85" s="134">
        <v>-84.57</v>
      </c>
      <c r="C85" s="134">
        <v>-110.3</v>
      </c>
      <c r="D85" s="134">
        <v>-240.22</v>
      </c>
    </row>
    <row r="86" customHeight="1" spans="1:4">
      <c r="A86" s="158">
        <v>45022</v>
      </c>
      <c r="B86" s="248">
        <v>-124.01</v>
      </c>
      <c r="C86" s="248">
        <v>-146.11</v>
      </c>
      <c r="D86" s="248">
        <v>-279.94</v>
      </c>
    </row>
    <row r="87" customHeight="1" spans="1:4">
      <c r="A87" s="158">
        <v>45029</v>
      </c>
      <c r="B87" s="248">
        <v>-157.26</v>
      </c>
      <c r="C87" s="248">
        <v>-179.38</v>
      </c>
      <c r="D87" s="248">
        <v>-307.15</v>
      </c>
    </row>
    <row r="88" customHeight="1" spans="1:4">
      <c r="A88" s="158">
        <v>45036</v>
      </c>
      <c r="B88" s="248">
        <v>-187.79</v>
      </c>
      <c r="C88" s="248">
        <v>-209.89</v>
      </c>
      <c r="D88" s="248">
        <v>-336.31</v>
      </c>
    </row>
    <row r="89" customHeight="1" spans="1:4">
      <c r="A89" s="158">
        <v>45043</v>
      </c>
      <c r="B89" s="248">
        <v>-100.56</v>
      </c>
      <c r="C89" s="248">
        <v>-126.32</v>
      </c>
      <c r="D89" s="248">
        <v>-244.05</v>
      </c>
    </row>
    <row r="90" customHeight="1" spans="1:4">
      <c r="A90" s="158">
        <v>45050</v>
      </c>
      <c r="B90" s="248">
        <v>-130</v>
      </c>
      <c r="C90" s="248">
        <v>-155.75</v>
      </c>
      <c r="D90" s="248">
        <v>-284.52</v>
      </c>
    </row>
    <row r="91" customHeight="1" spans="1:4">
      <c r="A91" s="158">
        <v>45057</v>
      </c>
      <c r="B91" s="248">
        <v>-167.95</v>
      </c>
      <c r="C91" s="248">
        <v>-193.69</v>
      </c>
      <c r="D91" s="248">
        <v>-340.8</v>
      </c>
    </row>
    <row r="92" customHeight="1" spans="1:4">
      <c r="A92" s="158">
        <v>45064</v>
      </c>
      <c r="B92" s="248">
        <v>-184.64</v>
      </c>
      <c r="C92" s="248">
        <v>-210.32</v>
      </c>
      <c r="D92" s="248">
        <v>-369.29</v>
      </c>
    </row>
    <row r="93" customHeight="1" spans="1:4">
      <c r="A93" s="158">
        <v>45071</v>
      </c>
      <c r="B93" s="248">
        <v>-191.66</v>
      </c>
      <c r="C93" s="248">
        <v>-226.31</v>
      </c>
      <c r="D93" s="248">
        <v>-395.6</v>
      </c>
    </row>
    <row r="94" customHeight="1" spans="1:4">
      <c r="A94" s="158">
        <v>45078</v>
      </c>
      <c r="B94" s="248">
        <v>-156.84</v>
      </c>
      <c r="C94" s="248">
        <v>-182.37</v>
      </c>
      <c r="D94" s="248">
        <v>-312.46</v>
      </c>
    </row>
    <row r="95" customHeight="1" spans="1:4">
      <c r="A95" s="158">
        <v>45085</v>
      </c>
      <c r="B95" s="248">
        <v>-125.02</v>
      </c>
      <c r="C95" s="248">
        <v>-150.51</v>
      </c>
      <c r="D95" s="248">
        <v>-280.39</v>
      </c>
    </row>
    <row r="96" customHeight="1" spans="1:4">
      <c r="A96" s="158">
        <v>45092</v>
      </c>
      <c r="B96" s="248">
        <v>-122.48</v>
      </c>
      <c r="C96" s="248">
        <v>-150.37</v>
      </c>
      <c r="D96" s="248">
        <v>-284.98</v>
      </c>
    </row>
    <row r="97" customHeight="1" spans="1:4">
      <c r="A97" s="158">
        <v>45098</v>
      </c>
      <c r="B97" s="248">
        <v>-105.17</v>
      </c>
      <c r="C97" s="248">
        <v>-132.98</v>
      </c>
      <c r="D97" s="248">
        <v>-267.17</v>
      </c>
    </row>
    <row r="98" customHeight="1" spans="1:4">
      <c r="A98" s="158">
        <v>45106</v>
      </c>
      <c r="B98" s="248">
        <v>-160.34</v>
      </c>
      <c r="C98" s="248">
        <v>-188.07</v>
      </c>
      <c r="D98" s="248">
        <v>-321.9</v>
      </c>
    </row>
    <row r="99" customHeight="1" spans="1:4">
      <c r="A99" s="158">
        <v>45113</v>
      </c>
      <c r="B99" s="248">
        <v>-152.83</v>
      </c>
      <c r="C99" s="248">
        <v>-180.51</v>
      </c>
      <c r="D99" s="248">
        <v>-275.58</v>
      </c>
    </row>
    <row r="100" customHeight="1" spans="1:4">
      <c r="A100" s="158">
        <v>45120</v>
      </c>
      <c r="B100" s="248">
        <v>-145.45</v>
      </c>
      <c r="C100" s="248">
        <v>-173.1</v>
      </c>
      <c r="D100" s="248">
        <v>-212.77</v>
      </c>
    </row>
    <row r="101" customHeight="1" spans="1:4">
      <c r="A101" s="158">
        <v>45127</v>
      </c>
      <c r="B101" s="248">
        <v>-162.15</v>
      </c>
      <c r="C101" s="248">
        <v>-189.77</v>
      </c>
      <c r="D101" s="248">
        <v>-307.48</v>
      </c>
    </row>
    <row r="102" customHeight="1" spans="1:4">
      <c r="A102" s="158">
        <v>45134</v>
      </c>
      <c r="B102" s="248">
        <v>-88.84</v>
      </c>
      <c r="C102" s="248">
        <v>-116.46</v>
      </c>
      <c r="D102" s="248">
        <v>-278.54</v>
      </c>
    </row>
    <row r="103" customHeight="1" spans="1:4">
      <c r="A103" s="158">
        <v>45141</v>
      </c>
      <c r="B103" s="248">
        <v>128.86</v>
      </c>
      <c r="C103" s="248">
        <v>99.96</v>
      </c>
      <c r="D103" s="248">
        <v>-132.47</v>
      </c>
    </row>
    <row r="104" customHeight="1" spans="1:4">
      <c r="A104" s="158">
        <v>45148</v>
      </c>
      <c r="B104" s="248">
        <v>237.81</v>
      </c>
      <c r="C104" s="248">
        <v>212.33</v>
      </c>
      <c r="D104" s="248">
        <v>-21.84</v>
      </c>
    </row>
    <row r="105" customHeight="1" spans="1:4">
      <c r="A105" s="158">
        <v>45155</v>
      </c>
      <c r="B105" s="248">
        <v>205.35</v>
      </c>
      <c r="C105" s="248">
        <v>179.83</v>
      </c>
      <c r="D105" s="248">
        <v>-53.46</v>
      </c>
    </row>
    <row r="106" customHeight="1" spans="1:4">
      <c r="A106" s="158">
        <v>45162</v>
      </c>
      <c r="B106" s="248">
        <v>190.69</v>
      </c>
      <c r="C106" s="248">
        <v>165.02</v>
      </c>
      <c r="D106" s="248">
        <v>-74.57</v>
      </c>
    </row>
    <row r="107" customHeight="1" spans="1:4">
      <c r="A107" s="158">
        <v>45169</v>
      </c>
      <c r="B107" s="248">
        <v>197.21</v>
      </c>
      <c r="C107" s="248">
        <v>171.49</v>
      </c>
      <c r="D107" s="248">
        <v>-11.02</v>
      </c>
    </row>
    <row r="108" customHeight="1" spans="1:4">
      <c r="A108" s="158">
        <v>45176</v>
      </c>
      <c r="B108" s="248">
        <v>142.48</v>
      </c>
      <c r="C108" s="248">
        <v>116.69</v>
      </c>
      <c r="D108" s="248">
        <v>-44.22</v>
      </c>
    </row>
    <row r="109" customHeight="1" spans="1:4">
      <c r="A109" s="158">
        <v>45183</v>
      </c>
      <c r="B109" s="248">
        <v>97.02</v>
      </c>
      <c r="C109" s="248">
        <v>71.23</v>
      </c>
      <c r="D109" s="248">
        <v>-78.6</v>
      </c>
    </row>
    <row r="110" customHeight="1" spans="1:4">
      <c r="A110" s="158">
        <v>45190</v>
      </c>
      <c r="B110" s="248">
        <v>82.41</v>
      </c>
      <c r="C110" s="248">
        <v>57.81</v>
      </c>
      <c r="D110" s="248">
        <v>-81.18</v>
      </c>
    </row>
    <row r="111" customHeight="1" spans="1:4">
      <c r="A111" s="158">
        <v>45197</v>
      </c>
      <c r="B111" s="248">
        <v>44.44</v>
      </c>
      <c r="C111" s="248">
        <v>18.52</v>
      </c>
      <c r="D111" s="248">
        <v>-119.75</v>
      </c>
    </row>
    <row r="112" customHeight="1" spans="1:4">
      <c r="A112" s="158">
        <v>45205</v>
      </c>
      <c r="B112" s="248">
        <v>23.41</v>
      </c>
      <c r="C112" s="248">
        <v>-4.93</v>
      </c>
      <c r="D112" s="248">
        <v>-144.17</v>
      </c>
    </row>
    <row r="113" customHeight="1" spans="1:4">
      <c r="A113" s="158">
        <v>45211</v>
      </c>
      <c r="B113" s="248">
        <v>-25.83</v>
      </c>
      <c r="C113" s="248">
        <v>-54.13</v>
      </c>
      <c r="D113" s="248">
        <v>-221.44</v>
      </c>
    </row>
    <row r="114" customHeight="1" spans="1:4">
      <c r="A114" s="158">
        <v>45218</v>
      </c>
      <c r="B114" s="248">
        <v>14.71</v>
      </c>
      <c r="C114" s="248">
        <v>-13.48</v>
      </c>
      <c r="D114" s="248">
        <v>-219.44</v>
      </c>
    </row>
    <row r="115" customHeight="1" spans="1:4">
      <c r="A115" s="158">
        <v>45225</v>
      </c>
      <c r="B115" s="248">
        <v>-30.47</v>
      </c>
      <c r="C115" s="248">
        <v>-58.5</v>
      </c>
      <c r="D115" s="248">
        <v>-265.7</v>
      </c>
    </row>
    <row r="116" customHeight="1" spans="1:4">
      <c r="A116" s="158">
        <v>45232</v>
      </c>
      <c r="B116" s="248">
        <v>-132.97</v>
      </c>
      <c r="C116" s="248">
        <v>-161.03</v>
      </c>
      <c r="D116" s="248">
        <v>-334.25</v>
      </c>
    </row>
    <row r="117" customHeight="1" spans="1:4">
      <c r="A117" s="158">
        <v>45239</v>
      </c>
      <c r="B117" s="248">
        <v>-57.34</v>
      </c>
      <c r="C117" s="248">
        <v>-85.4</v>
      </c>
      <c r="D117" s="248">
        <v>-174.46</v>
      </c>
    </row>
    <row r="118" customHeight="1" spans="1:4">
      <c r="A118" s="158">
        <v>45246</v>
      </c>
      <c r="B118" s="248">
        <v>-99.8</v>
      </c>
      <c r="C118" s="248">
        <v>-126.91</v>
      </c>
      <c r="D118" s="248">
        <v>-177.42</v>
      </c>
    </row>
    <row r="119" customHeight="1" spans="1:4">
      <c r="A119" s="158">
        <v>45253</v>
      </c>
      <c r="B119" s="248">
        <v>-40.85</v>
      </c>
      <c r="C119" s="248">
        <v>-69.32</v>
      </c>
      <c r="D119" s="248">
        <v>-107.7</v>
      </c>
    </row>
    <row r="120" customHeight="1" spans="1:4">
      <c r="A120" s="158">
        <v>45260</v>
      </c>
      <c r="B120" s="248">
        <v>-106.64</v>
      </c>
      <c r="C120" s="248">
        <v>-128.96</v>
      </c>
      <c r="D120" s="248">
        <v>-135.16</v>
      </c>
    </row>
    <row r="121" customHeight="1" spans="1:4">
      <c r="A121" s="158">
        <v>45267</v>
      </c>
      <c r="B121" s="248">
        <v>-134.48</v>
      </c>
      <c r="C121" s="248">
        <v>-156.69</v>
      </c>
      <c r="D121" s="248">
        <v>-140.65</v>
      </c>
    </row>
    <row r="122" customHeight="1" spans="1:4">
      <c r="A122" s="158">
        <v>45274</v>
      </c>
      <c r="B122" s="248">
        <v>-122.4</v>
      </c>
      <c r="C122" s="248">
        <v>-144.66</v>
      </c>
      <c r="D122" s="248">
        <v>-122.4</v>
      </c>
    </row>
    <row r="123" customHeight="1" spans="1:4">
      <c r="A123" s="158">
        <v>45281</v>
      </c>
      <c r="B123" s="248">
        <v>-53.29</v>
      </c>
      <c r="C123" s="248">
        <v>-75.6</v>
      </c>
      <c r="D123" s="248">
        <v>-53.29</v>
      </c>
    </row>
    <row r="124" customHeight="1" spans="1:4">
      <c r="A124" s="158">
        <v>45288</v>
      </c>
      <c r="B124" s="248">
        <v>-74.54</v>
      </c>
      <c r="C124" s="248">
        <v>-100.63</v>
      </c>
      <c r="D124" s="248">
        <v>-89.45</v>
      </c>
    </row>
    <row r="125" customHeight="1" spans="1:4">
      <c r="A125" s="158">
        <v>45295</v>
      </c>
      <c r="B125" s="249">
        <v>-99.44</v>
      </c>
      <c r="C125" s="249">
        <v>-125.54</v>
      </c>
      <c r="D125" s="249">
        <v>-176.51</v>
      </c>
    </row>
    <row r="126" customHeight="1" spans="1:4">
      <c r="A126" s="158">
        <v>45302</v>
      </c>
      <c r="B126" s="248">
        <v>-153.15</v>
      </c>
      <c r="C126" s="248">
        <v>-179.09</v>
      </c>
      <c r="D126" s="248">
        <v>-233.43</v>
      </c>
    </row>
    <row r="127" customHeight="1" spans="1:4">
      <c r="A127" s="158">
        <v>45309</v>
      </c>
      <c r="B127" s="249">
        <v>-169.68</v>
      </c>
      <c r="C127" s="249">
        <v>-195.51</v>
      </c>
      <c r="D127" s="249">
        <v>-272.97</v>
      </c>
    </row>
    <row r="128" customHeight="1" spans="1:4">
      <c r="A128" s="158">
        <v>45316</v>
      </c>
      <c r="B128" s="249">
        <v>-99.2</v>
      </c>
      <c r="C128" s="249">
        <v>-124.92</v>
      </c>
      <c r="D128" s="249">
        <v>-183.71</v>
      </c>
    </row>
    <row r="129" customHeight="1" spans="1:4">
      <c r="A129" s="158">
        <v>45323</v>
      </c>
      <c r="B129" s="249">
        <v>66.37</v>
      </c>
      <c r="C129" s="249">
        <v>41.03</v>
      </c>
      <c r="D129" s="249">
        <v>69.99</v>
      </c>
    </row>
    <row r="130" customHeight="1" spans="1:4">
      <c r="A130" s="158">
        <v>45344</v>
      </c>
      <c r="B130" s="249">
        <v>-74.07</v>
      </c>
      <c r="C130" s="249">
        <v>-99.57</v>
      </c>
      <c r="D130" s="249">
        <v>-9.71</v>
      </c>
    </row>
    <row r="131" customHeight="1" spans="1:4">
      <c r="A131" s="158">
        <v>45351</v>
      </c>
      <c r="B131" s="249">
        <v>-102.24</v>
      </c>
      <c r="C131" s="249">
        <v>-129.02</v>
      </c>
      <c r="D131" s="249">
        <v>46.25</v>
      </c>
    </row>
    <row r="132" customHeight="1" spans="1:4">
      <c r="A132" s="158">
        <v>45358</v>
      </c>
      <c r="B132" s="249">
        <v>-47.88</v>
      </c>
      <c r="C132" s="249">
        <v>-73.66</v>
      </c>
      <c r="D132" s="249">
        <v>111.72</v>
      </c>
    </row>
    <row r="133" customHeight="1" spans="1:4">
      <c r="A133" s="158">
        <v>45365</v>
      </c>
      <c r="B133" s="249">
        <v>-12.35</v>
      </c>
      <c r="C133" s="249">
        <v>-38.28</v>
      </c>
      <c r="D133" s="249">
        <v>158.08</v>
      </c>
    </row>
    <row r="134" customHeight="1" spans="1:4">
      <c r="A134" s="158">
        <v>45372</v>
      </c>
      <c r="B134" s="249">
        <v>112.87</v>
      </c>
      <c r="C134" s="249">
        <v>88.06</v>
      </c>
      <c r="D134" s="249">
        <v>312.56</v>
      </c>
    </row>
    <row r="135" customHeight="1" spans="1:4">
      <c r="A135" s="158">
        <v>45379</v>
      </c>
      <c r="B135" s="249">
        <v>160.82</v>
      </c>
      <c r="C135" s="249">
        <v>135.89</v>
      </c>
      <c r="D135" s="249">
        <v>381.49</v>
      </c>
    </row>
    <row r="136" customHeight="1" spans="1:4">
      <c r="A136" s="158">
        <v>45385</v>
      </c>
      <c r="B136" s="249">
        <v>179.26</v>
      </c>
      <c r="C136" s="249">
        <v>154.19</v>
      </c>
      <c r="D136" s="249">
        <v>377.33</v>
      </c>
    </row>
    <row r="137" customHeight="1" spans="1:4">
      <c r="A137" s="158">
        <v>45393</v>
      </c>
      <c r="B137" s="249">
        <v>180.22</v>
      </c>
      <c r="C137" s="249">
        <v>156.28</v>
      </c>
      <c r="D137" s="249">
        <v>369.27</v>
      </c>
    </row>
    <row r="138" customHeight="1" spans="1:4">
      <c r="A138" s="158">
        <v>45400</v>
      </c>
      <c r="B138" s="249">
        <v>174.8</v>
      </c>
      <c r="C138" s="249">
        <v>149.47</v>
      </c>
      <c r="D138" s="249">
        <v>330.61</v>
      </c>
    </row>
    <row r="139" customHeight="1" spans="1:4">
      <c r="A139" s="158">
        <v>45407</v>
      </c>
      <c r="B139" s="249">
        <v>165.39</v>
      </c>
      <c r="C139" s="249">
        <v>140.14</v>
      </c>
      <c r="D139" s="249">
        <v>299.21</v>
      </c>
    </row>
    <row r="140" customHeight="1" spans="1:4">
      <c r="A140" s="158">
        <v>45414</v>
      </c>
      <c r="B140" s="249">
        <v>149.75</v>
      </c>
      <c r="C140" s="249">
        <v>125.84</v>
      </c>
      <c r="D140" s="249">
        <v>284.4</v>
      </c>
    </row>
    <row r="141" customHeight="1" spans="1:4">
      <c r="A141" s="158">
        <v>45421</v>
      </c>
      <c r="B141" s="249">
        <v>159.27</v>
      </c>
      <c r="C141" s="249">
        <v>134.19</v>
      </c>
      <c r="D141" s="249">
        <v>293.46</v>
      </c>
    </row>
    <row r="142" customHeight="1" spans="1:4">
      <c r="A142" s="158">
        <v>45428</v>
      </c>
      <c r="B142" s="249">
        <v>185.44</v>
      </c>
      <c r="C142" s="249">
        <v>160.38</v>
      </c>
      <c r="D142" s="249">
        <v>322.02</v>
      </c>
    </row>
    <row r="143" customHeight="1" spans="1:4">
      <c r="A143" s="158">
        <v>45435</v>
      </c>
      <c r="B143" s="249">
        <v>274.07</v>
      </c>
      <c r="C143" s="249">
        <v>248.93</v>
      </c>
      <c r="D143" s="249">
        <v>421.16</v>
      </c>
    </row>
    <row r="144" customHeight="1" spans="1:4">
      <c r="A144" s="158">
        <v>45442</v>
      </c>
      <c r="B144" s="249">
        <v>434.42</v>
      </c>
      <c r="C144" s="249">
        <v>409.24</v>
      </c>
      <c r="D144" s="249">
        <v>584.27</v>
      </c>
    </row>
    <row r="145" customHeight="1" spans="1:4">
      <c r="A145" s="158">
        <v>45449</v>
      </c>
      <c r="B145" s="249">
        <v>573.89</v>
      </c>
      <c r="C145" s="249">
        <v>548.67</v>
      </c>
      <c r="D145" s="249">
        <v>722.72</v>
      </c>
    </row>
    <row r="146" customHeight="1" spans="1:4">
      <c r="A146" s="158">
        <v>45456</v>
      </c>
      <c r="B146" s="249">
        <v>660.44</v>
      </c>
      <c r="C146" s="249">
        <v>635.19</v>
      </c>
      <c r="D146" s="249">
        <v>774.1</v>
      </c>
    </row>
    <row r="147" customHeight="1" spans="1:4">
      <c r="A147" s="158">
        <v>45463</v>
      </c>
      <c r="B147" s="249">
        <v>626.4</v>
      </c>
      <c r="C147" s="249">
        <v>601.14</v>
      </c>
      <c r="D147" s="249">
        <v>740.06</v>
      </c>
    </row>
    <row r="148" customHeight="1" spans="1:4">
      <c r="A148" s="158">
        <v>45470</v>
      </c>
      <c r="B148" s="249">
        <v>512.78</v>
      </c>
      <c r="C148" s="249">
        <v>487.58</v>
      </c>
      <c r="D148" s="249">
        <v>474.98</v>
      </c>
    </row>
    <row r="149" customHeight="1" spans="1:4">
      <c r="A149" s="158">
        <v>45477</v>
      </c>
      <c r="B149" s="249">
        <v>555.64</v>
      </c>
      <c r="C149" s="249">
        <v>530.5</v>
      </c>
      <c r="D149" s="249">
        <v>485.24</v>
      </c>
    </row>
    <row r="150" customHeight="1" spans="1:4">
      <c r="A150" s="158">
        <v>45484</v>
      </c>
      <c r="B150" s="249">
        <v>627.04</v>
      </c>
      <c r="C150" s="249">
        <v>601.91</v>
      </c>
      <c r="D150" s="249">
        <v>501.38</v>
      </c>
    </row>
    <row r="151" customHeight="1" spans="1:4">
      <c r="A151" s="158">
        <v>45491</v>
      </c>
      <c r="B151" s="249">
        <v>666.97</v>
      </c>
      <c r="C151" s="249">
        <v>641.89</v>
      </c>
      <c r="D151" s="249">
        <v>487.69</v>
      </c>
    </row>
    <row r="152" customHeight="1" spans="1:4">
      <c r="A152" s="158">
        <v>45498</v>
      </c>
      <c r="B152" s="249">
        <v>692.15</v>
      </c>
      <c r="C152" s="249">
        <v>667.07</v>
      </c>
      <c r="D152" s="249">
        <v>511.59</v>
      </c>
    </row>
    <row r="153" customHeight="1" spans="1:4">
      <c r="A153" s="158">
        <v>45505</v>
      </c>
      <c r="B153" s="249">
        <v>720.14</v>
      </c>
      <c r="C153" s="249">
        <v>695.05</v>
      </c>
      <c r="D153" s="249">
        <v>583.39</v>
      </c>
    </row>
    <row r="154" customHeight="1" spans="1:4">
      <c r="A154" s="158">
        <v>45512</v>
      </c>
      <c r="B154" s="249">
        <v>832.99</v>
      </c>
      <c r="C154" s="249">
        <v>807.83</v>
      </c>
      <c r="D154" s="249">
        <v>729.81</v>
      </c>
    </row>
    <row r="155" customHeight="1" spans="1:4">
      <c r="A155" s="158">
        <v>45519</v>
      </c>
      <c r="B155" s="249">
        <v>932.4</v>
      </c>
      <c r="C155" s="249">
        <v>907.16</v>
      </c>
      <c r="D155" s="249">
        <v>836.51</v>
      </c>
    </row>
    <row r="156" customHeight="1" spans="1:4">
      <c r="A156" s="158">
        <v>45526</v>
      </c>
      <c r="B156" s="249">
        <v>887.82</v>
      </c>
      <c r="C156" s="249">
        <v>862.53</v>
      </c>
      <c r="D156" s="249">
        <v>792.97</v>
      </c>
    </row>
    <row r="157" customHeight="1" spans="1:4">
      <c r="A157" s="158">
        <v>45533</v>
      </c>
      <c r="B157" s="249">
        <v>781.92</v>
      </c>
      <c r="C157" s="249">
        <v>757.85</v>
      </c>
      <c r="D157" s="249">
        <v>653.93</v>
      </c>
    </row>
    <row r="158" customHeight="1" spans="1:4">
      <c r="A158" s="158">
        <v>45540</v>
      </c>
      <c r="B158" s="249">
        <v>786.66</v>
      </c>
      <c r="C158" s="249">
        <v>761.41</v>
      </c>
      <c r="D158" s="249">
        <v>582.1</v>
      </c>
    </row>
    <row r="159" customHeight="1" spans="1:4">
      <c r="A159" s="158">
        <v>45547</v>
      </c>
      <c r="B159" s="249">
        <v>769.62</v>
      </c>
      <c r="C159" s="249">
        <v>744.42</v>
      </c>
      <c r="D159" s="249">
        <v>489.98</v>
      </c>
    </row>
    <row r="160" customHeight="1" spans="1:4">
      <c r="A160" s="158">
        <v>45554</v>
      </c>
      <c r="B160" s="249">
        <v>682.76</v>
      </c>
      <c r="C160" s="249">
        <v>657.56</v>
      </c>
      <c r="D160" s="249">
        <v>380.43</v>
      </c>
    </row>
    <row r="161" customHeight="1" spans="1:4">
      <c r="A161" s="158">
        <v>45561</v>
      </c>
      <c r="B161" s="249">
        <v>578.13</v>
      </c>
      <c r="C161" s="249">
        <v>554.25</v>
      </c>
      <c r="D161" s="249">
        <v>276.5</v>
      </c>
    </row>
    <row r="162" customHeight="1" spans="1:4">
      <c r="A162" s="158">
        <v>45575</v>
      </c>
      <c r="B162" s="249">
        <v>511.03</v>
      </c>
      <c r="C162" s="249">
        <v>485.86</v>
      </c>
      <c r="D162" s="249">
        <v>225.31</v>
      </c>
    </row>
    <row r="163" customHeight="1" spans="1:4">
      <c r="A163" s="158">
        <v>45582</v>
      </c>
      <c r="B163" s="249">
        <v>572.32</v>
      </c>
      <c r="C163" s="249">
        <v>547.05</v>
      </c>
      <c r="D163" s="249">
        <v>296.9</v>
      </c>
    </row>
    <row r="164" customHeight="1" spans="1:4">
      <c r="A164" s="158">
        <v>45589</v>
      </c>
      <c r="B164" s="249">
        <v>496.72</v>
      </c>
      <c r="C164" s="249">
        <v>471.5</v>
      </c>
      <c r="D164" s="249">
        <v>221.88</v>
      </c>
    </row>
    <row r="165" customHeight="1" spans="1:4">
      <c r="A165" s="158">
        <v>45596</v>
      </c>
      <c r="B165" s="249">
        <v>488.2</v>
      </c>
      <c r="C165" s="249">
        <v>463.1</v>
      </c>
      <c r="D165" s="249">
        <v>213.35</v>
      </c>
    </row>
    <row r="166" customHeight="1" spans="1:4">
      <c r="A166" s="158">
        <v>45603</v>
      </c>
      <c r="B166" s="249">
        <v>463.31</v>
      </c>
      <c r="C166" s="249">
        <v>438.13</v>
      </c>
      <c r="D166" s="249">
        <v>166.19</v>
      </c>
    </row>
    <row r="167" customHeight="1" spans="1:4">
      <c r="A167" s="158">
        <v>45610</v>
      </c>
      <c r="B167" s="249">
        <v>405.94</v>
      </c>
      <c r="C167" s="249">
        <v>380.64</v>
      </c>
      <c r="D167" s="249">
        <v>65.76</v>
      </c>
    </row>
    <row r="168" customHeight="1" spans="1:4">
      <c r="A168" s="158">
        <v>45617</v>
      </c>
      <c r="B168" s="249">
        <v>347.24</v>
      </c>
      <c r="C168" s="249">
        <v>321.89</v>
      </c>
      <c r="D168" s="249">
        <v>-48.16</v>
      </c>
    </row>
    <row r="169" customHeight="1" spans="1:4">
      <c r="A169" s="158">
        <v>45624</v>
      </c>
      <c r="B169" s="249">
        <v>406.25</v>
      </c>
      <c r="C169" s="249">
        <v>384.6</v>
      </c>
      <c r="D169" s="249">
        <v>-12.74</v>
      </c>
    </row>
    <row r="170" customHeight="1" spans="1:4">
      <c r="A170" s="158">
        <v>45631</v>
      </c>
      <c r="B170" s="249">
        <v>370.87</v>
      </c>
      <c r="C170" s="249">
        <v>349.06</v>
      </c>
      <c r="D170" s="249">
        <v>-30.8</v>
      </c>
    </row>
    <row r="171" customHeight="1" spans="1:4">
      <c r="A171" s="158">
        <v>45638</v>
      </c>
      <c r="B171" s="249">
        <v>320.46</v>
      </c>
      <c r="C171" s="249">
        <v>298.32</v>
      </c>
      <c r="D171" s="249">
        <v>-37.78</v>
      </c>
    </row>
    <row r="172" customHeight="1" spans="1:4">
      <c r="A172" s="158">
        <v>45645</v>
      </c>
      <c r="B172" s="249">
        <v>338.46</v>
      </c>
      <c r="C172" s="249">
        <v>317.55</v>
      </c>
      <c r="D172" s="249">
        <v>33.98</v>
      </c>
    </row>
    <row r="173" customHeight="1" spans="1:4">
      <c r="A173" s="158">
        <v>45652</v>
      </c>
      <c r="B173" s="249">
        <v>297.68</v>
      </c>
      <c r="C173" s="249">
        <v>287.46</v>
      </c>
      <c r="D173" s="249">
        <v>30.66</v>
      </c>
    </row>
    <row r="174" customHeight="1" spans="1:4">
      <c r="A174" s="158">
        <v>45659</v>
      </c>
      <c r="B174" s="249">
        <v>335.32</v>
      </c>
      <c r="C174" s="249">
        <v>326.5</v>
      </c>
      <c r="D174" s="249">
        <v>90.76</v>
      </c>
    </row>
    <row r="175" customHeight="1" spans="1:4">
      <c r="A175" s="158">
        <v>45666</v>
      </c>
      <c r="B175" s="249">
        <v>366.1</v>
      </c>
      <c r="C175" s="249">
        <v>356.17</v>
      </c>
      <c r="D175" s="249">
        <v>83.15</v>
      </c>
    </row>
    <row r="176" customHeight="1" spans="1:4">
      <c r="A176" s="158">
        <v>45673</v>
      </c>
      <c r="B176" s="249">
        <v>350.44</v>
      </c>
      <c r="C176" s="249">
        <v>340.6</v>
      </c>
      <c r="D176" s="249">
        <v>72.55</v>
      </c>
    </row>
    <row r="177" customHeight="1" spans="1:4">
      <c r="A177" s="158">
        <v>45680</v>
      </c>
      <c r="B177" s="249">
        <v>311.07</v>
      </c>
      <c r="C177" s="249">
        <v>301.34</v>
      </c>
      <c r="D177" s="249">
        <v>26.73</v>
      </c>
    </row>
    <row r="178" customHeight="1" spans="1:4">
      <c r="A178" s="158">
        <v>45694</v>
      </c>
      <c r="B178" s="249">
        <v>346.46</v>
      </c>
      <c r="C178" s="249">
        <v>336.53</v>
      </c>
      <c r="D178" s="249">
        <v>55.88</v>
      </c>
    </row>
    <row r="179" customHeight="1" spans="1:4">
      <c r="A179" s="158">
        <v>45701</v>
      </c>
      <c r="B179" s="249">
        <v>207.57</v>
      </c>
      <c r="C179" s="249">
        <v>198.81</v>
      </c>
      <c r="D179" s="249">
        <v>0</v>
      </c>
    </row>
    <row r="180" customHeight="1" spans="1:4">
      <c r="A180" s="158">
        <v>45708</v>
      </c>
      <c r="B180" s="249">
        <v>231.25</v>
      </c>
      <c r="C180" s="249">
        <v>221.2</v>
      </c>
      <c r="D180" s="249">
        <v>82.95</v>
      </c>
    </row>
    <row r="181" customHeight="1" spans="1:4">
      <c r="A181" s="158">
        <v>45715</v>
      </c>
      <c r="B181" s="249">
        <v>198.64</v>
      </c>
      <c r="C181" s="249">
        <v>188.51</v>
      </c>
      <c r="D181" s="249">
        <v>123.99</v>
      </c>
    </row>
    <row r="182" customHeight="1" spans="1:4">
      <c r="A182" s="158">
        <v>45722</v>
      </c>
      <c r="B182" s="249">
        <v>160.1</v>
      </c>
      <c r="C182" s="249">
        <v>151.2</v>
      </c>
      <c r="D182" s="249">
        <v>139.77</v>
      </c>
    </row>
    <row r="183" customHeight="1" spans="1:4">
      <c r="A183" s="158">
        <v>45729</v>
      </c>
      <c r="B183" s="249">
        <v>148.39</v>
      </c>
      <c r="C183" s="249">
        <v>138.15</v>
      </c>
      <c r="D183" s="249">
        <v>104.89</v>
      </c>
    </row>
    <row r="184" customHeight="1" spans="1:4">
      <c r="A184" s="158">
        <v>45736</v>
      </c>
      <c r="B184" s="249">
        <v>151.51</v>
      </c>
      <c r="C184" s="249">
        <v>141.24</v>
      </c>
      <c r="D184" s="249">
        <v>97.58</v>
      </c>
    </row>
    <row r="185" customHeight="1" spans="1:4">
      <c r="A185" s="158">
        <v>45743</v>
      </c>
      <c r="B185" s="249">
        <v>153.08</v>
      </c>
      <c r="C185" s="249">
        <v>142.79</v>
      </c>
      <c r="D185" s="249">
        <v>63.03</v>
      </c>
    </row>
    <row r="186" customHeight="1" spans="1:4">
      <c r="A186" s="158">
        <v>45750</v>
      </c>
      <c r="B186" s="249">
        <v>152.09</v>
      </c>
      <c r="C186" s="249">
        <v>141.78</v>
      </c>
      <c r="D186" s="249">
        <v>30.93</v>
      </c>
    </row>
    <row r="187" customHeight="1" spans="1:4">
      <c r="A187" s="158">
        <v>45757</v>
      </c>
      <c r="B187" s="249">
        <v>170.03</v>
      </c>
      <c r="C187" s="249">
        <v>161.01</v>
      </c>
      <c r="D187" s="249">
        <v>56.68</v>
      </c>
    </row>
    <row r="188" customHeight="1" spans="1:4">
      <c r="A188" s="158">
        <v>45764</v>
      </c>
      <c r="B188" s="249">
        <v>201.85</v>
      </c>
      <c r="C188" s="249">
        <v>192.86</v>
      </c>
      <c r="D188" s="249">
        <v>92.57</v>
      </c>
    </row>
    <row r="189" customHeight="1" spans="1:4">
      <c r="A189" s="158">
        <v>45771</v>
      </c>
      <c r="B189" s="249">
        <v>223.07</v>
      </c>
      <c r="C189" s="249">
        <v>212.75</v>
      </c>
      <c r="D189" s="249">
        <v>123.78</v>
      </c>
    </row>
    <row r="190" customHeight="1" spans="1:4">
      <c r="A190" s="158">
        <v>45777</v>
      </c>
      <c r="B190" s="249">
        <v>201.58</v>
      </c>
      <c r="C190" s="249">
        <v>191.25</v>
      </c>
      <c r="D190" s="249">
        <v>118.88</v>
      </c>
    </row>
    <row r="191" customHeight="1" spans="1:4">
      <c r="A191" s="158">
        <v>45785</v>
      </c>
      <c r="B191" s="249">
        <v>198.46</v>
      </c>
      <c r="C191" s="249">
        <v>189.38</v>
      </c>
      <c r="D191" s="249">
        <v>132.3</v>
      </c>
    </row>
    <row r="192" customHeight="1" spans="1:4">
      <c r="A192" s="158">
        <v>45792</v>
      </c>
      <c r="B192" s="249">
        <v>179</v>
      </c>
      <c r="C192" s="249">
        <v>169.92</v>
      </c>
      <c r="D192" s="249">
        <v>118.04</v>
      </c>
    </row>
    <row r="193" customHeight="1" spans="1:4">
      <c r="A193" s="158">
        <v>45799</v>
      </c>
      <c r="B193" s="249">
        <v>138.79</v>
      </c>
      <c r="C193" s="249">
        <v>138.44</v>
      </c>
      <c r="D193" s="249">
        <v>93.15</v>
      </c>
    </row>
    <row r="194" customHeight="1" spans="1:4">
      <c r="A194" s="158">
        <v>45806</v>
      </c>
      <c r="B194" s="249">
        <v>135.64</v>
      </c>
      <c r="C194" s="249">
        <v>125.3</v>
      </c>
      <c r="D194" s="249">
        <v>89.13</v>
      </c>
    </row>
    <row r="195" customHeight="1" spans="1:4">
      <c r="A195" s="158">
        <v>45813</v>
      </c>
      <c r="B195" s="249">
        <v>130.46</v>
      </c>
      <c r="C195" s="249">
        <v>121.42</v>
      </c>
      <c r="D195" s="249">
        <v>96.88</v>
      </c>
    </row>
    <row r="196" customHeight="1" spans="1:4">
      <c r="A196" s="158">
        <v>45820</v>
      </c>
      <c r="B196" s="249">
        <v>78.58</v>
      </c>
      <c r="C196" s="249">
        <v>68.27</v>
      </c>
      <c r="D196" s="249">
        <v>48.95</v>
      </c>
    </row>
    <row r="197" customHeight="1" spans="1:4">
      <c r="A197" s="158">
        <v>45827</v>
      </c>
      <c r="B197" s="249">
        <v>98.78</v>
      </c>
      <c r="C197" s="249">
        <v>88.51</v>
      </c>
      <c r="D197" s="249">
        <v>20.52</v>
      </c>
    </row>
    <row r="198" customHeight="1" spans="1:4">
      <c r="A198" s="158">
        <v>45834</v>
      </c>
      <c r="B198" s="161">
        <v>126.86</v>
      </c>
      <c r="C198" s="161">
        <v>116.61</v>
      </c>
      <c r="D198" s="161">
        <v>-2.56</v>
      </c>
    </row>
    <row r="199" customHeight="1" spans="1:4">
      <c r="A199" s="158">
        <v>45841</v>
      </c>
      <c r="B199" s="249">
        <v>189.1</v>
      </c>
      <c r="C199" s="249">
        <v>171.09</v>
      </c>
      <c r="D199" s="249">
        <v>14.15</v>
      </c>
    </row>
    <row r="200" customHeight="1" spans="1:4">
      <c r="A200" s="158">
        <v>45848</v>
      </c>
      <c r="B200" s="161">
        <v>184.51</v>
      </c>
      <c r="C200" s="161">
        <v>165.16</v>
      </c>
      <c r="D200" s="161">
        <v>-43.87</v>
      </c>
    </row>
    <row r="201" customHeight="1" spans="1:4">
      <c r="A201" s="158">
        <v>45855</v>
      </c>
      <c r="B201" s="249">
        <v>128.83</v>
      </c>
      <c r="C201" s="249">
        <v>110.79</v>
      </c>
      <c r="D201" s="249">
        <v>-126.25</v>
      </c>
    </row>
    <row r="202" customHeight="1" spans="1:4">
      <c r="A202" s="158">
        <v>45862</v>
      </c>
      <c r="B202" s="161">
        <v>179.87</v>
      </c>
      <c r="C202" s="161">
        <v>161.88</v>
      </c>
      <c r="D202" s="161">
        <v>-62.96</v>
      </c>
    </row>
    <row r="203" customHeight="1" spans="1:4">
      <c r="A203" s="158">
        <v>45869</v>
      </c>
      <c r="B203" s="249">
        <v>148.46</v>
      </c>
      <c r="C203" s="249">
        <v>129.26</v>
      </c>
      <c r="D203" s="249">
        <v>-81.91</v>
      </c>
    </row>
    <row r="204" customHeight="1" spans="1:4">
      <c r="A204" s="158">
        <v>45876</v>
      </c>
      <c r="B204" s="161">
        <v>136.75</v>
      </c>
      <c r="C204" s="161">
        <v>118.85</v>
      </c>
      <c r="D204" s="161">
        <v>-53.68</v>
      </c>
    </row>
    <row r="205" customHeight="1" spans="1:4">
      <c r="A205" s="158">
        <v>45883</v>
      </c>
      <c r="B205" s="249">
        <v>100.98</v>
      </c>
      <c r="C205" s="249">
        <v>83.08</v>
      </c>
      <c r="D205" s="249">
        <v>-52.41</v>
      </c>
    </row>
    <row r="206" customHeight="1" spans="1:4">
      <c r="A206" s="158">
        <v>45890</v>
      </c>
      <c r="B206" s="161">
        <v>95.99</v>
      </c>
      <c r="C206" s="161">
        <v>78.07</v>
      </c>
      <c r="D206" s="161">
        <v>-57.59</v>
      </c>
    </row>
    <row r="207" customHeight="1" spans="1:4">
      <c r="A207" s="158">
        <v>45897</v>
      </c>
      <c r="B207" s="249">
        <v>94.59</v>
      </c>
      <c r="C207" s="249">
        <v>75.42</v>
      </c>
      <c r="D207" s="249">
        <v>-107.38</v>
      </c>
    </row>
    <row r="208" customHeight="1" spans="1:4">
      <c r="A208" s="158">
        <v>45904</v>
      </c>
      <c r="B208" s="161">
        <v>117.97</v>
      </c>
      <c r="C208" s="161">
        <v>98.74</v>
      </c>
      <c r="D208" s="161">
        <v>-112.84</v>
      </c>
    </row>
    <row r="209" customHeight="1" spans="1:4">
      <c r="A209" s="158">
        <v>45911</v>
      </c>
      <c r="B209" s="249">
        <v>73.14</v>
      </c>
      <c r="C209" s="249">
        <v>53.89</v>
      </c>
      <c r="D209" s="249">
        <v>-175.8</v>
      </c>
    </row>
    <row r="210" customHeight="1" spans="1:4">
      <c r="A210" s="158">
        <v>45918</v>
      </c>
      <c r="B210" s="161">
        <v>25.69</v>
      </c>
      <c r="C210" s="161">
        <v>7.71</v>
      </c>
      <c r="D210" s="161">
        <v>-246.62</v>
      </c>
    </row>
    <row r="211" customHeight="1" spans="1:4">
      <c r="A211" s="158">
        <v>45925</v>
      </c>
      <c r="B211" s="249">
        <v>-34.71</v>
      </c>
      <c r="C211" s="249">
        <v>-53.99</v>
      </c>
      <c r="D211" s="249">
        <v>-307.23</v>
      </c>
    </row>
    <row r="212" customHeight="1" spans="1:4">
      <c r="A212" s="158">
        <v>45939</v>
      </c>
      <c r="B212" s="249">
        <v>-57.82</v>
      </c>
      <c r="C212" s="249">
        <v>-77.09</v>
      </c>
      <c r="D212" s="249">
        <v>-319.92</v>
      </c>
    </row>
    <row r="213" customHeight="1" spans="1:4">
      <c r="A213" s="158">
        <v>45946</v>
      </c>
      <c r="B213" s="249">
        <v>-170.57</v>
      </c>
      <c r="C213" s="249">
        <v>-188.53</v>
      </c>
      <c r="D213" s="249">
        <v>-432.2</v>
      </c>
    </row>
    <row r="214" customHeight="1" spans="1:4">
      <c r="A214" s="158">
        <v>45953</v>
      </c>
      <c r="B214" s="249">
        <v>-118.95</v>
      </c>
      <c r="C214" s="249">
        <v>-138.13</v>
      </c>
      <c r="D214" s="249">
        <v>-378.58</v>
      </c>
    </row>
    <row r="215" customHeight="1" spans="1:4">
      <c r="A215" s="158">
        <v>45960</v>
      </c>
      <c r="B215" s="249">
        <v>-16.6</v>
      </c>
      <c r="C215" s="249">
        <v>-34.48</v>
      </c>
      <c r="D215" s="249">
        <v>-257.93</v>
      </c>
    </row>
    <row r="216" customHeight="1" spans="1:4">
      <c r="A216" s="158">
        <v>45967</v>
      </c>
      <c r="B216" s="249">
        <v>-21.81</v>
      </c>
      <c r="C216" s="249">
        <v>-41.06</v>
      </c>
      <c r="D216" s="249">
        <v>-259.17</v>
      </c>
    </row>
    <row r="217" customHeight="1" spans="1:4">
      <c r="A217" s="158">
        <v>45974</v>
      </c>
      <c r="B217" s="249">
        <v>-53.96</v>
      </c>
      <c r="C217" s="249">
        <v>-71.95</v>
      </c>
      <c r="D217" s="249">
        <v>-274.95</v>
      </c>
    </row>
    <row r="218" customHeight="1" spans="1:4">
      <c r="A218" s="158">
        <v>45981</v>
      </c>
      <c r="B218" s="249">
        <v>-78.57</v>
      </c>
      <c r="C218" s="249">
        <v>-96.61</v>
      </c>
      <c r="D218" s="249">
        <v>-273.08</v>
      </c>
    </row>
    <row r="219" customHeight="1" spans="1:4">
      <c r="A219" s="158">
        <v>45988</v>
      </c>
      <c r="B219" s="249">
        <v>-93.04</v>
      </c>
      <c r="C219" s="249">
        <v>-111.13</v>
      </c>
      <c r="D219" s="249">
        <v>-270.07</v>
      </c>
    </row>
    <row r="220" customHeight="1" spans="1:4">
      <c r="A220" s="158">
        <v>45995</v>
      </c>
      <c r="B220" s="249">
        <v>-116.84</v>
      </c>
      <c r="C220" s="249">
        <v>-135.01</v>
      </c>
      <c r="D220" s="249">
        <v>-270.03</v>
      </c>
    </row>
    <row r="221" customHeight="1" spans="1:4">
      <c r="A221" s="158">
        <v>46002</v>
      </c>
      <c r="B221" s="249">
        <v>-128.33</v>
      </c>
      <c r="C221" s="249">
        <v>-146.48</v>
      </c>
      <c r="D221" s="249">
        <v>-264.45</v>
      </c>
    </row>
    <row r="222" customHeight="1" spans="1:4">
      <c r="A222" s="158">
        <v>46009</v>
      </c>
      <c r="B222" s="249">
        <v>-101.54</v>
      </c>
      <c r="C222" s="249">
        <v>-119.77</v>
      </c>
      <c r="D222" s="249">
        <v>-238.23</v>
      </c>
    </row>
    <row r="223" customHeight="1" spans="1:4">
      <c r="A223" s="158">
        <v>46016</v>
      </c>
      <c r="B223" s="161">
        <v>-106.35</v>
      </c>
      <c r="C223" s="161">
        <v>-124.51</v>
      </c>
      <c r="D223" s="161">
        <v>-255.51</v>
      </c>
    </row>
    <row r="224" customHeight="1" spans="1:4">
      <c r="A224" s="158">
        <v>46023</v>
      </c>
      <c r="B224" s="249">
        <v>-10.29</v>
      </c>
      <c r="C224" s="249">
        <v>-28.31</v>
      </c>
      <c r="D224" s="249">
        <v>-160.83</v>
      </c>
    </row>
    <row r="225" customHeight="1" spans="1:8">
      <c r="A225" s="158">
        <v>46030</v>
      </c>
      <c r="B225" s="161">
        <v>18</v>
      </c>
      <c r="C225" s="161">
        <v>0</v>
      </c>
      <c r="D225" s="161">
        <v>-129.83</v>
      </c>
    </row>
    <row r="226" customHeight="1" spans="1:8">
      <c r="A226" s="158">
        <v>46037</v>
      </c>
      <c r="B226" s="249">
        <v>43.81</v>
      </c>
      <c r="C226" s="249">
        <v>25.77</v>
      </c>
      <c r="D226" s="249">
        <v>-100.5</v>
      </c>
    </row>
    <row r="227" customHeight="1" spans="1:8">
      <c r="A227" s="158">
        <v>46044</v>
      </c>
      <c r="B227" s="161">
        <v>91.51</v>
      </c>
      <c r="C227" s="161">
        <v>73.47</v>
      </c>
      <c r="D227" s="161">
        <v>-38.67</v>
      </c>
    </row>
    <row r="228" customHeight="1" spans="1:8">
      <c r="A228" s="158">
        <v>46051</v>
      </c>
      <c r="B228" s="249">
        <v>63.93</v>
      </c>
      <c r="C228" s="249">
        <v>46.03</v>
      </c>
      <c r="D228" s="249">
        <v>-34.52</v>
      </c>
    </row>
    <row r="229" customHeight="1" spans="1:8">
      <c r="A229" s="158">
        <v>46058</v>
      </c>
      <c r="B229" s="249">
        <v>54.78</v>
      </c>
      <c r="C229" s="249">
        <v>36.95</v>
      </c>
      <c r="D229" s="249">
        <v>-24.21</v>
      </c>
    </row>
    <row r="230" customHeight="1" spans="1:8">
      <c r="A230" s="158">
        <v>46065</v>
      </c>
      <c r="B230" s="249">
        <v>-34.03</v>
      </c>
      <c r="C230" s="249">
        <v>-52.94</v>
      </c>
      <c r="D230" s="249">
        <v>-95.8</v>
      </c>
    </row>
    <row r="231" customHeight="1" spans="1:8">
      <c r="A231" s="158">
        <v>46079</v>
      </c>
      <c r="B231" s="249">
        <v>-140.5</v>
      </c>
      <c r="C231" s="249">
        <v>-159.66</v>
      </c>
      <c r="D231" s="249">
        <v>-145.61</v>
      </c>
    </row>
    <row r="232" customHeight="1" spans="1:8">
      <c r="A232" s="158">
        <v>46086</v>
      </c>
      <c r="B232" s="249">
        <v>-187.1</v>
      </c>
      <c r="C232" s="249">
        <v>-206.32</v>
      </c>
      <c r="D232" s="249">
        <v>-152.5</v>
      </c>
    </row>
    <row r="233" customHeight="1" spans="1:8">
      <c r="A233" s="158">
        <v>46093</v>
      </c>
      <c r="B233" s="249">
        <v>-258.39</v>
      </c>
      <c r="C233" s="249">
        <v>-276.38</v>
      </c>
      <c r="D233" s="249">
        <v>-199.25</v>
      </c>
    </row>
    <row r="234" customHeight="1" spans="1:8">
      <c r="A234" s="158">
        <v>46100</v>
      </c>
      <c r="B234" s="161">
        <v>-272.67</v>
      </c>
      <c r="C234" s="161">
        <v>-291.97</v>
      </c>
      <c r="D234" s="161">
        <v>-189.07</v>
      </c>
    </row>
    <row r="235" customHeight="1" spans="1:8">
      <c r="A235" s="158">
        <v>46107</v>
      </c>
      <c r="B235" s="249">
        <v>-326.92</v>
      </c>
      <c r="C235" s="249">
        <v>-344.94</v>
      </c>
      <c r="D235" s="249">
        <v>-209.8</v>
      </c>
    </row>
    <row r="236" customHeight="1" spans="1:8">
      <c r="A236" s="158">
        <v>46114</v>
      </c>
      <c r="B236" s="161">
        <v>-365.82</v>
      </c>
      <c r="C236" s="161">
        <v>-383.85</v>
      </c>
      <c r="D236" s="161">
        <v>-239.59</v>
      </c>
    </row>
    <row r="237" customHeight="1" spans="1:8">
      <c r="A237" s="158">
        <v>46121</v>
      </c>
      <c r="B237" s="249">
        <v>-416.7</v>
      </c>
      <c r="C237" s="249">
        <v>-434.7</v>
      </c>
      <c r="D237" s="249">
        <v>-280.37</v>
      </c>
    </row>
    <row r="238" customHeight="1" spans="1:8">
      <c r="A238" s="158">
        <v>46128</v>
      </c>
      <c r="B238" s="161">
        <v>-443.19</v>
      </c>
      <c r="C238" s="161">
        <v>-461.17</v>
      </c>
      <c r="D238" s="161">
        <v>-307.02</v>
      </c>
      <c r="E238" s="91"/>
      <c r="F238" s="91"/>
      <c r="G238" s="91"/>
      <c r="H238" s="91"/>
    </row>
    <row r="239" customHeight="1" spans="1:8">
      <c r="A239" s="158">
        <v>46135</v>
      </c>
      <c r="B239" s="161">
        <v>-322.56</v>
      </c>
      <c r="C239" s="161">
        <v>-341.84</v>
      </c>
      <c r="D239" s="161">
        <v>-187.62</v>
      </c>
      <c r="E239" s="91"/>
      <c r="F239" s="91"/>
      <c r="G239" s="91"/>
      <c r="H239" s="91"/>
    </row>
    <row r="240" customHeight="1" spans="1:8">
      <c r="A240" s="158">
        <v>46142</v>
      </c>
      <c r="B240" s="161">
        <v>-290.82</v>
      </c>
      <c r="C240" s="161">
        <v>-308.83</v>
      </c>
      <c r="D240" s="161">
        <v>-164.71</v>
      </c>
    </row>
    <row r="241" customHeight="1" spans="1:8">
      <c r="A241" s="158">
        <v>46149</v>
      </c>
      <c r="B241" s="161">
        <v>-288.62</v>
      </c>
      <c r="C241" s="161">
        <v>-306.66</v>
      </c>
      <c r="D241" s="161">
        <v>-163.64</v>
      </c>
    </row>
    <row r="242" customHeight="1" spans="1:8">
      <c r="A242" s="158">
        <v>46156</v>
      </c>
      <c r="B242" s="161">
        <v>-305.26</v>
      </c>
      <c r="C242" s="161">
        <v>-323.29</v>
      </c>
      <c r="D242" s="161">
        <v>-204.79</v>
      </c>
      <c r="E242" s="91"/>
      <c r="F242" s="91"/>
      <c r="G242" s="91"/>
      <c r="H242" s="91"/>
    </row>
    <row r="243" customHeight="1" spans="1:8">
      <c r="A243" s="158">
        <v>46163</v>
      </c>
      <c r="B243" s="161">
        <v>-315.54</v>
      </c>
      <c r="C243" s="161">
        <v>-333.57</v>
      </c>
      <c r="D243" s="249">
        <v>-235.69</v>
      </c>
    </row>
    <row r="244" customHeight="1" spans="1:8">
      <c r="A244" s="158">
        <v>46170</v>
      </c>
      <c r="B244" s="161">
        <v>-300.1</v>
      </c>
      <c r="C244" s="161">
        <v>-318.14</v>
      </c>
      <c r="D244" s="249">
        <v>-220.25</v>
      </c>
    </row>
    <row r="245" customHeight="1" spans="1:8">
      <c r="A245" s="158">
        <v>46177</v>
      </c>
      <c r="B245" s="161">
        <v>-305.92</v>
      </c>
      <c r="C245" s="161">
        <v>-323.99</v>
      </c>
      <c r="D245" s="249">
        <v>-237.51</v>
      </c>
    </row>
    <row r="246" customHeight="1" spans="1:8">
      <c r="A246" s="158">
        <v>46184</v>
      </c>
      <c r="B246" s="161">
        <v>-298.73</v>
      </c>
      <c r="C246" s="161">
        <v>-316.83</v>
      </c>
      <c r="D246" s="249">
        <v>-267.69</v>
      </c>
    </row>
    <row r="247" customHeight="1" spans="1:8">
      <c r="A247" s="158">
        <v>46191</v>
      </c>
      <c r="B247" s="161">
        <v>-293.44</v>
      </c>
      <c r="C247" s="161">
        <v>-311.54</v>
      </c>
      <c r="D247" s="249">
        <v>-336.1</v>
      </c>
    </row>
    <row r="248" customHeight="1" spans="1:8">
      <c r="A248" s="158">
        <v>46198</v>
      </c>
      <c r="B248" s="161">
        <v>-293.72</v>
      </c>
      <c r="C248" s="161">
        <v>-312.95</v>
      </c>
      <c r="D248" s="249">
        <v>-362.98</v>
      </c>
    </row>
    <row r="249" customHeight="1" spans="1:8">
      <c r="A249" s="158">
        <v>46205</v>
      </c>
      <c r="B249" s="161">
        <v>-239.34</v>
      </c>
      <c r="C249" s="161">
        <v>-257.26</v>
      </c>
      <c r="D249" s="249">
        <v>-321.25</v>
      </c>
    </row>
    <row r="250" customHeight="1" spans="1:8">
      <c r="A250" s="158">
        <v>46212</v>
      </c>
      <c r="B250" s="161">
        <v>-88.34</v>
      </c>
      <c r="C250" s="161">
        <v>-106.26</v>
      </c>
      <c r="D250" s="249">
        <v>-169</v>
      </c>
    </row>
    <row r="251" customHeight="1" spans="1:8">
      <c r="A251" s="158">
        <v>46219</v>
      </c>
      <c r="B251" s="161">
        <v>-78.14</v>
      </c>
      <c r="C251" s="161">
        <v>-96.08</v>
      </c>
      <c r="D251" s="249">
        <v>-158.84</v>
      </c>
    </row>
    <row r="252" customHeight="1" spans="1:8">
      <c r="A252" s="158">
        <v>46226</v>
      </c>
      <c r="B252" s="161">
        <v>-126.87</v>
      </c>
      <c r="C252" s="161">
        <v>-144.81</v>
      </c>
      <c r="D252" s="249">
        <v>-205.04</v>
      </c>
    </row>
    <row r="253" customHeight="1" spans="1:8">
      <c r="A253" s="158">
        <v>46233</v>
      </c>
      <c r="B253" s="161">
        <v>-184.38</v>
      </c>
      <c r="C253" s="161">
        <v>-202.3</v>
      </c>
      <c r="D253" s="249">
        <v>-257.36</v>
      </c>
    </row>
    <row r="254" customHeight="1" spans="1:8">
      <c r="A254" s="158">
        <v>46240</v>
      </c>
      <c r="B254" s="249">
        <v>-188.31</v>
      </c>
      <c r="C254" s="249">
        <v>-206.24</v>
      </c>
      <c r="D254" s="250">
        <v>-251.08</v>
      </c>
    </row>
    <row r="255" customHeight="1" spans="1:8">
      <c r="A255" s="158">
        <v>46247</v>
      </c>
      <c r="B255" s="161">
        <v>-147.32</v>
      </c>
      <c r="C255" s="161">
        <v>-165.25</v>
      </c>
      <c r="D255" s="249">
        <v>-185.75</v>
      </c>
    </row>
    <row r="256" customHeight="1" spans="1:8">
      <c r="A256" s="158">
        <v>46254</v>
      </c>
      <c r="B256" s="249">
        <v>-98.84</v>
      </c>
      <c r="C256" s="249">
        <v>-116.82</v>
      </c>
      <c r="D256" s="250">
        <v>-102.7</v>
      </c>
    </row>
    <row r="257" customHeight="1" spans="1:8">
      <c r="A257" s="158">
        <v>46261</v>
      </c>
      <c r="B257" s="161">
        <v>-105.58</v>
      </c>
      <c r="C257" s="161">
        <v>-123.61</v>
      </c>
      <c r="D257" s="249">
        <v>-97.86</v>
      </c>
    </row>
    <row r="258" customHeight="1" spans="1:8">
      <c r="A258" s="158">
        <v>46268</v>
      </c>
      <c r="B258" s="161">
        <v>-116.27</v>
      </c>
      <c r="C258" s="161">
        <v>-134.36</v>
      </c>
      <c r="D258" s="161">
        <v>-20.67</v>
      </c>
    </row>
    <row r="259" customHeight="1" spans="1:8">
      <c r="A259" s="158">
        <v>46275</v>
      </c>
      <c r="B259" s="161">
        <v>-128.03</v>
      </c>
      <c r="C259" s="161">
        <v>-146.13</v>
      </c>
      <c r="D259" s="161">
        <v>-32.33</v>
      </c>
      <c r="E259" s="91"/>
      <c r="F259" s="91"/>
      <c r="G259" s="91"/>
      <c r="H259" s="91"/>
    </row>
    <row r="260" customHeight="1" spans="1:8">
      <c r="A260" s="158">
        <v>46282</v>
      </c>
      <c r="B260" s="161">
        <v>-149.93</v>
      </c>
      <c r="C260" s="161">
        <v>-168.03</v>
      </c>
      <c r="D260" s="161">
        <v>-59.45</v>
      </c>
    </row>
    <row r="261" customHeight="1" spans="1:8">
      <c r="A261" s="158">
        <v>46289</v>
      </c>
      <c r="B261" s="251">
        <v>-175.2</v>
      </c>
      <c r="C261" s="251">
        <v>-193.23</v>
      </c>
      <c r="D261" s="251">
        <v>-103.06</v>
      </c>
      <c r="E261" s="252"/>
      <c r="F261" s="252"/>
      <c r="G261" s="252"/>
      <c r="H261" s="252"/>
    </row>
  </sheetData>
  <mergeCells count="2">
    <mergeCell ref="B2:C2"/>
    <mergeCell ref="D2:D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0"/>
  <sheetViews>
    <sheetView workbookViewId="0">
      <pane xSplit="1" ySplit="2" topLeftCell="B232" activePane="bottomRight" state="frozen"/>
      <selection/>
      <selection pane="topRight"/>
      <selection pane="bottomLeft"/>
      <selection pane="bottomRight" activeCell="M260" sqref="M260"/>
    </sheetView>
  </sheetViews>
  <sheetFormatPr defaultColWidth="9" defaultRowHeight="20" customHeight="1"/>
  <cols>
    <col min="1" max="1" width="15.375" customWidth="1"/>
    <col min="2" max="2" width="30.2583333333333" style="235" customWidth="1"/>
    <col min="3" max="3" width="12.7583333333333" style="235" customWidth="1"/>
    <col min="11" max="11" width="28.625" customWidth="1"/>
    <col min="12" max="13" width="14.375" customWidth="1"/>
  </cols>
  <sheetData>
    <row r="1" customHeight="1" spans="1:13">
      <c r="A1" s="236" t="s">
        <v>46</v>
      </c>
      <c r="B1" s="237"/>
      <c r="C1" s="238"/>
      <c r="K1" s="236" t="s">
        <v>47</v>
      </c>
      <c r="L1" s="237"/>
      <c r="M1" s="238"/>
    </row>
    <row r="2" customHeight="1" spans="1:13">
      <c r="A2" s="239" t="s">
        <v>29</v>
      </c>
      <c r="B2" s="240" t="s">
        <v>48</v>
      </c>
      <c r="C2" s="240" t="s">
        <v>43</v>
      </c>
      <c r="K2" s="241" t="s">
        <v>49</v>
      </c>
      <c r="L2" s="240" t="s">
        <v>48</v>
      </c>
      <c r="M2" s="240" t="s">
        <v>43</v>
      </c>
    </row>
    <row r="3" customHeight="1" spans="1:13">
      <c r="A3" s="156">
        <v>44427</v>
      </c>
      <c r="B3" s="142">
        <v>15.86</v>
      </c>
      <c r="C3" s="142">
        <v>14.07</v>
      </c>
      <c r="K3" s="156">
        <v>44427</v>
      </c>
      <c r="L3" s="142">
        <v>16.61</v>
      </c>
      <c r="M3" s="142">
        <v>25.3</v>
      </c>
    </row>
    <row r="4" customHeight="1" spans="1:13">
      <c r="A4" s="156">
        <v>44434</v>
      </c>
      <c r="B4" s="142">
        <v>15.83</v>
      </c>
      <c r="C4" s="142">
        <v>14.04</v>
      </c>
      <c r="K4" s="156">
        <v>44434</v>
      </c>
      <c r="L4" s="142">
        <v>16.58</v>
      </c>
      <c r="M4" s="142">
        <v>25.27</v>
      </c>
    </row>
    <row r="5" customHeight="1" spans="1:13">
      <c r="A5" s="156">
        <v>44441</v>
      </c>
      <c r="B5" s="142">
        <v>15.83</v>
      </c>
      <c r="C5" s="142">
        <v>14.04</v>
      </c>
      <c r="K5" s="156">
        <v>44441</v>
      </c>
      <c r="L5" s="142">
        <v>16.8</v>
      </c>
      <c r="M5" s="142">
        <v>25.52</v>
      </c>
    </row>
    <row r="6" customHeight="1" spans="1:13">
      <c r="A6" s="156">
        <v>44448</v>
      </c>
      <c r="B6" s="142">
        <v>15.35</v>
      </c>
      <c r="C6" s="142">
        <v>13.5</v>
      </c>
      <c r="K6" s="156">
        <v>44448</v>
      </c>
      <c r="L6" s="142">
        <v>16.48</v>
      </c>
      <c r="M6" s="142">
        <v>25.01</v>
      </c>
    </row>
    <row r="7" customHeight="1" spans="1:13">
      <c r="A7" s="156">
        <v>44455</v>
      </c>
      <c r="B7" s="142">
        <v>15.3</v>
      </c>
      <c r="C7" s="142">
        <v>12.33</v>
      </c>
      <c r="K7" s="156">
        <v>44455</v>
      </c>
      <c r="L7" s="142">
        <v>16.05</v>
      </c>
      <c r="M7" s="142">
        <v>24.77</v>
      </c>
    </row>
    <row r="8" customHeight="1" spans="1:13">
      <c r="A8" s="156">
        <v>44462</v>
      </c>
      <c r="B8" s="142">
        <v>15.01</v>
      </c>
      <c r="C8" s="142">
        <v>12.71</v>
      </c>
      <c r="K8" s="156">
        <v>44462</v>
      </c>
      <c r="L8" s="142">
        <v>15.98</v>
      </c>
      <c r="M8" s="142">
        <v>24.12</v>
      </c>
    </row>
    <row r="9" customHeight="1" spans="1:13">
      <c r="A9" s="156">
        <v>44469</v>
      </c>
      <c r="B9" s="142">
        <v>14.98</v>
      </c>
      <c r="C9" s="142">
        <v>12.67</v>
      </c>
      <c r="K9" s="156">
        <v>44469</v>
      </c>
      <c r="L9" s="142">
        <v>15.88</v>
      </c>
      <c r="M9" s="142">
        <v>23.78</v>
      </c>
    </row>
    <row r="10" customHeight="1" spans="1:13">
      <c r="A10" s="156">
        <v>44477</v>
      </c>
      <c r="B10" s="142">
        <v>14.92</v>
      </c>
      <c r="C10" s="142">
        <v>12.37</v>
      </c>
      <c r="K10" s="156">
        <v>44477</v>
      </c>
      <c r="L10" s="142">
        <v>16.04</v>
      </c>
      <c r="M10" s="142">
        <v>22.19</v>
      </c>
    </row>
    <row r="11" customHeight="1" spans="1:13">
      <c r="A11" s="156">
        <v>44483</v>
      </c>
      <c r="B11" s="142">
        <v>14.92</v>
      </c>
      <c r="C11" s="142">
        <v>12.37</v>
      </c>
      <c r="K11" s="156">
        <v>44483</v>
      </c>
      <c r="L11" s="142">
        <v>16.04</v>
      </c>
      <c r="M11" s="142">
        <v>22.19</v>
      </c>
    </row>
    <row r="12" customHeight="1" spans="1:13">
      <c r="A12" s="156">
        <v>44490</v>
      </c>
      <c r="B12" s="142">
        <v>14.92</v>
      </c>
      <c r="C12" s="142">
        <v>12.55</v>
      </c>
      <c r="K12" s="156">
        <v>44490</v>
      </c>
      <c r="L12" s="142">
        <v>16.06</v>
      </c>
      <c r="M12" s="142">
        <v>23.19</v>
      </c>
    </row>
    <row r="13" customHeight="1" spans="1:13">
      <c r="A13" s="156">
        <v>44497</v>
      </c>
      <c r="B13" s="142">
        <v>15</v>
      </c>
      <c r="C13" s="142">
        <v>12.64</v>
      </c>
      <c r="K13" s="156">
        <v>44497</v>
      </c>
      <c r="L13" s="142">
        <v>16.11</v>
      </c>
      <c r="M13" s="142">
        <v>22.83</v>
      </c>
    </row>
    <row r="14" customHeight="1" spans="1:13">
      <c r="A14" s="156">
        <v>44504</v>
      </c>
      <c r="B14" s="142">
        <v>14.77</v>
      </c>
      <c r="C14" s="142">
        <v>14.22</v>
      </c>
      <c r="K14" s="156">
        <v>44504</v>
      </c>
      <c r="L14" s="142">
        <v>16.19</v>
      </c>
      <c r="M14" s="142">
        <v>22.88</v>
      </c>
    </row>
    <row r="15" customHeight="1" spans="1:13">
      <c r="A15" s="156">
        <v>44511</v>
      </c>
      <c r="B15" s="142">
        <v>14.77</v>
      </c>
      <c r="C15" s="142">
        <v>14.36</v>
      </c>
      <c r="K15" s="156">
        <v>44511</v>
      </c>
      <c r="L15" s="142">
        <v>16.14</v>
      </c>
      <c r="M15" s="142">
        <v>21.83</v>
      </c>
    </row>
    <row r="16" customHeight="1" spans="1:13">
      <c r="A16" s="156">
        <v>44518</v>
      </c>
      <c r="B16" s="142">
        <v>14.77</v>
      </c>
      <c r="C16" s="142">
        <v>14.55</v>
      </c>
      <c r="K16" s="156">
        <v>44518</v>
      </c>
      <c r="L16" s="142">
        <v>16.16</v>
      </c>
      <c r="M16" s="142">
        <v>21.44</v>
      </c>
    </row>
    <row r="17" customHeight="1" spans="1:13">
      <c r="A17" s="156">
        <v>44525</v>
      </c>
      <c r="B17" s="142">
        <v>14.68</v>
      </c>
      <c r="C17" s="142">
        <v>14.48</v>
      </c>
      <c r="K17" s="156">
        <v>44525</v>
      </c>
      <c r="L17" s="142">
        <v>15.72</v>
      </c>
      <c r="M17" s="142">
        <v>19.6</v>
      </c>
    </row>
    <row r="18" customHeight="1" spans="1:13">
      <c r="A18" s="156">
        <v>44532</v>
      </c>
      <c r="B18" s="142">
        <v>14.68</v>
      </c>
      <c r="C18" s="142">
        <v>13.47</v>
      </c>
      <c r="K18" s="156">
        <v>44532</v>
      </c>
      <c r="L18" s="142">
        <v>15.52</v>
      </c>
      <c r="M18" s="142">
        <v>19.12</v>
      </c>
    </row>
    <row r="19" customHeight="1" spans="1:13">
      <c r="A19" s="156">
        <v>44539</v>
      </c>
      <c r="B19" s="142">
        <v>14.59</v>
      </c>
      <c r="C19" s="142">
        <v>13.64</v>
      </c>
      <c r="K19" s="156">
        <v>44539</v>
      </c>
      <c r="L19" s="142">
        <v>15.71</v>
      </c>
      <c r="M19" s="142">
        <v>19.29</v>
      </c>
    </row>
    <row r="20" customHeight="1" spans="1:13">
      <c r="A20" s="156">
        <v>44546</v>
      </c>
      <c r="B20" s="142">
        <v>15.09</v>
      </c>
      <c r="C20" s="142">
        <v>14.21</v>
      </c>
      <c r="K20" s="156">
        <v>44546</v>
      </c>
      <c r="L20" s="142">
        <v>15.82</v>
      </c>
      <c r="M20" s="142">
        <v>19.19</v>
      </c>
    </row>
    <row r="21" customHeight="1" spans="1:13">
      <c r="A21" s="156">
        <v>44553</v>
      </c>
      <c r="B21" s="142">
        <v>15.09</v>
      </c>
      <c r="C21" s="142">
        <v>14.21</v>
      </c>
      <c r="K21" s="156">
        <v>44553</v>
      </c>
      <c r="L21" s="142">
        <v>15.87</v>
      </c>
      <c r="M21" s="142">
        <v>19.05</v>
      </c>
    </row>
    <row r="22" customHeight="1" spans="1:13">
      <c r="A22" s="156">
        <v>44560</v>
      </c>
      <c r="B22" s="142">
        <v>15.09</v>
      </c>
      <c r="C22" s="142">
        <v>14.21</v>
      </c>
      <c r="K22" s="156">
        <v>44560</v>
      </c>
      <c r="L22" s="142">
        <v>15.96</v>
      </c>
      <c r="M22" s="142">
        <v>16.37</v>
      </c>
    </row>
    <row r="23" customHeight="1" spans="1:13">
      <c r="A23" s="156">
        <v>44567</v>
      </c>
      <c r="B23" s="142">
        <v>15.24</v>
      </c>
      <c r="C23" s="142">
        <v>14.46</v>
      </c>
      <c r="K23" s="156">
        <v>44567</v>
      </c>
      <c r="L23" s="142">
        <v>15.74</v>
      </c>
      <c r="M23" s="142">
        <v>16.15</v>
      </c>
    </row>
    <row r="24" customHeight="1" spans="1:13">
      <c r="A24" s="156">
        <v>44574</v>
      </c>
      <c r="B24" s="142">
        <v>15.41</v>
      </c>
      <c r="C24" s="142">
        <v>15.75</v>
      </c>
      <c r="K24" s="156">
        <v>44574</v>
      </c>
      <c r="L24" s="142">
        <v>15.73</v>
      </c>
      <c r="M24" s="142">
        <v>15.87</v>
      </c>
    </row>
    <row r="25" customHeight="1" spans="1:13">
      <c r="A25" s="156">
        <v>44581</v>
      </c>
      <c r="B25" s="142">
        <v>15.22</v>
      </c>
      <c r="C25" s="142">
        <v>14.67</v>
      </c>
      <c r="K25" s="156">
        <v>44581</v>
      </c>
      <c r="L25" s="142">
        <v>15.62</v>
      </c>
      <c r="M25" s="142">
        <v>15.76</v>
      </c>
    </row>
    <row r="26" customHeight="1" spans="1:13">
      <c r="A26" s="156">
        <v>44587</v>
      </c>
      <c r="B26" s="142">
        <v>15.22</v>
      </c>
      <c r="C26" s="142">
        <v>14.67</v>
      </c>
      <c r="K26" s="236">
        <v>44587</v>
      </c>
      <c r="L26" s="242">
        <v>15.65</v>
      </c>
      <c r="M26" s="242">
        <v>15.8</v>
      </c>
    </row>
    <row r="27" customHeight="1" spans="1:13">
      <c r="A27" s="156">
        <v>44602</v>
      </c>
      <c r="B27" s="142">
        <v>14.93</v>
      </c>
      <c r="C27" s="142">
        <v>14.45</v>
      </c>
      <c r="K27" s="236">
        <v>44602</v>
      </c>
      <c r="L27" s="242">
        <v>15.48</v>
      </c>
      <c r="M27" s="242">
        <v>14.58</v>
      </c>
    </row>
    <row r="28" customHeight="1" spans="1:13">
      <c r="A28" s="156">
        <v>44609</v>
      </c>
      <c r="B28" s="142">
        <v>14.77</v>
      </c>
      <c r="C28" s="142">
        <v>14.36</v>
      </c>
      <c r="K28" s="236">
        <v>44609</v>
      </c>
      <c r="L28" s="242">
        <v>15.46</v>
      </c>
      <c r="M28" s="242">
        <v>14.57</v>
      </c>
    </row>
    <row r="29" customHeight="1" spans="1:13">
      <c r="A29" s="156">
        <v>44616</v>
      </c>
      <c r="B29" s="142">
        <v>14.99</v>
      </c>
      <c r="C29" s="142">
        <v>14.5</v>
      </c>
      <c r="K29" s="236">
        <v>44616</v>
      </c>
      <c r="L29" s="242">
        <v>15.1</v>
      </c>
      <c r="M29" s="242">
        <v>14.2</v>
      </c>
    </row>
    <row r="30" customHeight="1" spans="1:13">
      <c r="A30" s="156">
        <v>44623</v>
      </c>
      <c r="B30" s="142">
        <v>15.39</v>
      </c>
      <c r="C30" s="142">
        <v>14.88</v>
      </c>
      <c r="K30" s="236">
        <v>44623</v>
      </c>
      <c r="L30" s="242">
        <v>15.35</v>
      </c>
      <c r="M30" s="242">
        <v>13.88</v>
      </c>
    </row>
    <row r="31" customHeight="1" spans="1:13">
      <c r="A31" s="156">
        <v>44630</v>
      </c>
      <c r="B31" s="142">
        <v>15.47</v>
      </c>
      <c r="C31" s="142">
        <v>14.96</v>
      </c>
      <c r="K31" s="236">
        <v>44630</v>
      </c>
      <c r="L31" s="242">
        <v>15.21</v>
      </c>
      <c r="M31" s="242">
        <v>13.78</v>
      </c>
    </row>
    <row r="32" customHeight="1" spans="1:13">
      <c r="A32" s="156">
        <v>44637</v>
      </c>
      <c r="B32" s="142">
        <v>15.58</v>
      </c>
      <c r="C32" s="142">
        <v>15.14</v>
      </c>
      <c r="K32" s="236">
        <v>44637</v>
      </c>
      <c r="L32" s="242">
        <v>15.26</v>
      </c>
      <c r="M32" s="242">
        <v>13.19</v>
      </c>
    </row>
    <row r="33" customHeight="1" spans="1:13">
      <c r="A33" s="156">
        <v>44644</v>
      </c>
      <c r="B33" s="142">
        <v>15.61</v>
      </c>
      <c r="C33" s="142">
        <v>15.21</v>
      </c>
      <c r="K33" s="236">
        <v>44644</v>
      </c>
      <c r="L33" s="242">
        <v>15.33</v>
      </c>
      <c r="M33" s="242">
        <v>13.25</v>
      </c>
    </row>
    <row r="34" customHeight="1" spans="1:13">
      <c r="A34" s="156">
        <v>44651</v>
      </c>
      <c r="B34" s="142">
        <v>15.61</v>
      </c>
      <c r="C34" s="142">
        <v>15.3</v>
      </c>
      <c r="K34" s="236">
        <v>44651</v>
      </c>
      <c r="L34" s="242">
        <v>15.39</v>
      </c>
      <c r="M34" s="242">
        <v>13.08</v>
      </c>
    </row>
    <row r="35" customHeight="1" spans="1:13">
      <c r="A35" s="156">
        <v>44658</v>
      </c>
      <c r="B35" s="142">
        <v>15.61</v>
      </c>
      <c r="C35" s="142">
        <v>15.17</v>
      </c>
      <c r="K35" s="236">
        <v>44658</v>
      </c>
      <c r="L35" s="242">
        <v>15.42</v>
      </c>
      <c r="M35" s="242">
        <v>13.11</v>
      </c>
    </row>
    <row r="36" customHeight="1" spans="1:13">
      <c r="A36" s="156">
        <v>44665</v>
      </c>
      <c r="B36" s="142">
        <v>15.61</v>
      </c>
      <c r="C36" s="142">
        <v>15.53</v>
      </c>
      <c r="K36" s="236">
        <v>44665</v>
      </c>
      <c r="L36" s="242">
        <v>15.42</v>
      </c>
      <c r="M36" s="242">
        <v>13.11</v>
      </c>
    </row>
    <row r="37" customHeight="1" spans="1:13">
      <c r="A37" s="156">
        <v>44672</v>
      </c>
      <c r="B37" s="142">
        <v>15.75</v>
      </c>
      <c r="C37" s="142">
        <v>15.67</v>
      </c>
      <c r="K37" s="236">
        <v>44672</v>
      </c>
      <c r="L37" s="242">
        <v>15.61</v>
      </c>
      <c r="M37" s="242">
        <v>13.36</v>
      </c>
    </row>
    <row r="38" customHeight="1" spans="1:13">
      <c r="A38" s="156">
        <v>44679</v>
      </c>
      <c r="B38" s="142">
        <v>15.66</v>
      </c>
      <c r="C38" s="142">
        <v>16.66</v>
      </c>
      <c r="K38" s="156">
        <v>44679</v>
      </c>
      <c r="L38" s="142">
        <v>15.65</v>
      </c>
      <c r="M38" s="142">
        <v>13.4</v>
      </c>
    </row>
    <row r="39" customHeight="1" spans="1:13">
      <c r="A39" s="156">
        <v>44686</v>
      </c>
      <c r="B39" s="142">
        <v>15.75</v>
      </c>
      <c r="C39" s="142">
        <v>17.54</v>
      </c>
      <c r="K39" s="156">
        <v>44686</v>
      </c>
      <c r="L39" s="142">
        <v>15.73</v>
      </c>
      <c r="M39" s="142">
        <v>13.48</v>
      </c>
    </row>
    <row r="40" customHeight="1" spans="1:13">
      <c r="A40" s="156">
        <v>44693</v>
      </c>
      <c r="B40" s="142">
        <v>15.75</v>
      </c>
      <c r="C40" s="142">
        <v>17.54</v>
      </c>
      <c r="K40" s="156">
        <v>44693</v>
      </c>
      <c r="L40" s="142">
        <v>15.74</v>
      </c>
      <c r="M40" s="142">
        <v>13.51</v>
      </c>
    </row>
    <row r="41" customHeight="1" spans="1:13">
      <c r="A41" s="156">
        <v>44700</v>
      </c>
      <c r="B41" s="142">
        <v>15.75</v>
      </c>
      <c r="C41" s="142">
        <v>17.9</v>
      </c>
      <c r="K41" s="156">
        <v>44700</v>
      </c>
      <c r="L41" s="142">
        <v>15.74</v>
      </c>
      <c r="M41" s="142">
        <v>13.51</v>
      </c>
    </row>
    <row r="42" customHeight="1" spans="1:13">
      <c r="A42" s="156">
        <v>44707</v>
      </c>
      <c r="B42" s="142">
        <v>15.75</v>
      </c>
      <c r="C42" s="142">
        <v>17.9</v>
      </c>
      <c r="K42" s="156">
        <v>44707</v>
      </c>
      <c r="L42" s="142">
        <v>15.74</v>
      </c>
      <c r="M42" s="142">
        <v>13.51</v>
      </c>
    </row>
    <row r="43" customHeight="1" spans="1:13">
      <c r="A43" s="156">
        <v>44714</v>
      </c>
      <c r="B43" s="134">
        <v>16.26</v>
      </c>
      <c r="C43" s="134">
        <v>18.18</v>
      </c>
      <c r="K43" s="156">
        <v>44714</v>
      </c>
      <c r="L43" s="142">
        <v>15.9</v>
      </c>
      <c r="M43" s="142">
        <v>15.12</v>
      </c>
    </row>
    <row r="44" customHeight="1" spans="1:13">
      <c r="A44" s="156">
        <v>44721</v>
      </c>
      <c r="B44" s="134">
        <v>16.26</v>
      </c>
      <c r="C44" s="134">
        <v>17.93</v>
      </c>
      <c r="K44" s="236">
        <v>44721</v>
      </c>
      <c r="L44" s="242">
        <v>16.26</v>
      </c>
      <c r="M44" s="242">
        <v>15.48</v>
      </c>
    </row>
    <row r="45" customHeight="1" spans="1:13">
      <c r="A45" s="156">
        <v>44728</v>
      </c>
      <c r="B45" s="134">
        <v>16.26</v>
      </c>
      <c r="C45" s="134">
        <v>17.93</v>
      </c>
      <c r="K45" s="236">
        <v>44728</v>
      </c>
      <c r="L45" s="242">
        <v>16.46</v>
      </c>
      <c r="M45" s="242">
        <v>15.7</v>
      </c>
    </row>
    <row r="46" customHeight="1" spans="1:13">
      <c r="A46" s="156">
        <v>44735</v>
      </c>
      <c r="B46" s="134">
        <v>16.26</v>
      </c>
      <c r="C46" s="134">
        <v>17.93</v>
      </c>
      <c r="K46" s="236">
        <v>44735</v>
      </c>
      <c r="L46" s="242">
        <v>16.48</v>
      </c>
      <c r="M46" s="242">
        <v>15.72</v>
      </c>
    </row>
    <row r="47" customHeight="1" spans="1:13">
      <c r="A47" s="156">
        <v>44742</v>
      </c>
      <c r="B47" s="134">
        <v>16.26</v>
      </c>
      <c r="C47" s="134">
        <v>17.68</v>
      </c>
      <c r="K47" s="156">
        <v>44742</v>
      </c>
      <c r="L47" s="142">
        <v>16.48</v>
      </c>
      <c r="M47" s="142">
        <v>15.72</v>
      </c>
    </row>
    <row r="48" customHeight="1" spans="1:13">
      <c r="A48" s="156">
        <v>44749</v>
      </c>
      <c r="B48" s="134">
        <v>16.26</v>
      </c>
      <c r="C48" s="134">
        <v>18.44</v>
      </c>
      <c r="K48" s="156">
        <v>44749</v>
      </c>
      <c r="L48" s="142">
        <v>16.46</v>
      </c>
      <c r="M48" s="142">
        <v>15.8</v>
      </c>
    </row>
    <row r="49" customHeight="1" spans="1:13">
      <c r="A49" s="156">
        <v>44756</v>
      </c>
      <c r="B49" s="134">
        <v>16.26</v>
      </c>
      <c r="C49" s="134">
        <v>18.48</v>
      </c>
      <c r="K49" s="156">
        <v>44756</v>
      </c>
      <c r="L49" s="142">
        <v>16.46</v>
      </c>
      <c r="M49" s="142">
        <v>15.88</v>
      </c>
    </row>
    <row r="50" customHeight="1" spans="1:13">
      <c r="A50" s="156">
        <v>44763</v>
      </c>
      <c r="B50" s="134">
        <v>16.28</v>
      </c>
      <c r="C50" s="134">
        <v>18.79</v>
      </c>
      <c r="K50" s="156">
        <v>44763</v>
      </c>
      <c r="L50" s="142">
        <v>16.6</v>
      </c>
      <c r="M50" s="142">
        <v>15.89</v>
      </c>
    </row>
    <row r="51" customHeight="1" spans="1:13">
      <c r="A51" s="156">
        <v>44770</v>
      </c>
      <c r="B51" s="134">
        <v>16.19</v>
      </c>
      <c r="C51" s="134">
        <v>18.78</v>
      </c>
      <c r="K51" s="156">
        <v>44770</v>
      </c>
      <c r="L51" s="142">
        <v>16.51</v>
      </c>
      <c r="M51" s="142">
        <v>15.8</v>
      </c>
    </row>
    <row r="52" customHeight="1" spans="1:13">
      <c r="A52" s="156">
        <v>44777</v>
      </c>
      <c r="B52" s="134">
        <v>16.19</v>
      </c>
      <c r="C52" s="134">
        <v>18.39</v>
      </c>
      <c r="K52" s="156">
        <v>44777</v>
      </c>
      <c r="L52" s="142">
        <v>16.46</v>
      </c>
      <c r="M52" s="142">
        <v>15.84</v>
      </c>
    </row>
    <row r="53" customHeight="1" spans="1:13">
      <c r="A53" s="156">
        <v>44784</v>
      </c>
      <c r="B53" s="134">
        <v>16.19</v>
      </c>
      <c r="C53" s="134">
        <v>18.39</v>
      </c>
      <c r="K53" s="156">
        <v>44784</v>
      </c>
      <c r="L53" s="142">
        <v>16.46</v>
      </c>
      <c r="M53" s="142">
        <v>15.84</v>
      </c>
    </row>
    <row r="54" customHeight="1" spans="1:13">
      <c r="A54" s="156">
        <v>44791</v>
      </c>
      <c r="B54" s="134">
        <v>16.19</v>
      </c>
      <c r="C54" s="134">
        <v>18.03</v>
      </c>
      <c r="K54" s="156">
        <v>44791</v>
      </c>
      <c r="L54" s="142">
        <v>16.46</v>
      </c>
      <c r="M54" s="142">
        <v>15.84</v>
      </c>
    </row>
    <row r="55" customHeight="1" spans="1:13">
      <c r="A55" s="156">
        <v>44798</v>
      </c>
      <c r="B55" s="134">
        <v>16.19</v>
      </c>
      <c r="C55" s="134">
        <v>17.23</v>
      </c>
      <c r="K55" s="156">
        <v>44798</v>
      </c>
      <c r="L55" s="142">
        <v>16.67</v>
      </c>
      <c r="M55" s="142">
        <v>16.09</v>
      </c>
    </row>
    <row r="56" customHeight="1" spans="1:13">
      <c r="A56" s="156">
        <v>44805</v>
      </c>
      <c r="B56" s="134">
        <v>16.19</v>
      </c>
      <c r="C56" s="134">
        <v>17.18</v>
      </c>
      <c r="K56" s="156">
        <v>44805</v>
      </c>
      <c r="L56" s="142">
        <v>16.66</v>
      </c>
      <c r="M56" s="142">
        <v>16.13</v>
      </c>
    </row>
    <row r="57" customHeight="1" spans="1:13">
      <c r="A57" s="156">
        <v>44812</v>
      </c>
      <c r="B57" s="134">
        <v>16.19</v>
      </c>
      <c r="C57" s="134">
        <v>17.14</v>
      </c>
      <c r="K57" s="156">
        <v>44812</v>
      </c>
      <c r="L57" s="142">
        <v>16.91</v>
      </c>
      <c r="M57" s="142">
        <v>16.38</v>
      </c>
    </row>
    <row r="58" customHeight="1" spans="1:13">
      <c r="A58" s="156">
        <v>44819</v>
      </c>
      <c r="B58" s="134">
        <v>16.28</v>
      </c>
      <c r="C58" s="134">
        <v>17.22</v>
      </c>
      <c r="K58" s="156">
        <v>44819</v>
      </c>
      <c r="L58" s="142">
        <v>16.87</v>
      </c>
      <c r="M58" s="142">
        <v>16.59</v>
      </c>
    </row>
    <row r="59" customHeight="1" spans="1:13">
      <c r="A59" s="156">
        <v>44826</v>
      </c>
      <c r="B59" s="134">
        <v>16.4</v>
      </c>
      <c r="C59" s="134">
        <v>17.34</v>
      </c>
      <c r="K59" s="156">
        <v>44826</v>
      </c>
      <c r="L59" s="142">
        <v>16.86</v>
      </c>
      <c r="M59" s="142">
        <v>16.58</v>
      </c>
    </row>
    <row r="60" customHeight="1" spans="1:13">
      <c r="A60" s="156">
        <v>44833</v>
      </c>
      <c r="B60" s="134">
        <v>16.49</v>
      </c>
      <c r="C60" s="134">
        <v>17.45</v>
      </c>
      <c r="K60" s="156">
        <v>44833</v>
      </c>
      <c r="L60" s="142">
        <v>16.86</v>
      </c>
      <c r="M60" s="142">
        <v>16.68</v>
      </c>
    </row>
    <row r="61" customHeight="1" spans="1:13">
      <c r="A61" s="156">
        <v>44842</v>
      </c>
      <c r="B61" s="134">
        <v>16.49</v>
      </c>
      <c r="C61" s="134">
        <v>17.54</v>
      </c>
      <c r="K61" s="156">
        <v>44842</v>
      </c>
      <c r="L61" s="142">
        <v>16.87</v>
      </c>
      <c r="M61" s="142">
        <v>16.72</v>
      </c>
    </row>
    <row r="62" customHeight="1" spans="1:13">
      <c r="A62" s="156">
        <v>44847</v>
      </c>
      <c r="B62" s="134">
        <v>16.49</v>
      </c>
      <c r="C62" s="134">
        <v>18.11</v>
      </c>
      <c r="K62" s="156">
        <v>44847</v>
      </c>
      <c r="L62" s="142">
        <v>17.63</v>
      </c>
      <c r="M62" s="142">
        <v>17.67</v>
      </c>
    </row>
    <row r="63" customHeight="1" spans="1:13">
      <c r="A63" s="156">
        <v>44854</v>
      </c>
      <c r="B63" s="134">
        <v>17.08</v>
      </c>
      <c r="C63" s="134">
        <v>18.92</v>
      </c>
      <c r="K63" s="156">
        <v>44854</v>
      </c>
      <c r="L63" s="142">
        <v>17.63</v>
      </c>
      <c r="M63" s="142">
        <v>17.67</v>
      </c>
    </row>
    <row r="64" customHeight="1" spans="1:13">
      <c r="A64" s="156">
        <v>44861</v>
      </c>
      <c r="B64" s="134">
        <v>17.08</v>
      </c>
      <c r="C64" s="134">
        <v>19.01</v>
      </c>
      <c r="K64" s="156">
        <v>44861</v>
      </c>
      <c r="L64" s="142">
        <v>17.79</v>
      </c>
      <c r="M64" s="142">
        <v>17.92</v>
      </c>
    </row>
    <row r="65" customHeight="1" spans="1:13">
      <c r="A65" s="156">
        <v>44868</v>
      </c>
      <c r="B65" s="134">
        <v>17.08</v>
      </c>
      <c r="C65" s="134">
        <v>19.01</v>
      </c>
      <c r="K65" s="156">
        <v>44868</v>
      </c>
      <c r="L65" s="142">
        <v>17.78</v>
      </c>
      <c r="M65" s="142">
        <v>17.91</v>
      </c>
    </row>
    <row r="66" customHeight="1" spans="1:13">
      <c r="A66" s="156">
        <v>44875</v>
      </c>
      <c r="B66" s="134">
        <v>17.1</v>
      </c>
      <c r="C66" s="134">
        <v>18.93</v>
      </c>
      <c r="K66" s="156">
        <v>44875</v>
      </c>
      <c r="L66" s="142">
        <v>17.84</v>
      </c>
      <c r="M66" s="142">
        <v>17.92</v>
      </c>
    </row>
    <row r="67" customHeight="1" spans="1:13">
      <c r="A67" s="156">
        <v>44882</v>
      </c>
      <c r="B67" s="134">
        <v>17.2</v>
      </c>
      <c r="C67" s="134">
        <v>19.03</v>
      </c>
      <c r="K67" s="156">
        <v>44882</v>
      </c>
      <c r="L67" s="142">
        <v>17.9</v>
      </c>
      <c r="M67" s="142">
        <v>17.98</v>
      </c>
    </row>
    <row r="68" customHeight="1" spans="1:13">
      <c r="A68" s="156">
        <v>44889</v>
      </c>
      <c r="B68" s="134">
        <v>17.2</v>
      </c>
      <c r="C68" s="134">
        <v>18.75</v>
      </c>
      <c r="K68" s="156">
        <v>44889</v>
      </c>
      <c r="L68" s="142">
        <v>17.94</v>
      </c>
      <c r="M68" s="142">
        <v>18.27</v>
      </c>
    </row>
    <row r="69" customHeight="1" spans="1:13">
      <c r="A69" s="156">
        <v>44896</v>
      </c>
      <c r="B69" s="134">
        <v>17.2</v>
      </c>
      <c r="C69" s="134">
        <v>18.51</v>
      </c>
      <c r="K69" s="156">
        <v>44896</v>
      </c>
      <c r="L69" s="142">
        <v>17.93</v>
      </c>
      <c r="M69" s="142">
        <v>18.27</v>
      </c>
    </row>
    <row r="70" customHeight="1" spans="1:13">
      <c r="A70" s="156">
        <v>44903</v>
      </c>
      <c r="B70" s="134">
        <v>17.2</v>
      </c>
      <c r="C70" s="134">
        <v>18.31</v>
      </c>
      <c r="K70" s="156">
        <v>44903</v>
      </c>
      <c r="L70" s="142">
        <v>17.91</v>
      </c>
      <c r="M70" s="142">
        <v>18.3</v>
      </c>
    </row>
    <row r="71" customHeight="1" spans="1:13">
      <c r="A71" s="156">
        <v>44910</v>
      </c>
      <c r="B71" s="134">
        <v>17.2</v>
      </c>
      <c r="C71" s="134">
        <v>17.65</v>
      </c>
      <c r="K71" s="156">
        <v>44910</v>
      </c>
      <c r="L71" s="142">
        <v>17.93</v>
      </c>
      <c r="M71" s="142">
        <v>18.32</v>
      </c>
    </row>
    <row r="72" customHeight="1" spans="1:13">
      <c r="A72" s="156">
        <v>44917</v>
      </c>
      <c r="B72" s="134">
        <v>17.04</v>
      </c>
      <c r="C72" s="134">
        <v>17.51</v>
      </c>
      <c r="K72" s="156">
        <v>44917</v>
      </c>
      <c r="L72" s="142">
        <v>17.63</v>
      </c>
      <c r="M72" s="142">
        <v>18.11</v>
      </c>
    </row>
    <row r="73" customHeight="1" spans="1:13">
      <c r="A73" s="156">
        <v>44924</v>
      </c>
      <c r="B73" s="243">
        <v>17.04</v>
      </c>
      <c r="C73" s="243">
        <v>17.46</v>
      </c>
      <c r="K73" s="156">
        <v>44924</v>
      </c>
      <c r="L73" s="142">
        <v>17.65</v>
      </c>
      <c r="M73" s="142">
        <v>18.15</v>
      </c>
    </row>
    <row r="74" customHeight="1" spans="1:13">
      <c r="A74" s="156">
        <v>44931</v>
      </c>
      <c r="B74" s="243">
        <v>17.04</v>
      </c>
      <c r="C74" s="243">
        <v>17.36</v>
      </c>
      <c r="K74" s="156">
        <v>44931</v>
      </c>
      <c r="L74" s="142">
        <v>17.6</v>
      </c>
      <c r="M74" s="142">
        <v>18.46</v>
      </c>
    </row>
    <row r="75" customHeight="1" spans="1:13">
      <c r="A75" s="156">
        <v>44938</v>
      </c>
      <c r="B75" s="243">
        <v>16.93</v>
      </c>
      <c r="C75" s="243">
        <v>16.96</v>
      </c>
      <c r="K75" s="156">
        <v>44938</v>
      </c>
      <c r="L75" s="142">
        <v>16.59</v>
      </c>
      <c r="M75" s="142">
        <v>17.6</v>
      </c>
    </row>
    <row r="76" customHeight="1" spans="1:13">
      <c r="A76" s="156">
        <v>44959</v>
      </c>
      <c r="B76" s="243">
        <v>16.65</v>
      </c>
      <c r="C76" s="243">
        <v>17.23</v>
      </c>
      <c r="K76" s="156">
        <v>44959</v>
      </c>
      <c r="L76" s="142">
        <v>16.61</v>
      </c>
      <c r="M76" s="142">
        <v>17.55</v>
      </c>
    </row>
    <row r="77" customHeight="1" spans="1:13">
      <c r="A77" s="156">
        <v>44966</v>
      </c>
      <c r="B77" s="243">
        <v>16.65</v>
      </c>
      <c r="C77" s="243">
        <v>17.44</v>
      </c>
      <c r="K77" s="156">
        <v>44966</v>
      </c>
      <c r="L77" s="142">
        <v>16.6</v>
      </c>
      <c r="M77" s="142">
        <v>17.53</v>
      </c>
    </row>
    <row r="78" customHeight="1" spans="1:13">
      <c r="A78" s="156">
        <v>44973</v>
      </c>
      <c r="B78" s="243">
        <v>16.29</v>
      </c>
      <c r="C78" s="243">
        <v>17.32</v>
      </c>
      <c r="K78" s="156">
        <v>44973</v>
      </c>
      <c r="L78" s="142">
        <v>16.51</v>
      </c>
      <c r="M78" s="142">
        <v>17.42</v>
      </c>
    </row>
    <row r="79" customHeight="1" spans="1:13">
      <c r="A79" s="156">
        <v>44980</v>
      </c>
      <c r="B79" s="243">
        <v>15.93</v>
      </c>
      <c r="C79" s="243">
        <v>17.26</v>
      </c>
      <c r="K79" s="156">
        <v>44980</v>
      </c>
      <c r="L79" s="142">
        <v>16.09</v>
      </c>
      <c r="M79" s="142">
        <v>17.09</v>
      </c>
    </row>
    <row r="80" customHeight="1" spans="1:13">
      <c r="A80" s="156">
        <v>44987</v>
      </c>
      <c r="B80" s="243">
        <v>15.91</v>
      </c>
      <c r="C80" s="243">
        <v>17.94</v>
      </c>
      <c r="K80" s="156">
        <v>44987</v>
      </c>
      <c r="L80" s="142">
        <v>15.96</v>
      </c>
      <c r="M80" s="142">
        <v>16.95</v>
      </c>
    </row>
    <row r="81" customHeight="1" spans="1:13">
      <c r="A81" s="156">
        <v>44994</v>
      </c>
      <c r="B81" s="243">
        <v>15.91</v>
      </c>
      <c r="C81" s="243">
        <v>17.94</v>
      </c>
      <c r="K81" s="156">
        <v>44994</v>
      </c>
      <c r="L81" s="142">
        <v>16.07</v>
      </c>
      <c r="M81" s="142">
        <v>17.06</v>
      </c>
    </row>
    <row r="82" customHeight="1" spans="1:13">
      <c r="A82" s="156">
        <v>45001</v>
      </c>
      <c r="B82" s="243">
        <v>15.91</v>
      </c>
      <c r="C82" s="243">
        <v>17.85</v>
      </c>
      <c r="K82" s="156">
        <v>45001</v>
      </c>
      <c r="L82" s="142">
        <v>16.04</v>
      </c>
      <c r="M82" s="142">
        <v>17.02</v>
      </c>
    </row>
    <row r="83" customHeight="1" spans="1:13">
      <c r="A83" s="156">
        <v>45008</v>
      </c>
      <c r="B83" s="243">
        <v>15.91</v>
      </c>
      <c r="C83" s="243">
        <v>17.78</v>
      </c>
      <c r="K83" s="156">
        <v>45008</v>
      </c>
      <c r="L83" s="142">
        <v>16.03</v>
      </c>
      <c r="M83" s="142">
        <v>17.06</v>
      </c>
    </row>
    <row r="84" customHeight="1" spans="1:13">
      <c r="A84" s="156">
        <v>45015</v>
      </c>
      <c r="B84" s="243">
        <v>15.71</v>
      </c>
      <c r="C84" s="243">
        <v>17.48</v>
      </c>
      <c r="K84" s="156">
        <v>45015</v>
      </c>
      <c r="L84" s="142">
        <v>15.78</v>
      </c>
      <c r="M84" s="142">
        <v>16.84</v>
      </c>
    </row>
    <row r="85" customHeight="1" spans="1:13">
      <c r="A85" s="156">
        <v>45022</v>
      </c>
      <c r="B85" s="243">
        <v>15.71</v>
      </c>
      <c r="C85" s="243">
        <v>17.44</v>
      </c>
      <c r="K85" s="156">
        <v>45022</v>
      </c>
      <c r="L85" s="142">
        <v>15.74</v>
      </c>
      <c r="M85" s="142">
        <v>16.83</v>
      </c>
    </row>
    <row r="86" customHeight="1" spans="1:13">
      <c r="A86" s="156">
        <v>45029</v>
      </c>
      <c r="B86" s="243">
        <v>15.71</v>
      </c>
      <c r="C86" s="243">
        <v>17.4</v>
      </c>
      <c r="K86" s="156">
        <v>45029</v>
      </c>
      <c r="L86" s="142">
        <v>15.74</v>
      </c>
      <c r="M86" s="142">
        <v>16.78</v>
      </c>
    </row>
    <row r="87" customHeight="1" spans="1:13">
      <c r="A87" s="156">
        <v>45036</v>
      </c>
      <c r="B87" s="243">
        <v>15.72</v>
      </c>
      <c r="C87" s="243">
        <v>17.4</v>
      </c>
      <c r="K87" s="156">
        <v>45036</v>
      </c>
      <c r="L87" s="142">
        <v>15.76</v>
      </c>
      <c r="M87" s="142">
        <v>16.79</v>
      </c>
    </row>
    <row r="88" customHeight="1" spans="1:13">
      <c r="A88" s="156">
        <v>45043</v>
      </c>
      <c r="B88" s="243">
        <v>15.71</v>
      </c>
      <c r="C88" s="243">
        <v>17.34</v>
      </c>
      <c r="K88" s="156">
        <v>45043</v>
      </c>
      <c r="L88" s="142">
        <v>15.77</v>
      </c>
      <c r="M88" s="142">
        <v>16.73</v>
      </c>
    </row>
    <row r="89" customHeight="1" spans="1:13">
      <c r="A89" s="156">
        <v>45050</v>
      </c>
      <c r="B89" s="243">
        <v>15.83</v>
      </c>
      <c r="C89" s="243">
        <v>17.5</v>
      </c>
      <c r="K89" s="156">
        <v>45050</v>
      </c>
      <c r="L89" s="142">
        <v>15.89</v>
      </c>
      <c r="M89" s="142">
        <v>16.94</v>
      </c>
    </row>
    <row r="90" customHeight="1" spans="1:13">
      <c r="A90" s="156">
        <v>45057</v>
      </c>
      <c r="B90" s="243">
        <v>15.85</v>
      </c>
      <c r="C90" s="243">
        <v>17.63</v>
      </c>
      <c r="K90" s="156">
        <v>45057</v>
      </c>
      <c r="L90" s="142">
        <v>15.92</v>
      </c>
      <c r="M90" s="142">
        <v>17.12</v>
      </c>
    </row>
    <row r="91" customHeight="1" spans="1:13">
      <c r="A91" s="156">
        <v>45064</v>
      </c>
      <c r="B91" s="243">
        <v>15.85</v>
      </c>
      <c r="C91" s="243">
        <v>17.72</v>
      </c>
      <c r="K91" s="156">
        <v>45064</v>
      </c>
      <c r="L91" s="142">
        <v>15.93</v>
      </c>
      <c r="M91" s="142">
        <v>17.23</v>
      </c>
    </row>
    <row r="92" customHeight="1" spans="1:13">
      <c r="A92" s="156">
        <v>45071</v>
      </c>
      <c r="B92" s="243">
        <v>15.85</v>
      </c>
      <c r="C92" s="243">
        <v>17.72</v>
      </c>
      <c r="K92" s="156">
        <v>45071</v>
      </c>
      <c r="L92" s="142">
        <v>15.94</v>
      </c>
      <c r="M92" s="142">
        <v>17.25</v>
      </c>
    </row>
    <row r="93" customHeight="1" spans="1:13">
      <c r="A93" s="156">
        <v>45078</v>
      </c>
      <c r="B93" s="243">
        <v>15.84</v>
      </c>
      <c r="C93" s="243">
        <v>17.53</v>
      </c>
      <c r="K93" s="156">
        <v>45078</v>
      </c>
      <c r="L93" s="142">
        <v>15.94</v>
      </c>
      <c r="M93" s="142">
        <v>17.01</v>
      </c>
    </row>
    <row r="94" customHeight="1" spans="1:13">
      <c r="A94" s="156">
        <v>45085</v>
      </c>
      <c r="B94" s="243">
        <v>15.46</v>
      </c>
      <c r="C94" s="243">
        <v>17.15</v>
      </c>
      <c r="K94" s="156">
        <v>45085</v>
      </c>
      <c r="L94" s="142">
        <v>15.57</v>
      </c>
      <c r="M94" s="142">
        <v>16.64</v>
      </c>
    </row>
    <row r="95" customHeight="1" spans="1:13">
      <c r="A95" s="156">
        <v>45092</v>
      </c>
      <c r="B95" s="243">
        <v>15.38</v>
      </c>
      <c r="C95" s="243">
        <v>17.07</v>
      </c>
      <c r="K95" s="156">
        <v>45092</v>
      </c>
      <c r="L95" s="142">
        <v>15.51</v>
      </c>
      <c r="M95" s="142">
        <v>16.62</v>
      </c>
    </row>
    <row r="96" customHeight="1" spans="1:13">
      <c r="A96" s="156">
        <v>45098</v>
      </c>
      <c r="B96" s="243">
        <v>15.33</v>
      </c>
      <c r="C96" s="243">
        <v>17.01</v>
      </c>
      <c r="K96" s="156">
        <v>45098</v>
      </c>
      <c r="L96" s="142">
        <v>15.47</v>
      </c>
      <c r="M96" s="142">
        <v>16.58</v>
      </c>
    </row>
    <row r="97" customHeight="1" spans="1:13">
      <c r="A97" s="156">
        <v>45106</v>
      </c>
      <c r="B97" s="243">
        <v>15.33</v>
      </c>
      <c r="C97" s="243">
        <v>17.07</v>
      </c>
      <c r="K97" s="156">
        <v>45106</v>
      </c>
      <c r="L97" s="142">
        <v>15.48</v>
      </c>
      <c r="M97" s="142">
        <v>16.59</v>
      </c>
    </row>
    <row r="98" customHeight="1" spans="1:13">
      <c r="A98" s="156">
        <v>45113</v>
      </c>
      <c r="B98" s="243">
        <v>15.28</v>
      </c>
      <c r="C98" s="243">
        <v>16.35</v>
      </c>
      <c r="K98" s="156">
        <v>45113</v>
      </c>
      <c r="L98" s="142">
        <v>15.44</v>
      </c>
      <c r="M98" s="142">
        <v>16.23</v>
      </c>
    </row>
    <row r="99" customHeight="1" spans="1:13">
      <c r="A99" s="156">
        <v>45120</v>
      </c>
      <c r="B99" s="243">
        <v>15.28</v>
      </c>
      <c r="C99" s="243">
        <v>15.81</v>
      </c>
      <c r="K99" s="156">
        <v>45120</v>
      </c>
      <c r="L99" s="142">
        <v>15.44</v>
      </c>
      <c r="M99" s="142">
        <v>15.77</v>
      </c>
    </row>
    <row r="100" customHeight="1" spans="1:13">
      <c r="A100" s="156">
        <v>45127</v>
      </c>
      <c r="B100" s="244">
        <v>15.4</v>
      </c>
      <c r="C100" s="244">
        <v>15.75</v>
      </c>
      <c r="K100" s="156">
        <v>45127</v>
      </c>
      <c r="L100" s="142">
        <v>15.56</v>
      </c>
      <c r="M100" s="142">
        <v>16.54</v>
      </c>
    </row>
    <row r="101" customHeight="1" spans="1:13">
      <c r="A101" s="156">
        <v>45134</v>
      </c>
      <c r="B101" s="243">
        <v>15.49</v>
      </c>
      <c r="C101" s="243">
        <v>15.86</v>
      </c>
      <c r="K101" s="156">
        <v>45134</v>
      </c>
      <c r="L101" s="142">
        <v>15.65</v>
      </c>
      <c r="M101" s="142">
        <v>17</v>
      </c>
    </row>
    <row r="102" customHeight="1" spans="1:13">
      <c r="A102" s="156">
        <v>45141</v>
      </c>
      <c r="B102" s="243">
        <v>15.52</v>
      </c>
      <c r="C102" s="243">
        <v>15.89</v>
      </c>
      <c r="K102" s="156">
        <v>45141</v>
      </c>
      <c r="L102" s="142">
        <v>15.65</v>
      </c>
      <c r="M102" s="142">
        <v>17.58</v>
      </c>
    </row>
    <row r="103" customHeight="1" spans="1:13">
      <c r="A103" s="156">
        <v>45148</v>
      </c>
      <c r="B103" s="243">
        <v>15.54</v>
      </c>
      <c r="C103" s="243">
        <v>15.93</v>
      </c>
      <c r="K103" s="156">
        <v>45148</v>
      </c>
      <c r="L103" s="142">
        <v>15.62</v>
      </c>
      <c r="M103" s="142">
        <v>17.55</v>
      </c>
    </row>
    <row r="104" customHeight="1" spans="1:13">
      <c r="A104" s="156">
        <v>45155</v>
      </c>
      <c r="B104" s="243">
        <v>15.54</v>
      </c>
      <c r="C104" s="243">
        <v>16.18</v>
      </c>
      <c r="K104" s="156">
        <v>45155</v>
      </c>
      <c r="L104" s="142">
        <v>15.62</v>
      </c>
      <c r="M104" s="142">
        <v>17.54</v>
      </c>
    </row>
    <row r="105" customHeight="1" spans="1:13">
      <c r="A105" s="156">
        <v>45162</v>
      </c>
      <c r="B105" s="243">
        <v>15.63</v>
      </c>
      <c r="C105" s="243">
        <v>15.91</v>
      </c>
      <c r="K105" s="156">
        <v>45162</v>
      </c>
      <c r="L105" s="142">
        <v>15.68</v>
      </c>
      <c r="M105" s="142">
        <v>17.64</v>
      </c>
    </row>
    <row r="106" customHeight="1" spans="1:13">
      <c r="A106" s="156">
        <v>45169</v>
      </c>
      <c r="B106" s="243">
        <v>15.69</v>
      </c>
      <c r="C106" s="243">
        <v>15.83</v>
      </c>
      <c r="K106" s="156">
        <v>45169</v>
      </c>
      <c r="L106" s="142">
        <v>15.72</v>
      </c>
      <c r="M106" s="142">
        <v>17.21</v>
      </c>
    </row>
    <row r="107" customHeight="1" spans="1:13">
      <c r="A107" s="156">
        <v>45176</v>
      </c>
      <c r="B107" s="243">
        <v>15.79</v>
      </c>
      <c r="C107" s="243">
        <v>15.62</v>
      </c>
      <c r="K107" s="156">
        <v>45176</v>
      </c>
      <c r="L107" s="142">
        <v>15.81</v>
      </c>
      <c r="M107" s="142">
        <v>17.12</v>
      </c>
    </row>
    <row r="108" customHeight="1" spans="1:13">
      <c r="A108" s="156">
        <v>45183</v>
      </c>
      <c r="B108" s="243">
        <v>15.9</v>
      </c>
      <c r="C108" s="243">
        <v>15.41</v>
      </c>
      <c r="K108" s="156">
        <v>45183</v>
      </c>
      <c r="L108" s="142">
        <v>15.91</v>
      </c>
      <c r="M108" s="142">
        <v>17.13</v>
      </c>
    </row>
    <row r="109" customHeight="1" spans="1:13">
      <c r="A109" s="156">
        <v>45190</v>
      </c>
      <c r="B109" s="243">
        <v>15.9</v>
      </c>
      <c r="C109" s="243">
        <v>15.32</v>
      </c>
      <c r="K109" s="156">
        <v>45190</v>
      </c>
      <c r="L109" s="142">
        <v>15.9</v>
      </c>
      <c r="M109" s="142">
        <v>17.03</v>
      </c>
    </row>
    <row r="110" customHeight="1" spans="1:13">
      <c r="A110" s="156">
        <v>45197</v>
      </c>
      <c r="B110" s="243">
        <v>15.93</v>
      </c>
      <c r="C110" s="243">
        <v>14.9</v>
      </c>
      <c r="K110" s="156">
        <v>45197</v>
      </c>
      <c r="L110" s="142">
        <v>15.92</v>
      </c>
      <c r="M110" s="142">
        <v>17.04</v>
      </c>
    </row>
    <row r="111" customHeight="1" spans="1:13">
      <c r="A111" s="156">
        <v>45205</v>
      </c>
      <c r="B111" s="243">
        <v>15.84</v>
      </c>
      <c r="C111" s="243">
        <v>14.44</v>
      </c>
      <c r="K111" s="156">
        <v>45205</v>
      </c>
      <c r="L111" s="142">
        <v>15.9</v>
      </c>
      <c r="M111" s="142">
        <v>17.03</v>
      </c>
    </row>
    <row r="112" customHeight="1" spans="1:13">
      <c r="A112" s="156">
        <v>45211</v>
      </c>
      <c r="B112" s="243">
        <v>15.82</v>
      </c>
      <c r="C112" s="243">
        <v>14.25</v>
      </c>
      <c r="K112" s="156">
        <v>45211</v>
      </c>
      <c r="L112" s="142">
        <v>15.89</v>
      </c>
      <c r="M112" s="142">
        <v>17.25</v>
      </c>
    </row>
    <row r="113" customHeight="1" spans="1:13">
      <c r="A113" s="156">
        <v>45218</v>
      </c>
      <c r="B113" s="243">
        <v>15.49</v>
      </c>
      <c r="C113" s="243">
        <v>13.82</v>
      </c>
      <c r="K113" s="156">
        <v>45218</v>
      </c>
      <c r="L113" s="142">
        <v>15.57</v>
      </c>
      <c r="M113" s="142">
        <v>17.25</v>
      </c>
    </row>
    <row r="114" customHeight="1" spans="1:13">
      <c r="A114" s="156">
        <v>45225</v>
      </c>
      <c r="B114" s="243">
        <v>15.49</v>
      </c>
      <c r="C114" s="243">
        <v>13.82</v>
      </c>
      <c r="K114" s="156">
        <v>45225</v>
      </c>
      <c r="L114" s="142">
        <v>15.59</v>
      </c>
      <c r="M114" s="142">
        <v>17.29</v>
      </c>
    </row>
    <row r="115" customHeight="1" spans="1:13">
      <c r="A115" s="156">
        <v>45232</v>
      </c>
      <c r="B115" s="243">
        <v>15.59</v>
      </c>
      <c r="C115" s="243">
        <v>14.15</v>
      </c>
      <c r="K115" s="156">
        <v>45232</v>
      </c>
      <c r="L115" s="142">
        <v>15.82</v>
      </c>
      <c r="M115" s="142">
        <v>17.24</v>
      </c>
    </row>
    <row r="116" customHeight="1" spans="1:13">
      <c r="A116" s="156">
        <v>45239</v>
      </c>
      <c r="B116" s="243">
        <v>15.21</v>
      </c>
      <c r="C116" s="243">
        <v>13.94</v>
      </c>
      <c r="K116" s="156">
        <v>45239</v>
      </c>
      <c r="L116" s="142">
        <v>15.44</v>
      </c>
      <c r="M116" s="142">
        <v>16.17</v>
      </c>
    </row>
    <row r="117" customHeight="1" spans="1:13">
      <c r="A117" s="156">
        <v>45246</v>
      </c>
      <c r="B117" s="243">
        <v>15.21</v>
      </c>
      <c r="C117" s="243">
        <v>14.08</v>
      </c>
      <c r="K117" s="156">
        <v>45246</v>
      </c>
      <c r="L117" s="142">
        <v>15.4</v>
      </c>
      <c r="M117" s="142">
        <v>15.81</v>
      </c>
    </row>
    <row r="118" customHeight="1" spans="1:13">
      <c r="A118" s="156">
        <v>45253</v>
      </c>
      <c r="B118" s="243">
        <v>15.21</v>
      </c>
      <c r="C118" s="243">
        <v>14.17</v>
      </c>
      <c r="K118" s="156">
        <v>45253</v>
      </c>
      <c r="L118" s="142">
        <v>15.39</v>
      </c>
      <c r="M118" s="142">
        <v>15.7</v>
      </c>
    </row>
    <row r="119" customHeight="1" spans="1:13">
      <c r="A119" s="156">
        <v>45260</v>
      </c>
      <c r="B119" s="243">
        <v>15.25</v>
      </c>
      <c r="C119" s="243">
        <v>14.23</v>
      </c>
      <c r="K119" s="156">
        <v>45260</v>
      </c>
      <c r="L119" s="142">
        <v>15.42</v>
      </c>
      <c r="M119" s="142">
        <v>15.47</v>
      </c>
    </row>
    <row r="120" customHeight="1" spans="1:13">
      <c r="A120" s="156">
        <v>45267</v>
      </c>
      <c r="B120" s="243">
        <v>15.25</v>
      </c>
      <c r="C120" s="243">
        <v>14.23</v>
      </c>
      <c r="K120" s="156">
        <v>45267</v>
      </c>
      <c r="L120" s="142">
        <v>15.44</v>
      </c>
      <c r="M120" s="142">
        <v>15.31</v>
      </c>
    </row>
    <row r="121" customHeight="1" spans="1:13">
      <c r="A121" s="156">
        <v>45274</v>
      </c>
      <c r="B121" s="243">
        <v>15.1</v>
      </c>
      <c r="C121" s="243">
        <v>14.08</v>
      </c>
      <c r="K121" s="156">
        <v>45274</v>
      </c>
      <c r="L121" s="142">
        <v>15.29</v>
      </c>
      <c r="M121" s="142">
        <v>15.11</v>
      </c>
    </row>
    <row r="122" customHeight="1" spans="1:13">
      <c r="A122" s="156">
        <v>45281</v>
      </c>
      <c r="B122" s="243">
        <v>15.1</v>
      </c>
      <c r="C122" s="243">
        <v>13.9</v>
      </c>
      <c r="K122" s="156">
        <v>45281</v>
      </c>
      <c r="L122" s="142">
        <v>15.28</v>
      </c>
      <c r="M122" s="142">
        <v>15.1</v>
      </c>
    </row>
    <row r="123" customHeight="1" spans="1:13">
      <c r="A123" s="156">
        <v>45288</v>
      </c>
      <c r="B123" s="243">
        <v>15.11</v>
      </c>
      <c r="C123" s="243">
        <v>13.85</v>
      </c>
      <c r="K123" s="156">
        <v>45288</v>
      </c>
      <c r="L123" s="142">
        <v>15.25</v>
      </c>
      <c r="M123" s="142">
        <v>15.16</v>
      </c>
    </row>
    <row r="124" customHeight="1" spans="1:13">
      <c r="A124" s="156">
        <v>45295</v>
      </c>
      <c r="B124" s="243">
        <v>15.11</v>
      </c>
      <c r="C124" s="243">
        <v>13.84</v>
      </c>
      <c r="K124" s="156">
        <v>45295</v>
      </c>
      <c r="L124" s="142">
        <v>15.24</v>
      </c>
      <c r="M124" s="142">
        <v>15.65</v>
      </c>
    </row>
    <row r="125" customHeight="1" spans="1:13">
      <c r="A125" s="156">
        <v>45302</v>
      </c>
      <c r="B125" s="243">
        <v>15.11</v>
      </c>
      <c r="C125" s="243">
        <v>13.82</v>
      </c>
      <c r="K125" s="156">
        <v>45302</v>
      </c>
      <c r="L125" s="142">
        <v>15.26</v>
      </c>
      <c r="M125" s="142">
        <v>15.7</v>
      </c>
    </row>
    <row r="126" customHeight="1" spans="1:13">
      <c r="A126" s="156">
        <v>45309</v>
      </c>
      <c r="B126" s="243">
        <v>15.11</v>
      </c>
      <c r="C126" s="243">
        <v>14.24</v>
      </c>
      <c r="K126" s="156">
        <v>45309</v>
      </c>
      <c r="L126" s="142">
        <v>15.28</v>
      </c>
      <c r="M126" s="142">
        <v>15.91</v>
      </c>
    </row>
    <row r="127" customHeight="1" spans="1:13">
      <c r="A127" s="156">
        <v>45316</v>
      </c>
      <c r="B127" s="243">
        <v>15.11</v>
      </c>
      <c r="C127" s="243">
        <v>15.36</v>
      </c>
      <c r="K127" s="156">
        <v>45316</v>
      </c>
      <c r="L127" s="142">
        <v>15.29</v>
      </c>
      <c r="M127" s="142">
        <v>15.77</v>
      </c>
    </row>
    <row r="128" customHeight="1" spans="1:13">
      <c r="A128" s="156">
        <v>45323</v>
      </c>
      <c r="B128" s="243">
        <v>15.06</v>
      </c>
      <c r="C128" s="243">
        <v>15.55</v>
      </c>
      <c r="K128" s="156">
        <v>45323</v>
      </c>
      <c r="L128" s="142">
        <v>15.26</v>
      </c>
      <c r="M128" s="142">
        <v>15.02</v>
      </c>
    </row>
    <row r="129" customHeight="1" spans="1:13">
      <c r="A129" s="156">
        <v>45344</v>
      </c>
      <c r="B129" s="243">
        <v>14.87</v>
      </c>
      <c r="C129" s="243">
        <v>16.2</v>
      </c>
      <c r="K129" s="156">
        <v>45344</v>
      </c>
      <c r="L129" s="142">
        <v>15.04</v>
      </c>
      <c r="M129" s="142">
        <v>14.3</v>
      </c>
    </row>
    <row r="130" customHeight="1" spans="1:13">
      <c r="A130" s="156">
        <v>45351</v>
      </c>
      <c r="B130" s="243">
        <v>13.97</v>
      </c>
      <c r="C130" s="243">
        <v>14.93</v>
      </c>
      <c r="K130" s="156">
        <v>45351</v>
      </c>
      <c r="L130" s="142">
        <v>14.83</v>
      </c>
      <c r="M130" s="142">
        <v>13.39</v>
      </c>
    </row>
    <row r="131" customHeight="1" spans="1:13">
      <c r="A131" s="156">
        <v>45358</v>
      </c>
      <c r="B131" s="243">
        <v>13.97</v>
      </c>
      <c r="C131" s="243">
        <v>14.67</v>
      </c>
      <c r="K131" s="156">
        <v>45358</v>
      </c>
      <c r="L131" s="142">
        <v>14.79</v>
      </c>
      <c r="M131" s="142">
        <v>13.28</v>
      </c>
    </row>
    <row r="132" customHeight="1" spans="1:13">
      <c r="A132" s="156">
        <v>45365</v>
      </c>
      <c r="B132" s="243">
        <v>13.97</v>
      </c>
      <c r="C132" s="243">
        <v>14.93</v>
      </c>
      <c r="K132" s="156">
        <v>45365</v>
      </c>
      <c r="L132" s="142">
        <v>14.77</v>
      </c>
      <c r="M132" s="142">
        <v>13.18</v>
      </c>
    </row>
    <row r="133" customHeight="1" spans="1:13">
      <c r="A133" s="156">
        <v>45372</v>
      </c>
      <c r="B133" s="243">
        <v>13.83</v>
      </c>
      <c r="C133" s="243">
        <v>15.48</v>
      </c>
      <c r="K133" s="156">
        <v>45372</v>
      </c>
      <c r="L133" s="142">
        <v>14.06</v>
      </c>
      <c r="M133" s="142">
        <v>12.25</v>
      </c>
    </row>
    <row r="134" customHeight="1" spans="1:13">
      <c r="A134" s="156">
        <v>45379</v>
      </c>
      <c r="B134" s="243">
        <v>13.83</v>
      </c>
      <c r="C134" s="243">
        <v>16.26</v>
      </c>
      <c r="K134" s="156">
        <v>45379</v>
      </c>
      <c r="L134" s="142">
        <v>14.04</v>
      </c>
      <c r="M134" s="142">
        <v>12.07</v>
      </c>
    </row>
    <row r="135" customHeight="1" spans="1:13">
      <c r="A135" s="156">
        <v>45385</v>
      </c>
      <c r="B135" s="243">
        <v>13.77</v>
      </c>
      <c r="C135" s="243">
        <v>16.29</v>
      </c>
      <c r="K135" s="156">
        <v>45385</v>
      </c>
      <c r="L135" s="142">
        <v>13.96</v>
      </c>
      <c r="M135" s="142">
        <v>12.18</v>
      </c>
    </row>
    <row r="136" customHeight="1" spans="1:13">
      <c r="A136" s="156">
        <v>45393</v>
      </c>
      <c r="B136" s="243">
        <v>13.77</v>
      </c>
      <c r="C136" s="243">
        <v>16.12</v>
      </c>
      <c r="K136" s="156">
        <v>45393</v>
      </c>
      <c r="L136" s="245">
        <v>13.94</v>
      </c>
      <c r="M136" s="245">
        <v>12.25</v>
      </c>
    </row>
    <row r="137" customHeight="1" spans="1:13">
      <c r="A137" s="156">
        <v>45400</v>
      </c>
      <c r="B137" s="243">
        <v>13.77</v>
      </c>
      <c r="C137" s="243">
        <v>16.12</v>
      </c>
      <c r="K137" s="156">
        <v>45400</v>
      </c>
      <c r="L137" s="142">
        <v>13.93</v>
      </c>
      <c r="M137" s="142">
        <v>12.5</v>
      </c>
    </row>
    <row r="138" customHeight="1" spans="1:13">
      <c r="A138" s="156">
        <v>45407</v>
      </c>
      <c r="B138" s="243">
        <v>13.77</v>
      </c>
      <c r="C138" s="243">
        <v>16.03</v>
      </c>
      <c r="K138" s="156">
        <v>45407</v>
      </c>
      <c r="L138" s="142">
        <v>13.94</v>
      </c>
      <c r="M138" s="142">
        <v>12.68</v>
      </c>
    </row>
    <row r="139" customHeight="1" spans="1:13">
      <c r="A139" s="156">
        <v>45414</v>
      </c>
      <c r="B139" s="243">
        <v>13.72</v>
      </c>
      <c r="C139" s="243">
        <v>15.89</v>
      </c>
      <c r="K139" s="156">
        <v>45414</v>
      </c>
      <c r="L139" s="142">
        <v>13.89</v>
      </c>
      <c r="M139" s="142">
        <v>12.63</v>
      </c>
    </row>
    <row r="140" customHeight="1" spans="1:13">
      <c r="A140" s="156">
        <v>45421</v>
      </c>
      <c r="B140" s="243">
        <v>13.7</v>
      </c>
      <c r="C140" s="243">
        <v>15.83</v>
      </c>
      <c r="K140" s="156">
        <v>45421</v>
      </c>
      <c r="L140" s="142">
        <v>13.89</v>
      </c>
      <c r="M140" s="142">
        <v>12.62</v>
      </c>
    </row>
    <row r="141" customHeight="1" spans="1:13">
      <c r="A141" s="156">
        <v>45428</v>
      </c>
      <c r="B141" s="243">
        <v>13.74</v>
      </c>
      <c r="C141" s="243">
        <v>15.85</v>
      </c>
      <c r="K141" s="156">
        <v>45428</v>
      </c>
      <c r="L141" s="142">
        <v>13.91</v>
      </c>
      <c r="M141" s="142">
        <v>12.62</v>
      </c>
    </row>
    <row r="142" customHeight="1" spans="1:13">
      <c r="A142" s="156">
        <v>45435</v>
      </c>
      <c r="B142" s="243">
        <v>13.75</v>
      </c>
      <c r="C142" s="243">
        <v>16.01</v>
      </c>
      <c r="K142" s="156">
        <v>45435</v>
      </c>
      <c r="L142" s="142">
        <v>13.9</v>
      </c>
      <c r="M142" s="142">
        <v>12.53</v>
      </c>
    </row>
    <row r="143" customHeight="1" spans="1:13">
      <c r="A143" s="156">
        <v>45442</v>
      </c>
      <c r="B143" s="243">
        <v>13.71</v>
      </c>
      <c r="C143" s="243">
        <v>16.32</v>
      </c>
      <c r="K143" s="156">
        <v>45442</v>
      </c>
      <c r="L143" s="142">
        <v>13.86</v>
      </c>
      <c r="M143" s="142">
        <v>12.47</v>
      </c>
    </row>
    <row r="144" customHeight="1" spans="1:13">
      <c r="A144" s="156">
        <v>45449</v>
      </c>
      <c r="B144" s="243">
        <v>13.67</v>
      </c>
      <c r="C144" s="243">
        <v>16.71</v>
      </c>
      <c r="K144" s="156">
        <v>45449</v>
      </c>
      <c r="L144" s="142">
        <v>13.81</v>
      </c>
      <c r="M144" s="142">
        <v>12.43</v>
      </c>
    </row>
    <row r="145" customHeight="1" spans="1:13">
      <c r="A145" s="156">
        <v>45456</v>
      </c>
      <c r="B145" s="243">
        <v>13.66</v>
      </c>
      <c r="C145" s="243">
        <v>16.81</v>
      </c>
      <c r="K145" s="156">
        <v>45456</v>
      </c>
      <c r="L145" s="142">
        <v>13.8</v>
      </c>
      <c r="M145" s="142">
        <v>12.7</v>
      </c>
    </row>
    <row r="146" customHeight="1" spans="1:13">
      <c r="A146" s="156">
        <v>45463</v>
      </c>
      <c r="B146" s="243">
        <v>13.66</v>
      </c>
      <c r="C146" s="243">
        <v>16.66</v>
      </c>
      <c r="K146" s="156">
        <v>45463</v>
      </c>
      <c r="L146" s="142">
        <v>13.8</v>
      </c>
      <c r="M146" s="142">
        <v>12.7</v>
      </c>
    </row>
    <row r="147" customHeight="1" spans="1:13">
      <c r="A147" s="156">
        <v>45470</v>
      </c>
      <c r="B147" s="243">
        <v>13.66</v>
      </c>
      <c r="C147" s="243">
        <v>16.38</v>
      </c>
      <c r="K147" s="156">
        <v>45470</v>
      </c>
      <c r="L147" s="142">
        <v>13.81</v>
      </c>
      <c r="M147" s="142">
        <v>13.91</v>
      </c>
    </row>
    <row r="148" customHeight="1" spans="1:13">
      <c r="A148" s="156">
        <v>45477</v>
      </c>
      <c r="B148" s="243">
        <v>13.68</v>
      </c>
      <c r="C148" s="243">
        <v>15.89</v>
      </c>
      <c r="K148" s="156">
        <v>45477</v>
      </c>
      <c r="L148" s="142">
        <v>13.83</v>
      </c>
      <c r="M148" s="142">
        <v>14.19</v>
      </c>
    </row>
    <row r="149" customHeight="1" spans="1:13">
      <c r="A149" s="156">
        <v>45484</v>
      </c>
      <c r="B149" s="243">
        <v>13.68</v>
      </c>
      <c r="C149" s="243">
        <v>15.63</v>
      </c>
      <c r="K149" s="156">
        <v>45484</v>
      </c>
      <c r="L149" s="142">
        <v>13.83</v>
      </c>
      <c r="M149" s="142">
        <v>14.63</v>
      </c>
    </row>
    <row r="150" customHeight="1" spans="1:13">
      <c r="A150" s="156">
        <v>45491</v>
      </c>
      <c r="B150" s="243">
        <v>13.73</v>
      </c>
      <c r="C150" s="243">
        <v>15.47</v>
      </c>
      <c r="K150" s="156">
        <v>45491</v>
      </c>
      <c r="L150" s="142">
        <v>13.9</v>
      </c>
      <c r="M150" s="142">
        <v>15.13</v>
      </c>
    </row>
    <row r="151" customHeight="1" spans="1:13">
      <c r="A151" s="156">
        <v>45498</v>
      </c>
      <c r="B151" s="243">
        <v>13.76</v>
      </c>
      <c r="C151" s="243">
        <v>15.8</v>
      </c>
      <c r="K151" s="156">
        <v>45498</v>
      </c>
      <c r="L151" s="142">
        <v>13.92</v>
      </c>
      <c r="M151" s="142">
        <v>15.16</v>
      </c>
    </row>
    <row r="152" customHeight="1" spans="1:13">
      <c r="A152" s="156">
        <v>45505</v>
      </c>
      <c r="B152" s="243">
        <v>13.76</v>
      </c>
      <c r="C152" s="243">
        <v>15.76</v>
      </c>
      <c r="K152" s="156">
        <v>45505</v>
      </c>
      <c r="L152" s="142">
        <v>13.92</v>
      </c>
      <c r="M152" s="142">
        <v>14.81</v>
      </c>
    </row>
    <row r="153" customHeight="1" spans="1:13">
      <c r="A153" s="156">
        <v>45512</v>
      </c>
      <c r="B153" s="243">
        <v>13.76</v>
      </c>
      <c r="C153" s="243">
        <v>15.8</v>
      </c>
      <c r="K153" s="156">
        <v>45512</v>
      </c>
      <c r="L153" s="142">
        <v>13.91</v>
      </c>
      <c r="M153" s="142">
        <v>14.53</v>
      </c>
    </row>
    <row r="154" customHeight="1" spans="1:13">
      <c r="A154" s="156">
        <v>45519</v>
      </c>
      <c r="B154" s="243">
        <v>13.76</v>
      </c>
      <c r="C154" s="243">
        <v>15.63</v>
      </c>
      <c r="K154" s="156">
        <v>45519</v>
      </c>
      <c r="L154" s="142">
        <v>13.88</v>
      </c>
      <c r="M154" s="142">
        <v>14.44</v>
      </c>
    </row>
    <row r="155" customHeight="1" spans="1:13">
      <c r="A155" s="156">
        <v>45526</v>
      </c>
      <c r="B155" s="243">
        <v>13.65</v>
      </c>
      <c r="C155" s="243">
        <v>15.52</v>
      </c>
      <c r="K155" s="156">
        <v>45526</v>
      </c>
      <c r="L155" s="142">
        <v>13.76</v>
      </c>
      <c r="M155" s="142">
        <v>14.31</v>
      </c>
    </row>
    <row r="156" customHeight="1" spans="1:13">
      <c r="A156" s="156">
        <v>45533</v>
      </c>
      <c r="B156" s="243">
        <v>13.65</v>
      </c>
      <c r="C156" s="243">
        <v>15.52</v>
      </c>
      <c r="K156" s="156">
        <v>45533</v>
      </c>
      <c r="L156" s="142">
        <v>13.74</v>
      </c>
      <c r="M156" s="142">
        <v>14.56</v>
      </c>
    </row>
    <row r="157" customHeight="1" spans="1:13">
      <c r="A157" s="156">
        <v>45540</v>
      </c>
      <c r="B157" s="243">
        <v>13.65</v>
      </c>
      <c r="C157" s="243">
        <v>15.17</v>
      </c>
      <c r="K157" s="156">
        <v>45540</v>
      </c>
      <c r="L157" s="142">
        <v>13.76</v>
      </c>
      <c r="M157" s="142">
        <v>15.18</v>
      </c>
    </row>
    <row r="158" customHeight="1" spans="1:13">
      <c r="A158" s="156">
        <v>45547</v>
      </c>
      <c r="B158" s="243">
        <v>13.65</v>
      </c>
      <c r="C158" s="243">
        <v>14.65</v>
      </c>
      <c r="K158" s="156">
        <v>45547</v>
      </c>
      <c r="L158" s="142">
        <v>13.77</v>
      </c>
      <c r="M158" s="142">
        <v>15.79</v>
      </c>
    </row>
    <row r="159" customHeight="1" spans="1:13">
      <c r="A159" s="156">
        <v>45554</v>
      </c>
      <c r="B159" s="243">
        <v>13.67</v>
      </c>
      <c r="C159" s="243">
        <v>14.06</v>
      </c>
      <c r="K159" s="156">
        <v>45554</v>
      </c>
      <c r="L159" s="142">
        <v>13.791</v>
      </c>
      <c r="M159" s="142">
        <v>15.99</v>
      </c>
    </row>
    <row r="160" customHeight="1" spans="1:13">
      <c r="A160" s="156">
        <v>45561</v>
      </c>
      <c r="B160" s="243">
        <v>13.67</v>
      </c>
      <c r="C160" s="243">
        <v>13.53</v>
      </c>
      <c r="K160" s="156">
        <v>45561</v>
      </c>
      <c r="L160" s="142">
        <v>13.79</v>
      </c>
      <c r="M160" s="142">
        <v>16</v>
      </c>
    </row>
    <row r="161" customHeight="1" spans="1:13">
      <c r="A161" s="156">
        <v>45575</v>
      </c>
      <c r="B161" s="243">
        <v>13.65</v>
      </c>
      <c r="C161" s="243">
        <v>13.31</v>
      </c>
      <c r="K161" s="156">
        <v>45575</v>
      </c>
      <c r="L161" s="243">
        <v>13.78</v>
      </c>
      <c r="M161" s="243">
        <v>15.85</v>
      </c>
    </row>
    <row r="162" customHeight="1" spans="1:13">
      <c r="A162" s="156">
        <v>45582</v>
      </c>
      <c r="B162" s="243">
        <v>13.55</v>
      </c>
      <c r="C162" s="243">
        <v>13.59</v>
      </c>
      <c r="K162" s="156">
        <v>45582</v>
      </c>
      <c r="L162" s="243">
        <v>13.66</v>
      </c>
      <c r="M162" s="243">
        <v>15.64</v>
      </c>
    </row>
    <row r="163" customHeight="1" spans="1:13">
      <c r="A163" s="156">
        <v>45589</v>
      </c>
      <c r="B163" s="243">
        <v>13.55</v>
      </c>
      <c r="C163" s="243">
        <v>13.81</v>
      </c>
      <c r="K163" s="156">
        <v>45589</v>
      </c>
      <c r="L163" s="243">
        <v>13.67</v>
      </c>
      <c r="M163" s="243">
        <v>15.65</v>
      </c>
    </row>
    <row r="164" customHeight="1" spans="1:13">
      <c r="A164" s="156">
        <v>45596</v>
      </c>
      <c r="B164" s="243">
        <v>13.53</v>
      </c>
      <c r="C164" s="243">
        <v>14.09</v>
      </c>
      <c r="K164" s="156">
        <v>45596</v>
      </c>
      <c r="L164" s="243">
        <v>13.66</v>
      </c>
      <c r="M164" s="243">
        <v>15.65</v>
      </c>
    </row>
    <row r="165" customHeight="1" spans="1:13">
      <c r="A165" s="156">
        <v>45603</v>
      </c>
      <c r="B165" s="243">
        <v>13.53</v>
      </c>
      <c r="C165" s="243">
        <v>14.27</v>
      </c>
      <c r="K165" s="156">
        <v>45603</v>
      </c>
      <c r="L165" s="243">
        <v>13.65</v>
      </c>
      <c r="M165" s="243">
        <v>15.81</v>
      </c>
    </row>
    <row r="166" customHeight="1" spans="1:13">
      <c r="A166" s="156">
        <v>45610</v>
      </c>
      <c r="B166" s="243">
        <v>13.51</v>
      </c>
      <c r="C166" s="243">
        <v>14.08</v>
      </c>
      <c r="K166" s="156">
        <v>45610</v>
      </c>
      <c r="L166" s="243">
        <v>13.62</v>
      </c>
      <c r="M166" s="243">
        <v>16.11</v>
      </c>
    </row>
    <row r="167" customHeight="1" spans="1:13">
      <c r="A167" s="156">
        <v>45617</v>
      </c>
      <c r="B167" s="243">
        <v>13.51</v>
      </c>
      <c r="C167" s="243">
        <v>13.95</v>
      </c>
      <c r="K167" s="156">
        <v>45617</v>
      </c>
      <c r="L167" s="243">
        <v>13.61</v>
      </c>
      <c r="M167" s="243">
        <v>16.53</v>
      </c>
    </row>
    <row r="168" customHeight="1" spans="1:13">
      <c r="A168" s="156">
        <v>45624</v>
      </c>
      <c r="B168" s="243">
        <v>13.35</v>
      </c>
      <c r="C168" s="243">
        <v>13.96</v>
      </c>
      <c r="K168" s="156">
        <v>45624</v>
      </c>
      <c r="L168" s="243">
        <v>13.47</v>
      </c>
      <c r="M168" s="243">
        <v>16.59</v>
      </c>
    </row>
    <row r="169" customHeight="1" spans="1:13">
      <c r="A169" s="156">
        <v>45631</v>
      </c>
      <c r="B169" s="243">
        <v>13.35</v>
      </c>
      <c r="C169" s="243">
        <v>13.74</v>
      </c>
      <c r="K169" s="156">
        <v>45631</v>
      </c>
      <c r="L169" s="243">
        <v>13.45</v>
      </c>
      <c r="M169" s="243">
        <v>16.41</v>
      </c>
    </row>
    <row r="170" customHeight="1" spans="1:13">
      <c r="A170" s="156">
        <v>45638</v>
      </c>
      <c r="B170" s="243">
        <v>13.35</v>
      </c>
      <c r="C170" s="243">
        <v>13.65</v>
      </c>
      <c r="K170" s="156">
        <v>45638</v>
      </c>
      <c r="L170" s="243">
        <v>13.4</v>
      </c>
      <c r="M170" s="243">
        <v>15.98</v>
      </c>
    </row>
    <row r="171" customHeight="1" spans="1:13">
      <c r="A171" s="156">
        <v>45645</v>
      </c>
      <c r="B171" s="243">
        <v>13.25</v>
      </c>
      <c r="C171" s="243">
        <v>13.51</v>
      </c>
      <c r="K171" s="156">
        <v>45645</v>
      </c>
      <c r="L171" s="243">
        <v>13.33</v>
      </c>
      <c r="M171" s="243">
        <v>15.5</v>
      </c>
    </row>
    <row r="172" customHeight="1" spans="1:13">
      <c r="A172" s="156">
        <v>45652</v>
      </c>
      <c r="B172" s="243">
        <v>13.06</v>
      </c>
      <c r="C172" s="243">
        <v>13.36</v>
      </c>
      <c r="K172" s="156">
        <v>45652</v>
      </c>
      <c r="L172" s="243">
        <v>13.17</v>
      </c>
      <c r="M172" s="243">
        <v>15.18</v>
      </c>
    </row>
    <row r="173" customHeight="1" spans="1:13">
      <c r="A173" s="156">
        <v>45659</v>
      </c>
      <c r="B173" s="243">
        <v>13.06</v>
      </c>
      <c r="C173" s="243">
        <v>13.75</v>
      </c>
      <c r="K173" s="156">
        <v>45659</v>
      </c>
      <c r="L173" s="243">
        <v>13.21</v>
      </c>
      <c r="M173" s="243">
        <v>15.08</v>
      </c>
    </row>
    <row r="174" customHeight="1" spans="1:13">
      <c r="A174" s="156">
        <v>45666</v>
      </c>
      <c r="B174" s="243">
        <v>13.06</v>
      </c>
      <c r="C174" s="243">
        <v>14.19</v>
      </c>
      <c r="K174" s="156">
        <v>45666</v>
      </c>
      <c r="L174" s="243">
        <v>13.27</v>
      </c>
      <c r="M174" s="243">
        <v>15.47</v>
      </c>
    </row>
    <row r="175" customHeight="1" spans="1:13">
      <c r="A175" s="156">
        <v>45673</v>
      </c>
      <c r="B175" s="243">
        <v>13.03</v>
      </c>
      <c r="C175" s="243">
        <v>14.41</v>
      </c>
      <c r="K175" s="156">
        <v>45673</v>
      </c>
      <c r="L175" s="243">
        <v>12.96</v>
      </c>
      <c r="M175" s="243">
        <v>15.14</v>
      </c>
    </row>
    <row r="176" customHeight="1" spans="1:13">
      <c r="A176" s="156">
        <v>45680</v>
      </c>
      <c r="B176" s="243">
        <v>13.02</v>
      </c>
      <c r="C176" s="243">
        <v>14.93</v>
      </c>
      <c r="K176" s="156">
        <v>45680</v>
      </c>
      <c r="L176" s="243">
        <v>12.92</v>
      </c>
      <c r="M176" s="243">
        <v>15.18</v>
      </c>
    </row>
    <row r="177" customHeight="1" spans="1:13">
      <c r="A177" s="156">
        <v>45694</v>
      </c>
      <c r="B177" s="243">
        <v>12.88</v>
      </c>
      <c r="C177" s="243">
        <v>14.97</v>
      </c>
      <c r="K177" s="156">
        <v>45694</v>
      </c>
      <c r="L177" s="243">
        <v>12.91</v>
      </c>
      <c r="M177" s="243">
        <v>15.17</v>
      </c>
    </row>
    <row r="178" customHeight="1" spans="1:13">
      <c r="A178" s="156">
        <v>45701</v>
      </c>
      <c r="B178" s="243">
        <v>12.88</v>
      </c>
      <c r="C178" s="243">
        <v>14.8</v>
      </c>
      <c r="K178" s="156">
        <v>45701</v>
      </c>
      <c r="L178" s="243">
        <v>13.02</v>
      </c>
      <c r="M178" s="243">
        <v>14.61</v>
      </c>
    </row>
    <row r="179" customHeight="1" spans="1:13">
      <c r="A179" s="156">
        <v>45708</v>
      </c>
      <c r="B179" s="243">
        <v>12.89</v>
      </c>
      <c r="C179" s="243">
        <v>14.49</v>
      </c>
      <c r="K179" s="156">
        <v>45708</v>
      </c>
      <c r="L179" s="243">
        <v>13.05</v>
      </c>
      <c r="M179" s="243">
        <v>14.15</v>
      </c>
    </row>
    <row r="180" customHeight="1" spans="1:13">
      <c r="A180" s="156">
        <v>45715</v>
      </c>
      <c r="B180" s="243">
        <v>13.04</v>
      </c>
      <c r="C180" s="243">
        <v>14.35</v>
      </c>
      <c r="K180" s="156">
        <v>45715</v>
      </c>
      <c r="L180" s="243">
        <v>13.21</v>
      </c>
      <c r="M180" s="243">
        <v>13.72</v>
      </c>
    </row>
    <row r="181" customHeight="1" spans="1:13">
      <c r="A181" s="156">
        <v>45722</v>
      </c>
      <c r="B181" s="243">
        <v>13.18</v>
      </c>
      <c r="C181" s="243">
        <v>14.48</v>
      </c>
      <c r="K181" s="156">
        <v>45722</v>
      </c>
      <c r="L181" s="243">
        <v>13.37</v>
      </c>
      <c r="M181" s="243">
        <v>13.46</v>
      </c>
    </row>
    <row r="182" customHeight="1" spans="1:13">
      <c r="A182" s="156">
        <v>45729</v>
      </c>
      <c r="B182" s="243">
        <v>13.24</v>
      </c>
      <c r="C182" s="243">
        <v>14.92</v>
      </c>
      <c r="K182" s="156">
        <v>45729</v>
      </c>
      <c r="L182" s="243">
        <v>13.49</v>
      </c>
      <c r="M182" s="243">
        <v>13.75</v>
      </c>
    </row>
    <row r="183" customHeight="1" spans="1:13">
      <c r="A183" s="156">
        <v>45736</v>
      </c>
      <c r="B183" s="243">
        <v>13.32</v>
      </c>
      <c r="C183" s="243">
        <v>15.23</v>
      </c>
      <c r="K183" s="156">
        <v>45736</v>
      </c>
      <c r="L183" s="243">
        <v>13.55</v>
      </c>
      <c r="M183" s="243">
        <v>13.89</v>
      </c>
    </row>
    <row r="184" customHeight="1" spans="1:13">
      <c r="A184" s="156">
        <v>45743</v>
      </c>
      <c r="B184" s="243">
        <v>13.32</v>
      </c>
      <c r="C184" s="243">
        <v>15.38</v>
      </c>
      <c r="K184" s="156">
        <v>45743</v>
      </c>
      <c r="L184" s="243">
        <v>13.55</v>
      </c>
      <c r="M184" s="243">
        <v>14.17</v>
      </c>
    </row>
    <row r="185" customHeight="1" spans="1:13">
      <c r="A185" s="156">
        <v>45750</v>
      </c>
      <c r="B185" s="243">
        <v>13.28</v>
      </c>
      <c r="C185" s="243">
        <v>15.53</v>
      </c>
      <c r="K185" s="156">
        <v>45750</v>
      </c>
      <c r="L185" s="243">
        <v>13.5</v>
      </c>
      <c r="M185" s="243">
        <v>14.36</v>
      </c>
    </row>
    <row r="186" customHeight="1" spans="1:13">
      <c r="A186" s="156">
        <v>45757</v>
      </c>
      <c r="B186" s="243">
        <v>13.14</v>
      </c>
      <c r="C186" s="243">
        <v>15.39</v>
      </c>
      <c r="K186" s="156">
        <v>45757</v>
      </c>
      <c r="L186" s="243">
        <v>13.35</v>
      </c>
      <c r="M186" s="243">
        <v>14.16</v>
      </c>
    </row>
    <row r="187" customHeight="1" spans="1:13">
      <c r="A187" s="156">
        <v>45764</v>
      </c>
      <c r="B187" s="243">
        <v>13.11</v>
      </c>
      <c r="C187" s="243">
        <v>15.36</v>
      </c>
      <c r="K187" s="156">
        <v>45764</v>
      </c>
      <c r="L187" s="243">
        <v>13.33</v>
      </c>
      <c r="M187" s="243">
        <v>14.11</v>
      </c>
    </row>
    <row r="188" customHeight="1" spans="1:13">
      <c r="A188" s="156">
        <v>45771</v>
      </c>
      <c r="B188" s="243">
        <v>12.92</v>
      </c>
      <c r="C188" s="243">
        <v>15.09</v>
      </c>
      <c r="K188" s="156">
        <v>45771</v>
      </c>
      <c r="L188" s="243">
        <v>13.31</v>
      </c>
      <c r="M188" s="243">
        <v>14</v>
      </c>
    </row>
    <row r="189" customHeight="1" spans="1:13">
      <c r="A189" s="156">
        <v>45777</v>
      </c>
      <c r="B189" s="207">
        <v>12.93</v>
      </c>
      <c r="C189" s="207">
        <v>15.09</v>
      </c>
      <c r="K189" s="156">
        <v>45777</v>
      </c>
      <c r="L189" s="207">
        <v>13.31</v>
      </c>
      <c r="M189" s="207">
        <v>13.87</v>
      </c>
    </row>
    <row r="190" customHeight="1" spans="1:13">
      <c r="A190" s="156">
        <v>45785</v>
      </c>
      <c r="B190" s="207">
        <v>12.98</v>
      </c>
      <c r="C190" s="207">
        <v>15.13</v>
      </c>
      <c r="K190" s="156">
        <v>45785</v>
      </c>
      <c r="L190" s="207">
        <v>13.35</v>
      </c>
      <c r="M190" s="207">
        <v>13.79</v>
      </c>
    </row>
    <row r="191" customHeight="1" spans="1:13">
      <c r="A191" s="156">
        <v>45792</v>
      </c>
      <c r="B191" s="207">
        <v>13.09</v>
      </c>
      <c r="C191" s="207">
        <v>15.09</v>
      </c>
      <c r="K191" s="156">
        <v>45792</v>
      </c>
      <c r="L191" s="207">
        <v>13.46</v>
      </c>
      <c r="M191" s="207">
        <v>13.86</v>
      </c>
    </row>
    <row r="192" customHeight="1" spans="1:13">
      <c r="A192" s="156">
        <v>45799</v>
      </c>
      <c r="B192" s="207">
        <v>13.09</v>
      </c>
      <c r="C192" s="207">
        <v>15.06</v>
      </c>
      <c r="K192" s="156">
        <v>45799</v>
      </c>
      <c r="L192" s="207">
        <v>13.44</v>
      </c>
      <c r="M192" s="207">
        <v>13.79</v>
      </c>
    </row>
    <row r="193" customHeight="1" spans="1:13">
      <c r="A193" s="156">
        <v>45806</v>
      </c>
      <c r="B193" s="207">
        <v>13.09</v>
      </c>
      <c r="C193" s="207">
        <v>14.89</v>
      </c>
      <c r="K193" s="156">
        <v>45806</v>
      </c>
      <c r="L193" s="207">
        <v>13.44</v>
      </c>
      <c r="M193" s="207">
        <v>13.72</v>
      </c>
    </row>
    <row r="194" customHeight="1" spans="1:13">
      <c r="A194" s="156">
        <v>45813</v>
      </c>
      <c r="B194" s="207">
        <v>13.09</v>
      </c>
      <c r="C194" s="207">
        <v>14.68</v>
      </c>
      <c r="K194" s="156">
        <v>45813</v>
      </c>
      <c r="L194" s="207">
        <v>13.44</v>
      </c>
      <c r="M194" s="207">
        <v>13.63</v>
      </c>
    </row>
    <row r="195" customHeight="1" spans="1:13">
      <c r="A195" s="156">
        <v>45820</v>
      </c>
      <c r="B195" s="207">
        <v>13.11</v>
      </c>
      <c r="C195" s="207">
        <v>14.55</v>
      </c>
      <c r="K195" s="156">
        <v>45820</v>
      </c>
      <c r="L195" s="207">
        <v>13.47</v>
      </c>
      <c r="M195" s="207">
        <v>13.62</v>
      </c>
    </row>
    <row r="196" customHeight="1" spans="1:13">
      <c r="A196" s="156">
        <v>45827</v>
      </c>
      <c r="B196" s="207">
        <v>13.1</v>
      </c>
      <c r="C196" s="207">
        <v>14.35</v>
      </c>
      <c r="K196" s="156">
        <v>45827</v>
      </c>
      <c r="L196" s="207">
        <v>13.48</v>
      </c>
      <c r="M196" s="207">
        <v>14.01</v>
      </c>
    </row>
    <row r="197" customHeight="1" spans="1:13">
      <c r="A197" s="156">
        <v>45834</v>
      </c>
      <c r="B197" s="207">
        <v>13.11</v>
      </c>
      <c r="C197" s="207">
        <v>14.24</v>
      </c>
      <c r="K197" s="156">
        <v>45834</v>
      </c>
      <c r="L197" s="207">
        <v>13.49</v>
      </c>
      <c r="M197" s="207">
        <v>14.42</v>
      </c>
    </row>
    <row r="198" customHeight="1" spans="1:13">
      <c r="A198" s="156">
        <v>45841</v>
      </c>
      <c r="B198" s="243">
        <v>13.4</v>
      </c>
      <c r="C198" s="243">
        <v>14.33</v>
      </c>
      <c r="K198" s="156">
        <v>45841</v>
      </c>
      <c r="L198" s="243">
        <v>13.67</v>
      </c>
      <c r="M198" s="243">
        <v>14.89</v>
      </c>
    </row>
    <row r="199" customHeight="1" spans="1:13">
      <c r="A199" s="156">
        <v>45848</v>
      </c>
      <c r="B199" s="207">
        <v>13.47</v>
      </c>
      <c r="C199" s="207">
        <v>14.39</v>
      </c>
      <c r="K199" s="156">
        <v>45848</v>
      </c>
      <c r="L199" s="207">
        <v>13.74</v>
      </c>
      <c r="M199" s="207">
        <v>15.36</v>
      </c>
    </row>
    <row r="200" customHeight="1" spans="1:13">
      <c r="A200" s="156">
        <v>45855</v>
      </c>
      <c r="B200" s="207">
        <v>13.47</v>
      </c>
      <c r="C200" s="207">
        <v>14.5</v>
      </c>
      <c r="K200" s="156">
        <v>45855</v>
      </c>
      <c r="L200" s="207">
        <v>13.74</v>
      </c>
      <c r="M200" s="207">
        <v>15.58</v>
      </c>
    </row>
    <row r="201" customHeight="1" spans="1:13">
      <c r="A201" s="156">
        <v>45862</v>
      </c>
      <c r="B201" s="207">
        <v>12.8</v>
      </c>
      <c r="C201" s="207">
        <v>13.83</v>
      </c>
      <c r="K201" s="156">
        <v>45862</v>
      </c>
      <c r="L201" s="207">
        <v>13.05</v>
      </c>
      <c r="M201" s="207">
        <v>14.8</v>
      </c>
    </row>
    <row r="202" customHeight="1" spans="1:13">
      <c r="A202" s="156">
        <v>45869</v>
      </c>
      <c r="B202" s="207">
        <v>12.8</v>
      </c>
      <c r="C202" s="207">
        <v>13.7</v>
      </c>
      <c r="K202" s="156">
        <v>45869</v>
      </c>
      <c r="L202" s="207">
        <v>13.07</v>
      </c>
      <c r="M202" s="207">
        <v>14.72</v>
      </c>
    </row>
    <row r="203" customHeight="1" spans="1:13">
      <c r="A203" s="156">
        <v>45876</v>
      </c>
      <c r="B203" s="207">
        <v>12.82</v>
      </c>
      <c r="C203" s="207">
        <v>13.63</v>
      </c>
      <c r="K203" s="156">
        <v>45876</v>
      </c>
      <c r="L203" s="207">
        <v>13.09</v>
      </c>
      <c r="M203" s="207">
        <v>14.44</v>
      </c>
    </row>
    <row r="204" customHeight="1" spans="1:13">
      <c r="A204" s="156">
        <v>45883</v>
      </c>
      <c r="B204" s="207">
        <v>12.82</v>
      </c>
      <c r="C204" s="207">
        <v>13.35</v>
      </c>
      <c r="K204" s="156">
        <v>45883</v>
      </c>
      <c r="L204" s="207">
        <v>13.09</v>
      </c>
      <c r="M204" s="207">
        <v>14.15</v>
      </c>
    </row>
    <row r="205" customHeight="1" spans="1:13">
      <c r="A205" s="156">
        <v>45890</v>
      </c>
      <c r="B205" s="207">
        <v>12.83</v>
      </c>
      <c r="C205" s="207">
        <v>13.18</v>
      </c>
      <c r="K205" s="156">
        <v>45890</v>
      </c>
      <c r="L205" s="207">
        <v>13.1</v>
      </c>
      <c r="M205" s="207">
        <v>14.16</v>
      </c>
    </row>
    <row r="206" customHeight="1" spans="1:13">
      <c r="A206" s="156">
        <v>45897</v>
      </c>
      <c r="B206" s="207">
        <v>12.83</v>
      </c>
      <c r="C206" s="207">
        <v>13.02</v>
      </c>
      <c r="K206" s="156">
        <v>45897</v>
      </c>
      <c r="L206" s="207">
        <v>13.11</v>
      </c>
      <c r="M206" s="207">
        <v>14.54</v>
      </c>
    </row>
    <row r="207" customHeight="1" spans="1:13">
      <c r="A207" s="156">
        <v>45904</v>
      </c>
      <c r="B207" s="207">
        <v>12.83</v>
      </c>
      <c r="C207" s="207">
        <v>12.86</v>
      </c>
      <c r="K207" s="156">
        <v>45904</v>
      </c>
      <c r="L207" s="207">
        <v>13.1</v>
      </c>
      <c r="M207" s="207">
        <v>14.75</v>
      </c>
    </row>
    <row r="208" customHeight="1" spans="1:13">
      <c r="A208" s="156">
        <v>45911</v>
      </c>
      <c r="B208" s="207">
        <v>12.83</v>
      </c>
      <c r="C208" s="207">
        <v>12.58</v>
      </c>
      <c r="K208" s="156">
        <v>45911</v>
      </c>
      <c r="L208" s="207">
        <v>13.1</v>
      </c>
      <c r="M208" s="207">
        <v>14.89</v>
      </c>
    </row>
    <row r="209" customHeight="1" spans="1:13">
      <c r="A209" s="156">
        <v>45918</v>
      </c>
      <c r="B209" s="207">
        <v>12.83</v>
      </c>
      <c r="C209" s="207">
        <v>12.34</v>
      </c>
      <c r="K209" s="156">
        <v>45918</v>
      </c>
      <c r="L209" s="207">
        <v>13.09</v>
      </c>
      <c r="M209" s="207">
        <v>15.07</v>
      </c>
    </row>
    <row r="210" customHeight="1" spans="1:13">
      <c r="A210" s="156">
        <v>45925</v>
      </c>
      <c r="B210" s="207">
        <v>12.83</v>
      </c>
      <c r="C210" s="207">
        <v>12.15</v>
      </c>
      <c r="K210" s="156">
        <v>45925</v>
      </c>
      <c r="L210" s="207">
        <v>13.09</v>
      </c>
      <c r="M210" s="207">
        <v>15.06</v>
      </c>
    </row>
    <row r="211" customHeight="1" spans="1:13">
      <c r="A211" s="156">
        <v>45939</v>
      </c>
      <c r="B211" s="207">
        <v>12.15</v>
      </c>
      <c r="C211" s="207">
        <v>11.14</v>
      </c>
      <c r="K211" s="156">
        <v>45939</v>
      </c>
      <c r="L211" s="207">
        <v>12.49</v>
      </c>
      <c r="M211" s="207">
        <v>14.38</v>
      </c>
    </row>
    <row r="212" customHeight="1" spans="1:13">
      <c r="A212" s="156">
        <v>45946</v>
      </c>
      <c r="B212" s="207">
        <v>12.15</v>
      </c>
      <c r="C212" s="207">
        <v>11.08</v>
      </c>
      <c r="K212" s="156">
        <v>45946</v>
      </c>
      <c r="L212" s="207">
        <v>12.49</v>
      </c>
      <c r="M212" s="207">
        <v>14.39</v>
      </c>
    </row>
    <row r="213" customHeight="1" spans="1:13">
      <c r="A213" s="156">
        <v>45953</v>
      </c>
      <c r="B213" s="207">
        <v>12.14</v>
      </c>
      <c r="C213" s="207">
        <v>10.97</v>
      </c>
      <c r="K213" s="156">
        <v>45953</v>
      </c>
      <c r="L213" s="207">
        <v>12.49</v>
      </c>
      <c r="M213" s="207">
        <v>14.37</v>
      </c>
    </row>
    <row r="214" customHeight="1" spans="1:13">
      <c r="A214" s="156">
        <v>45960</v>
      </c>
      <c r="B214" s="207">
        <v>12.14</v>
      </c>
      <c r="C214" s="207">
        <v>11.07</v>
      </c>
      <c r="K214" s="156">
        <v>45960</v>
      </c>
      <c r="L214" s="207">
        <v>12.49</v>
      </c>
      <c r="M214" s="207">
        <v>14.24</v>
      </c>
    </row>
    <row r="215" customHeight="1" spans="1:13">
      <c r="A215" s="156">
        <v>45967</v>
      </c>
      <c r="B215" s="207">
        <v>12.14</v>
      </c>
      <c r="C215" s="207">
        <v>11.24</v>
      </c>
      <c r="K215" s="156">
        <v>45967</v>
      </c>
      <c r="L215" s="207">
        <v>12.48</v>
      </c>
      <c r="M215" s="207">
        <v>14.18</v>
      </c>
    </row>
    <row r="216" customHeight="1" spans="1:13">
      <c r="A216" s="156">
        <v>45974</v>
      </c>
      <c r="B216" s="243">
        <v>12.08</v>
      </c>
      <c r="C216" s="243">
        <v>11.35</v>
      </c>
      <c r="K216" s="156">
        <v>45974</v>
      </c>
      <c r="L216" s="243">
        <v>12.41</v>
      </c>
      <c r="M216" s="243">
        <v>13.99</v>
      </c>
    </row>
    <row r="217" customHeight="1" spans="1:13">
      <c r="A217" s="156">
        <v>45981</v>
      </c>
      <c r="B217" s="207">
        <v>12.03</v>
      </c>
      <c r="C217" s="207">
        <v>11.3</v>
      </c>
      <c r="K217" s="156">
        <v>45981</v>
      </c>
      <c r="L217" s="207">
        <v>12.35</v>
      </c>
      <c r="M217" s="207">
        <v>13.72</v>
      </c>
    </row>
    <row r="218" customHeight="1" spans="1:13">
      <c r="A218" s="156">
        <v>45988</v>
      </c>
      <c r="B218" s="207">
        <v>12.03</v>
      </c>
      <c r="C218" s="207">
        <v>11.29</v>
      </c>
      <c r="K218" s="156">
        <v>45988</v>
      </c>
      <c r="L218" s="207">
        <v>12.34</v>
      </c>
      <c r="M218" s="207">
        <v>13.57</v>
      </c>
    </row>
    <row r="219" customHeight="1" spans="1:13">
      <c r="A219" s="156">
        <v>45995</v>
      </c>
      <c r="B219" s="207">
        <v>12.05</v>
      </c>
      <c r="C219" s="207">
        <v>11.29</v>
      </c>
      <c r="K219" s="156">
        <v>45995</v>
      </c>
      <c r="L219" s="207">
        <v>12.34</v>
      </c>
      <c r="M219" s="207">
        <v>13.38</v>
      </c>
    </row>
    <row r="220" customHeight="1" spans="1:13">
      <c r="A220" s="156">
        <v>46002</v>
      </c>
      <c r="B220" s="207">
        <v>12.09</v>
      </c>
      <c r="C220" s="207">
        <v>11.41</v>
      </c>
      <c r="K220" s="156">
        <v>46002</v>
      </c>
      <c r="L220" s="207">
        <v>12.4</v>
      </c>
      <c r="M220" s="207">
        <v>13.31</v>
      </c>
    </row>
    <row r="221" customHeight="1" spans="1:13">
      <c r="A221" s="156">
        <v>46009</v>
      </c>
      <c r="B221" s="207">
        <v>12.09</v>
      </c>
      <c r="C221" s="207">
        <v>11.42</v>
      </c>
      <c r="K221" s="156">
        <v>46009</v>
      </c>
      <c r="L221" s="207">
        <v>12.45</v>
      </c>
      <c r="M221" s="207">
        <v>13.36</v>
      </c>
    </row>
    <row r="222" customHeight="1" spans="1:13">
      <c r="A222" s="156">
        <v>46016</v>
      </c>
      <c r="B222" s="207">
        <v>12.09</v>
      </c>
      <c r="C222" s="207">
        <v>11.43</v>
      </c>
      <c r="K222" s="156">
        <v>46016</v>
      </c>
      <c r="L222" s="207">
        <v>12.46</v>
      </c>
      <c r="M222" s="207">
        <v>13.47</v>
      </c>
    </row>
    <row r="223" customHeight="1" spans="1:13">
      <c r="A223" s="156">
        <v>46023</v>
      </c>
      <c r="B223" s="207">
        <v>12.13</v>
      </c>
      <c r="C223" s="207">
        <v>11.56</v>
      </c>
      <c r="K223" s="156">
        <v>46023</v>
      </c>
      <c r="L223" s="207">
        <v>12.52</v>
      </c>
      <c r="M223" s="207">
        <v>13.55</v>
      </c>
    </row>
    <row r="224" customHeight="1" spans="1:13">
      <c r="A224" s="156">
        <v>46030</v>
      </c>
      <c r="B224" s="207">
        <v>12.13</v>
      </c>
      <c r="C224" s="207">
        <v>11.75</v>
      </c>
      <c r="K224" s="156">
        <v>46030</v>
      </c>
      <c r="L224" s="207">
        <v>12.49</v>
      </c>
      <c r="M224" s="207">
        <v>13.5</v>
      </c>
    </row>
    <row r="225" customHeight="1" spans="1:13">
      <c r="A225" s="156">
        <v>46037</v>
      </c>
      <c r="B225" s="207">
        <v>12.15</v>
      </c>
      <c r="C225" s="207">
        <v>12.24</v>
      </c>
      <c r="K225" s="156">
        <v>46037</v>
      </c>
      <c r="L225" s="207">
        <v>12.49</v>
      </c>
      <c r="M225" s="207">
        <v>13.47</v>
      </c>
    </row>
    <row r="226" customHeight="1" spans="1:13">
      <c r="A226" s="156">
        <v>46044</v>
      </c>
      <c r="B226" s="207">
        <v>12.15</v>
      </c>
      <c r="C226" s="207">
        <v>12.63</v>
      </c>
      <c r="K226" s="156">
        <v>46044</v>
      </c>
      <c r="L226" s="207">
        <v>12.49</v>
      </c>
      <c r="M226" s="207">
        <v>13.36</v>
      </c>
    </row>
    <row r="227" customHeight="1" spans="1:13">
      <c r="A227" s="156">
        <v>46051</v>
      </c>
      <c r="B227" s="207">
        <v>12.18</v>
      </c>
      <c r="C227" s="207">
        <v>12.79</v>
      </c>
      <c r="K227" s="156">
        <v>46051</v>
      </c>
      <c r="L227" s="207">
        <v>12.48</v>
      </c>
      <c r="M227" s="207">
        <v>13.11</v>
      </c>
    </row>
    <row r="228" customHeight="1" spans="1:13">
      <c r="A228" s="156">
        <v>46058</v>
      </c>
      <c r="B228" s="243">
        <v>12.08</v>
      </c>
      <c r="C228" s="243">
        <v>12.65</v>
      </c>
      <c r="K228" s="156">
        <v>46058</v>
      </c>
      <c r="L228" s="243">
        <v>12.01</v>
      </c>
      <c r="M228" s="243">
        <v>12.49</v>
      </c>
    </row>
    <row r="229" customHeight="1" spans="1:13">
      <c r="A229" s="156">
        <v>46065</v>
      </c>
      <c r="B229" s="243">
        <v>12.08</v>
      </c>
      <c r="C229" s="243">
        <v>12.64</v>
      </c>
      <c r="K229" s="156">
        <v>46065</v>
      </c>
      <c r="L229" s="243">
        <v>12.18</v>
      </c>
      <c r="M229" s="243">
        <v>12.52</v>
      </c>
    </row>
    <row r="230" customHeight="1" spans="1:13">
      <c r="A230" s="156">
        <v>46079</v>
      </c>
      <c r="B230" s="243">
        <v>12.1</v>
      </c>
      <c r="C230" s="243">
        <v>12.6</v>
      </c>
      <c r="K230" s="156">
        <v>46079</v>
      </c>
      <c r="L230" s="243">
        <v>12.18</v>
      </c>
      <c r="M230" s="243">
        <v>12.07</v>
      </c>
    </row>
    <row r="231" customHeight="1" spans="1:13">
      <c r="A231" s="156">
        <v>46086</v>
      </c>
      <c r="B231" s="243">
        <v>12.1</v>
      </c>
      <c r="C231" s="243">
        <v>12.51</v>
      </c>
      <c r="K231" s="156">
        <v>46086</v>
      </c>
      <c r="L231" s="243">
        <v>12.17</v>
      </c>
      <c r="M231" s="243">
        <v>11.75</v>
      </c>
    </row>
    <row r="232" customHeight="1" spans="1:13">
      <c r="A232" s="156">
        <v>46093</v>
      </c>
      <c r="B232" s="243">
        <v>12.21</v>
      </c>
      <c r="C232" s="243">
        <v>12.42</v>
      </c>
      <c r="K232" s="156">
        <v>46093</v>
      </c>
      <c r="L232" s="243">
        <v>12.33</v>
      </c>
      <c r="M232" s="243">
        <v>11.73</v>
      </c>
    </row>
    <row r="233" customHeight="1" spans="1:13">
      <c r="A233" s="156">
        <v>46100</v>
      </c>
      <c r="B233" s="243">
        <v>12.21</v>
      </c>
      <c r="C233" s="243">
        <v>12.15</v>
      </c>
      <c r="K233" s="156">
        <v>46100</v>
      </c>
      <c r="L233" s="243">
        <v>12.33</v>
      </c>
      <c r="M233" s="243">
        <v>11.53</v>
      </c>
    </row>
    <row r="234" customHeight="1" spans="1:13">
      <c r="A234" s="156">
        <v>46107</v>
      </c>
      <c r="B234" s="243">
        <v>12.24</v>
      </c>
      <c r="C234" s="243">
        <v>11.81</v>
      </c>
      <c r="K234" s="156">
        <v>46107</v>
      </c>
      <c r="L234" s="243">
        <v>12.36</v>
      </c>
      <c r="M234" s="243">
        <v>11.31</v>
      </c>
    </row>
    <row r="235" customHeight="1" spans="1:13">
      <c r="A235" s="156">
        <v>46114</v>
      </c>
      <c r="B235" s="243">
        <v>12.25</v>
      </c>
      <c r="C235" s="243">
        <v>11.39</v>
      </c>
      <c r="K235" s="156">
        <v>46114</v>
      </c>
      <c r="L235" s="243">
        <v>12.36</v>
      </c>
      <c r="M235" s="243">
        <v>11.24</v>
      </c>
    </row>
    <row r="236" customHeight="1" spans="1:13">
      <c r="A236" s="156">
        <v>46121</v>
      </c>
      <c r="B236" s="243">
        <v>12.25</v>
      </c>
      <c r="C236" s="243">
        <v>11.39</v>
      </c>
      <c r="K236" s="156">
        <v>46121</v>
      </c>
      <c r="L236" s="207">
        <v>12.37</v>
      </c>
      <c r="M236" s="207">
        <v>11.17</v>
      </c>
    </row>
    <row r="237" customHeight="1" spans="1:13">
      <c r="A237" s="156">
        <v>46128</v>
      </c>
      <c r="B237" s="243">
        <v>12.25</v>
      </c>
      <c r="C237" s="243">
        <v>11.42</v>
      </c>
      <c r="K237" s="156">
        <v>46128</v>
      </c>
      <c r="L237" s="207">
        <v>12.37</v>
      </c>
      <c r="M237" s="207">
        <v>11.17</v>
      </c>
    </row>
    <row r="238" customHeight="1" spans="1:13">
      <c r="A238" s="156">
        <v>46135</v>
      </c>
      <c r="B238" s="243">
        <v>12.22</v>
      </c>
      <c r="C238" s="243">
        <v>11.55</v>
      </c>
      <c r="K238" s="156">
        <v>46135</v>
      </c>
      <c r="L238" s="243">
        <v>12.35</v>
      </c>
      <c r="M238" s="243">
        <v>11.15</v>
      </c>
    </row>
    <row r="239" customHeight="1" spans="1:13">
      <c r="A239" s="156">
        <v>46142</v>
      </c>
      <c r="B239" s="243">
        <v>12.22</v>
      </c>
      <c r="C239" s="243">
        <v>11.67</v>
      </c>
      <c r="K239" s="156">
        <v>46142</v>
      </c>
      <c r="L239" s="243">
        <v>12.34</v>
      </c>
      <c r="M239" s="243">
        <v>11.22</v>
      </c>
    </row>
    <row r="240" customHeight="1" spans="1:13">
      <c r="A240" s="156">
        <v>46149</v>
      </c>
      <c r="B240" s="243">
        <v>12.08</v>
      </c>
      <c r="C240" s="243">
        <v>11.6</v>
      </c>
      <c r="K240" s="156">
        <v>46149</v>
      </c>
      <c r="L240" s="243">
        <v>12.19</v>
      </c>
      <c r="M240" s="243">
        <v>11.08</v>
      </c>
    </row>
    <row r="241" customHeight="1" spans="1:13">
      <c r="A241" s="156">
        <v>46156</v>
      </c>
      <c r="B241" s="243">
        <v>12.04</v>
      </c>
      <c r="C241" s="243">
        <v>11.66</v>
      </c>
      <c r="K241" s="156">
        <v>46156</v>
      </c>
      <c r="L241" s="243">
        <v>12.15</v>
      </c>
      <c r="M241" s="243">
        <v>11.23</v>
      </c>
    </row>
    <row r="242" customHeight="1" spans="1:13">
      <c r="A242" s="156">
        <v>46163</v>
      </c>
      <c r="B242" s="243">
        <v>12.04</v>
      </c>
      <c r="C242" s="243">
        <v>11.75</v>
      </c>
      <c r="K242" s="156">
        <v>46163</v>
      </c>
      <c r="L242" s="243">
        <v>12.15</v>
      </c>
      <c r="M242" s="246">
        <v>11.39</v>
      </c>
    </row>
    <row r="243" customHeight="1" spans="1:13">
      <c r="A243" s="156">
        <v>46170</v>
      </c>
      <c r="B243" s="243">
        <v>12.01</v>
      </c>
      <c r="C243" s="243">
        <v>11.71</v>
      </c>
      <c r="K243" s="156">
        <v>46170</v>
      </c>
      <c r="L243" s="243">
        <v>12.12</v>
      </c>
      <c r="M243" s="246">
        <v>11.36</v>
      </c>
    </row>
    <row r="244" customHeight="1" spans="1:13">
      <c r="A244" s="156">
        <v>46177</v>
      </c>
      <c r="B244" s="243">
        <v>12.01</v>
      </c>
      <c r="C244" s="243">
        <v>11.59</v>
      </c>
      <c r="K244" s="156">
        <v>46177</v>
      </c>
      <c r="L244" s="243">
        <v>12.11</v>
      </c>
      <c r="M244" s="246">
        <v>11.44</v>
      </c>
    </row>
    <row r="245" customHeight="1" spans="1:13">
      <c r="A245" s="156">
        <v>46184</v>
      </c>
      <c r="B245" s="243">
        <v>11.88</v>
      </c>
      <c r="C245" s="243">
        <v>11.19</v>
      </c>
      <c r="K245" s="156">
        <v>46184</v>
      </c>
      <c r="L245" s="243">
        <v>11.98</v>
      </c>
      <c r="M245" s="246">
        <v>11.6</v>
      </c>
    </row>
    <row r="246" customHeight="1" spans="1:13">
      <c r="A246" s="156">
        <v>46191</v>
      </c>
      <c r="B246" s="243">
        <v>11.88</v>
      </c>
      <c r="C246" s="243">
        <v>10.84</v>
      </c>
      <c r="K246" s="156">
        <v>46191</v>
      </c>
      <c r="L246" s="243">
        <v>11.98</v>
      </c>
      <c r="M246" s="246">
        <v>12.17</v>
      </c>
    </row>
    <row r="247" customHeight="1" spans="1:13">
      <c r="A247" s="156">
        <v>46198</v>
      </c>
      <c r="B247" s="243">
        <v>11.88</v>
      </c>
      <c r="C247" s="243">
        <v>10.37</v>
      </c>
      <c r="K247" s="156">
        <v>46198</v>
      </c>
      <c r="L247" s="243">
        <v>12.01</v>
      </c>
      <c r="M247" s="246">
        <v>12.4</v>
      </c>
    </row>
    <row r="248" customHeight="1" spans="1:13">
      <c r="A248" s="156">
        <v>46205</v>
      </c>
      <c r="B248" s="243">
        <v>11.88</v>
      </c>
      <c r="C248" s="243">
        <v>10.82</v>
      </c>
      <c r="K248" s="156">
        <v>46205</v>
      </c>
      <c r="L248" s="243">
        <v>12.01</v>
      </c>
      <c r="M248" s="246">
        <v>12.51</v>
      </c>
    </row>
    <row r="249" customHeight="1" spans="1:13">
      <c r="A249" s="156">
        <v>46212</v>
      </c>
      <c r="B249" s="243">
        <v>11.88</v>
      </c>
      <c r="C249" s="243">
        <v>11.22</v>
      </c>
      <c r="K249" s="156">
        <v>46212</v>
      </c>
      <c r="L249" s="243">
        <v>12.01</v>
      </c>
      <c r="M249" s="246">
        <v>12.5</v>
      </c>
    </row>
    <row r="250" customHeight="1" spans="1:13">
      <c r="A250" s="156">
        <v>46219</v>
      </c>
      <c r="B250" s="243">
        <v>11.88</v>
      </c>
      <c r="C250" s="243">
        <v>11.53</v>
      </c>
      <c r="K250" s="156">
        <v>46219</v>
      </c>
      <c r="L250" s="243">
        <v>12.01</v>
      </c>
      <c r="M250" s="246">
        <v>12.5</v>
      </c>
    </row>
    <row r="251" customHeight="1" spans="1:13">
      <c r="A251" s="156">
        <v>46226</v>
      </c>
      <c r="B251" s="243">
        <v>11.88</v>
      </c>
      <c r="C251" s="243">
        <v>11.62</v>
      </c>
      <c r="K251" s="156">
        <v>46226</v>
      </c>
      <c r="L251" s="243">
        <v>12.01</v>
      </c>
      <c r="M251" s="243">
        <v>12.48</v>
      </c>
    </row>
    <row r="252" customHeight="1" spans="1:13">
      <c r="A252" s="156">
        <v>46233</v>
      </c>
      <c r="B252" s="243">
        <v>11.88</v>
      </c>
      <c r="C252" s="243">
        <v>11.34</v>
      </c>
      <c r="K252" s="156">
        <v>46233</v>
      </c>
      <c r="L252" s="243">
        <v>12.01</v>
      </c>
      <c r="M252" s="243">
        <v>12.44</v>
      </c>
    </row>
    <row r="253" customHeight="1" spans="1:13">
      <c r="A253" s="156">
        <v>46240</v>
      </c>
      <c r="B253" s="243">
        <v>11.88</v>
      </c>
      <c r="C253" s="243">
        <v>10.9</v>
      </c>
      <c r="K253" s="156">
        <v>46240</v>
      </c>
      <c r="L253" s="243">
        <v>12.01</v>
      </c>
      <c r="M253" s="243">
        <v>12.36</v>
      </c>
    </row>
    <row r="254" customHeight="1" spans="1:13">
      <c r="A254" s="156">
        <v>46247</v>
      </c>
      <c r="B254" s="243">
        <v>11.88</v>
      </c>
      <c r="C254" s="243">
        <v>10.7</v>
      </c>
      <c r="K254" s="156">
        <v>46247</v>
      </c>
      <c r="L254" s="243">
        <v>12.01</v>
      </c>
      <c r="M254" s="243">
        <v>12.17</v>
      </c>
    </row>
    <row r="255" customHeight="1" spans="1:13">
      <c r="A255" s="156">
        <v>46254</v>
      </c>
      <c r="B255" s="243">
        <v>11.88</v>
      </c>
      <c r="C255" s="243">
        <v>10.62</v>
      </c>
      <c r="K255" s="156">
        <v>46254</v>
      </c>
      <c r="L255" s="243">
        <v>12</v>
      </c>
      <c r="M255" s="243">
        <v>11.89</v>
      </c>
    </row>
    <row r="256" customHeight="1" spans="1:13">
      <c r="A256" s="156">
        <v>46261</v>
      </c>
      <c r="B256" s="243">
        <v>11.88</v>
      </c>
      <c r="C256" s="243">
        <v>10.57</v>
      </c>
      <c r="K256" s="156">
        <v>46261</v>
      </c>
      <c r="L256" s="243">
        <v>11.99</v>
      </c>
      <c r="M256" s="243">
        <v>11.79</v>
      </c>
    </row>
    <row r="257" customHeight="1" spans="1:13">
      <c r="A257" s="156">
        <v>46268</v>
      </c>
      <c r="B257" s="243">
        <v>11.9</v>
      </c>
      <c r="C257" s="243">
        <v>10.58</v>
      </c>
      <c r="K257" s="156">
        <v>46268</v>
      </c>
      <c r="L257" s="243">
        <v>12</v>
      </c>
      <c r="M257" s="243">
        <v>11.12</v>
      </c>
    </row>
    <row r="258" customHeight="1" spans="1:13">
      <c r="A258" s="156">
        <v>46275</v>
      </c>
      <c r="B258" s="243">
        <v>12</v>
      </c>
      <c r="C258" s="243">
        <v>10.69</v>
      </c>
      <c r="K258" s="156">
        <v>46275</v>
      </c>
      <c r="L258" s="243">
        <v>12.1</v>
      </c>
      <c r="M258" s="243">
        <v>11.22</v>
      </c>
    </row>
    <row r="259" customHeight="1" spans="1:13">
      <c r="A259" s="156">
        <v>46282</v>
      </c>
      <c r="B259" s="243">
        <v>12</v>
      </c>
      <c r="C259" s="243">
        <v>10.64</v>
      </c>
      <c r="K259" s="156">
        <v>46282</v>
      </c>
      <c r="L259" s="243">
        <v>12.1</v>
      </c>
      <c r="M259" s="243">
        <v>11.26</v>
      </c>
    </row>
    <row r="260" customHeight="1" spans="1:13">
      <c r="A260" s="156">
        <v>46289</v>
      </c>
      <c r="B260" s="243">
        <v>12.02</v>
      </c>
      <c r="C260" s="243">
        <v>10.54</v>
      </c>
      <c r="K260" s="156">
        <v>46289</v>
      </c>
      <c r="L260" s="243">
        <v>12.13</v>
      </c>
      <c r="M260" s="243">
        <v>11.43</v>
      </c>
    </row>
  </sheetData>
  <mergeCells count="2">
    <mergeCell ref="A1:C1"/>
    <mergeCell ref="K1:M1"/>
  </mergeCells>
  <pageMargins left="0.7" right="0.7" top="0.75" bottom="0.75" header="0.3" footer="0.3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273"/>
  <sheetViews>
    <sheetView workbookViewId="0">
      <pane xSplit="1" ySplit="3" topLeftCell="B248" activePane="bottomRight" state="frozen"/>
      <selection/>
      <selection pane="topRight"/>
      <selection pane="bottomLeft"/>
      <selection pane="bottomRight" activeCell="B273" sqref="B273:C273"/>
    </sheetView>
  </sheetViews>
  <sheetFormatPr defaultColWidth="13.125" defaultRowHeight="20" customHeight="1" outlineLevelCol="2"/>
  <cols>
    <col min="1" max="1" width="14.2583333333333" style="149" customWidth="1"/>
    <col min="2" max="3" width="11.3583333333333" customWidth="1"/>
    <col min="4" max="16370" width="13.125" customWidth="1"/>
  </cols>
  <sheetData>
    <row r="2" s="118" customFormat="1" ht="30" customHeight="1" spans="1:3">
      <c r="A2" s="225" t="s">
        <v>50</v>
      </c>
      <c r="B2" s="129" t="s">
        <v>51</v>
      </c>
      <c r="C2" s="228"/>
    </row>
    <row r="3" s="118" customFormat="1" ht="30" customHeight="1" spans="1:3">
      <c r="A3" s="156" t="s">
        <v>29</v>
      </c>
      <c r="B3" s="227" t="s">
        <v>52</v>
      </c>
      <c r="C3" s="227" t="s">
        <v>53</v>
      </c>
    </row>
    <row r="4" customHeight="1" spans="1:3">
      <c r="A4" s="158">
        <v>44343</v>
      </c>
      <c r="B4" s="223">
        <v>-0.72</v>
      </c>
      <c r="C4" s="223">
        <v>-0.9</v>
      </c>
    </row>
    <row r="5" customHeight="1" spans="1:3">
      <c r="A5" s="158">
        <v>44350</v>
      </c>
      <c r="B5" s="223">
        <v>-0.8</v>
      </c>
      <c r="C5" s="223">
        <v>-0.7</v>
      </c>
    </row>
    <row r="6" customHeight="1" spans="1:3">
      <c r="A6" s="158">
        <v>44357</v>
      </c>
      <c r="B6" s="223">
        <v>-0.83</v>
      </c>
      <c r="C6" s="223">
        <v>-0.9</v>
      </c>
    </row>
    <row r="7" customHeight="1" spans="1:3">
      <c r="A7" s="158">
        <v>44364</v>
      </c>
      <c r="B7" s="223">
        <v>-0.58</v>
      </c>
      <c r="C7" s="223">
        <v>-0.7</v>
      </c>
    </row>
    <row r="8" customHeight="1" spans="1:3">
      <c r="A8" s="158">
        <v>44371</v>
      </c>
      <c r="B8" s="223">
        <v>-0.56</v>
      </c>
      <c r="C8" s="223">
        <v>-0.3</v>
      </c>
    </row>
    <row r="9" customHeight="1" spans="1:3">
      <c r="A9" s="158">
        <v>44378</v>
      </c>
      <c r="B9" s="223">
        <v>-0.36</v>
      </c>
      <c r="C9" s="223">
        <v>-0.3</v>
      </c>
    </row>
    <row r="10" customHeight="1" spans="1:3">
      <c r="A10" s="158">
        <v>44385</v>
      </c>
      <c r="B10" s="223">
        <v>-0.34</v>
      </c>
      <c r="C10" s="223">
        <v>-0.3</v>
      </c>
    </row>
    <row r="11" customHeight="1" spans="1:3">
      <c r="A11" s="158">
        <v>44392</v>
      </c>
      <c r="B11" s="223">
        <v>-0.34</v>
      </c>
      <c r="C11" s="223">
        <v>-0.3</v>
      </c>
    </row>
    <row r="12" customHeight="1" spans="1:3">
      <c r="A12" s="158">
        <v>44399</v>
      </c>
      <c r="B12" s="223">
        <v>-0.46</v>
      </c>
      <c r="C12" s="223">
        <v>-0.3</v>
      </c>
    </row>
    <row r="13" customHeight="1" spans="1:3">
      <c r="A13" s="158">
        <v>44406</v>
      </c>
      <c r="B13" s="223">
        <v>-0.39</v>
      </c>
      <c r="C13" s="223">
        <v>-0.3</v>
      </c>
    </row>
    <row r="14" customHeight="1" spans="1:3">
      <c r="A14" s="158">
        <v>44413</v>
      </c>
      <c r="B14" s="223">
        <v>-0.46</v>
      </c>
      <c r="C14" s="223">
        <v>0.1</v>
      </c>
    </row>
    <row r="15" customHeight="1" spans="1:3">
      <c r="A15" s="158">
        <v>44420</v>
      </c>
      <c r="B15" s="223">
        <v>-0.45</v>
      </c>
      <c r="C15" s="223">
        <v>0.2</v>
      </c>
    </row>
    <row r="16" customHeight="1" spans="1:3">
      <c r="A16" s="158">
        <v>44427</v>
      </c>
      <c r="B16" s="134">
        <v>-0.28</v>
      </c>
      <c r="C16" s="223">
        <v>0.2</v>
      </c>
    </row>
    <row r="17" customHeight="1" spans="1:3">
      <c r="A17" s="158">
        <v>44434</v>
      </c>
      <c r="B17" s="134">
        <v>-0.27</v>
      </c>
      <c r="C17" s="223">
        <v>0.2</v>
      </c>
    </row>
    <row r="18" customHeight="1" spans="1:3">
      <c r="A18" s="158">
        <v>44441</v>
      </c>
      <c r="B18" s="134">
        <v>-0.31</v>
      </c>
      <c r="C18" s="229">
        <v>0.4</v>
      </c>
    </row>
    <row r="19" customHeight="1" spans="1:3">
      <c r="A19" s="158">
        <v>44448</v>
      </c>
      <c r="B19" s="134">
        <v>-0.29</v>
      </c>
      <c r="C19" s="229">
        <v>0.3</v>
      </c>
    </row>
    <row r="20" customHeight="1" spans="1:3">
      <c r="A20" s="158">
        <v>44455</v>
      </c>
      <c r="B20" s="134">
        <v>-0.17</v>
      </c>
      <c r="C20" s="229">
        <v>0.399999999999999</v>
      </c>
    </row>
    <row r="21" customHeight="1" spans="1:3">
      <c r="A21" s="158">
        <v>44462</v>
      </c>
      <c r="B21" s="134">
        <v>-0.18</v>
      </c>
      <c r="C21" s="229">
        <v>0.3</v>
      </c>
    </row>
    <row r="22" customHeight="1" spans="1:3">
      <c r="A22" s="158">
        <v>44469</v>
      </c>
      <c r="B22" s="134">
        <v>0.24</v>
      </c>
      <c r="C22" s="229">
        <v>0.4</v>
      </c>
    </row>
    <row r="23" customHeight="1" spans="1:3">
      <c r="A23" s="158">
        <v>44477</v>
      </c>
      <c r="B23" s="134">
        <v>0.22</v>
      </c>
      <c r="C23" s="229">
        <v>0.4</v>
      </c>
    </row>
    <row r="24" customHeight="1" spans="1:3">
      <c r="A24" s="158">
        <v>44483</v>
      </c>
      <c r="B24" s="134">
        <v>0.59</v>
      </c>
      <c r="C24" s="229">
        <v>0.6</v>
      </c>
    </row>
    <row r="25" customHeight="1" spans="1:3">
      <c r="A25" s="158">
        <v>44490</v>
      </c>
      <c r="B25" s="134">
        <v>0.44</v>
      </c>
      <c r="C25" s="229">
        <v>0.6</v>
      </c>
    </row>
    <row r="26" customHeight="1" spans="1:3">
      <c r="A26" s="158">
        <v>44497</v>
      </c>
      <c r="B26" s="134">
        <v>0.55</v>
      </c>
      <c r="C26" s="229">
        <v>0.5</v>
      </c>
    </row>
    <row r="27" customHeight="1" spans="1:3">
      <c r="A27" s="158">
        <v>44504</v>
      </c>
      <c r="B27" s="134">
        <v>0.57</v>
      </c>
      <c r="C27" s="229">
        <v>0.7</v>
      </c>
    </row>
    <row r="28" customHeight="1" spans="1:3">
      <c r="A28" s="158">
        <v>44511</v>
      </c>
      <c r="B28" s="134">
        <v>0.44</v>
      </c>
      <c r="C28" s="229">
        <v>1</v>
      </c>
    </row>
    <row r="29" customHeight="1" spans="1:3">
      <c r="A29" s="158">
        <v>44518</v>
      </c>
      <c r="B29" s="134">
        <v>0.5</v>
      </c>
      <c r="C29" s="229">
        <v>0.6</v>
      </c>
    </row>
    <row r="30" customHeight="1" spans="1:3">
      <c r="A30" s="158">
        <v>44525</v>
      </c>
      <c r="B30" s="134">
        <v>0.42</v>
      </c>
      <c r="C30" s="229">
        <v>0.6</v>
      </c>
    </row>
    <row r="31" customHeight="1" spans="1:3">
      <c r="A31" s="158">
        <v>44532</v>
      </c>
      <c r="B31" s="134">
        <v>0.45</v>
      </c>
      <c r="C31" s="229">
        <v>0.7</v>
      </c>
    </row>
    <row r="32" customHeight="1" spans="1:3">
      <c r="A32" s="158">
        <v>44539</v>
      </c>
      <c r="B32" s="134">
        <v>0.46</v>
      </c>
      <c r="C32" s="229">
        <v>0.7</v>
      </c>
    </row>
    <row r="33" customHeight="1" spans="1:3">
      <c r="A33" s="158">
        <v>44546</v>
      </c>
      <c r="B33" s="134">
        <v>0.51</v>
      </c>
      <c r="C33" s="229">
        <v>0.9</v>
      </c>
    </row>
    <row r="34" customHeight="1" spans="1:3">
      <c r="A34" s="158">
        <v>44553</v>
      </c>
      <c r="B34" s="223">
        <v>0.45</v>
      </c>
      <c r="C34" s="229">
        <v>0.6</v>
      </c>
    </row>
    <row r="35" customHeight="1" spans="1:3">
      <c r="A35" s="158">
        <v>44560</v>
      </c>
      <c r="B35" s="223">
        <v>0.4</v>
      </c>
      <c r="C35" s="229">
        <v>0.5</v>
      </c>
    </row>
    <row r="36" customHeight="1" spans="1:3">
      <c r="A36" s="158">
        <v>44567</v>
      </c>
      <c r="B36" s="223">
        <v>0.35</v>
      </c>
      <c r="C36" s="229">
        <v>0.5</v>
      </c>
    </row>
    <row r="37" customHeight="1" spans="1:3">
      <c r="A37" s="158">
        <v>44574</v>
      </c>
      <c r="B37" s="223">
        <v>0.36</v>
      </c>
      <c r="C37" s="229">
        <v>0.5</v>
      </c>
    </row>
    <row r="38" customHeight="1" spans="1:3">
      <c r="A38" s="158">
        <v>44581</v>
      </c>
      <c r="B38" s="223">
        <v>0.42</v>
      </c>
      <c r="C38" s="229">
        <v>0.5</v>
      </c>
    </row>
    <row r="39" s="8" customFormat="1" customHeight="1" spans="1:3">
      <c r="A39" s="158">
        <v>44587</v>
      </c>
      <c r="B39" s="223">
        <v>0.45</v>
      </c>
      <c r="C39" s="229">
        <v>0.5</v>
      </c>
    </row>
    <row r="40" s="8" customFormat="1" customHeight="1" spans="1:3">
      <c r="A40" s="158">
        <v>44602</v>
      </c>
      <c r="B40" s="223">
        <v>0.2</v>
      </c>
      <c r="C40" s="229">
        <v>0.7</v>
      </c>
    </row>
    <row r="41" customHeight="1" spans="1:3">
      <c r="A41" s="158">
        <v>44609</v>
      </c>
      <c r="B41" s="134">
        <v>0.33</v>
      </c>
      <c r="C41" s="229">
        <v>0.6</v>
      </c>
    </row>
    <row r="42" s="91" customFormat="1" customHeight="1" spans="1:3">
      <c r="A42" s="158">
        <v>44616</v>
      </c>
      <c r="B42" s="230">
        <v>0.33</v>
      </c>
      <c r="C42" s="229">
        <v>0.6</v>
      </c>
    </row>
    <row r="43" s="91" customFormat="1" customHeight="1" spans="1:3">
      <c r="A43" s="158">
        <v>44623</v>
      </c>
      <c r="B43" s="230">
        <v>0.34</v>
      </c>
      <c r="C43" s="229">
        <v>0.6</v>
      </c>
    </row>
    <row r="44" s="91" customFormat="1" customHeight="1" spans="1:3">
      <c r="A44" s="158">
        <v>44630</v>
      </c>
      <c r="B44" s="230">
        <v>0.35</v>
      </c>
      <c r="C44" s="229">
        <v>0.4</v>
      </c>
    </row>
    <row r="45" s="91" customFormat="1" customHeight="1" spans="1:3">
      <c r="A45" s="158">
        <v>44637</v>
      </c>
      <c r="B45" s="230">
        <v>0.31</v>
      </c>
      <c r="C45" s="229">
        <v>0.4</v>
      </c>
    </row>
    <row r="46" s="91" customFormat="1" customHeight="1" spans="1:3">
      <c r="A46" s="158">
        <v>44644</v>
      </c>
      <c r="B46" s="230">
        <v>0.29</v>
      </c>
      <c r="C46" s="229">
        <v>0.4</v>
      </c>
    </row>
    <row r="47" s="91" customFormat="1" customHeight="1" spans="1:3">
      <c r="A47" s="158">
        <v>44651</v>
      </c>
      <c r="B47" s="134">
        <v>0.33</v>
      </c>
      <c r="C47" s="229">
        <v>0.4</v>
      </c>
    </row>
    <row r="48" s="91" customFormat="1" customHeight="1" spans="1:3">
      <c r="A48" s="158">
        <v>44658</v>
      </c>
      <c r="B48" s="134">
        <v>0.28</v>
      </c>
      <c r="C48" s="229">
        <v>0.4</v>
      </c>
    </row>
    <row r="49" s="91" customFormat="1" customHeight="1" spans="1:3">
      <c r="A49" s="158">
        <v>44665</v>
      </c>
      <c r="B49" s="134">
        <v>0.22</v>
      </c>
      <c r="C49" s="229">
        <v>0.2</v>
      </c>
    </row>
    <row r="50" s="91" customFormat="1" customHeight="1" spans="1:3">
      <c r="A50" s="158">
        <v>44672</v>
      </c>
      <c r="B50" s="134">
        <v>0.17</v>
      </c>
      <c r="C50" s="229">
        <v>0.4</v>
      </c>
    </row>
    <row r="51" s="91" customFormat="1" customHeight="1" spans="1:3">
      <c r="A51" s="158">
        <v>44679</v>
      </c>
      <c r="B51" s="134">
        <v>0.15</v>
      </c>
      <c r="C51" s="229">
        <v>0.3</v>
      </c>
    </row>
    <row r="52" s="91" customFormat="1" customHeight="1" spans="1:3">
      <c r="A52" s="158">
        <v>44686</v>
      </c>
      <c r="B52" s="134">
        <v>-0.09</v>
      </c>
      <c r="C52" s="229">
        <v>0.2</v>
      </c>
    </row>
    <row r="53" s="91" customFormat="1" customHeight="1" spans="1:3">
      <c r="A53" s="158">
        <v>44693</v>
      </c>
      <c r="B53" s="134">
        <v>-0.21</v>
      </c>
      <c r="C53" s="229">
        <v>0.2</v>
      </c>
    </row>
    <row r="54" s="91" customFormat="1" customHeight="1" spans="1:3">
      <c r="A54" s="158">
        <v>44700</v>
      </c>
      <c r="B54" s="134">
        <v>-0.36</v>
      </c>
      <c r="C54" s="229">
        <v>0.1</v>
      </c>
    </row>
    <row r="55" s="91" customFormat="1" customHeight="1" spans="1:3">
      <c r="A55" s="158">
        <v>44707</v>
      </c>
      <c r="B55" s="134">
        <v>-0.35</v>
      </c>
      <c r="C55" s="229">
        <v>0.1</v>
      </c>
    </row>
    <row r="56" s="91" customFormat="1" customHeight="1" spans="1:3">
      <c r="A56" s="158">
        <v>44714</v>
      </c>
      <c r="B56" s="134">
        <v>-0.29</v>
      </c>
      <c r="C56" s="229">
        <v>0.1</v>
      </c>
    </row>
    <row r="57" s="91" customFormat="1" customHeight="1" spans="1:3">
      <c r="A57" s="158">
        <v>44721</v>
      </c>
      <c r="B57" s="134">
        <v>-0.25</v>
      </c>
      <c r="C57" s="229">
        <v>0.1</v>
      </c>
    </row>
    <row r="58" s="91" customFormat="1" customHeight="1" spans="1:3">
      <c r="A58" s="158">
        <v>44728</v>
      </c>
      <c r="B58" s="134">
        <v>-0.24</v>
      </c>
      <c r="C58" s="134">
        <v>0.15</v>
      </c>
    </row>
    <row r="59" s="91" customFormat="1" customHeight="1" spans="1:3">
      <c r="A59" s="158">
        <v>44735</v>
      </c>
      <c r="B59" s="134">
        <v>-0.2</v>
      </c>
      <c r="C59" s="229">
        <v>0.2</v>
      </c>
    </row>
    <row r="60" s="91" customFormat="1" customHeight="1" spans="1:3">
      <c r="A60" s="158">
        <v>44742</v>
      </c>
      <c r="B60" s="134">
        <v>-0.17</v>
      </c>
      <c r="C60" s="229">
        <v>0.3</v>
      </c>
    </row>
    <row r="61" s="91" customFormat="1" customHeight="1" spans="1:3">
      <c r="A61" s="231">
        <v>44749</v>
      </c>
      <c r="B61" s="134">
        <v>-0.17</v>
      </c>
      <c r="C61" s="229">
        <v>0.2</v>
      </c>
    </row>
    <row r="62" customHeight="1" spans="1:3">
      <c r="A62" s="158">
        <v>44756</v>
      </c>
      <c r="B62" s="134">
        <v>-0.19</v>
      </c>
      <c r="C62" s="229">
        <v>0.1</v>
      </c>
    </row>
    <row r="63" s="91" customFormat="1" customHeight="1" spans="1:3">
      <c r="A63" s="231">
        <v>44763</v>
      </c>
      <c r="B63" s="134">
        <v>-0.28</v>
      </c>
      <c r="C63" s="229">
        <v>0.1</v>
      </c>
    </row>
    <row r="64" s="91" customFormat="1" customHeight="1" spans="1:3">
      <c r="A64" s="231">
        <v>44770</v>
      </c>
      <c r="B64" s="134">
        <v>-0.29</v>
      </c>
      <c r="C64" s="229">
        <v>0.1</v>
      </c>
    </row>
    <row r="65" customHeight="1" spans="1:3">
      <c r="A65" s="231">
        <v>44777</v>
      </c>
      <c r="B65" s="134">
        <v>-0.41</v>
      </c>
      <c r="C65" s="229">
        <v>0.1</v>
      </c>
    </row>
    <row r="66" customHeight="1" spans="1:3">
      <c r="A66" s="231">
        <v>44784</v>
      </c>
      <c r="B66" s="134">
        <v>-0.28</v>
      </c>
      <c r="C66" s="229">
        <v>0.3</v>
      </c>
    </row>
    <row r="67" customHeight="1" spans="1:3">
      <c r="A67" s="231">
        <v>44791</v>
      </c>
      <c r="B67" s="134">
        <v>-0.2</v>
      </c>
      <c r="C67" s="229">
        <v>0.3</v>
      </c>
    </row>
    <row r="68" customHeight="1" spans="1:3">
      <c r="A68" s="231">
        <v>44798</v>
      </c>
      <c r="B68" s="134">
        <v>0.1</v>
      </c>
      <c r="C68" s="229">
        <v>0.4</v>
      </c>
    </row>
    <row r="69" customHeight="1" spans="1:3">
      <c r="A69" s="231">
        <v>44805</v>
      </c>
      <c r="B69" s="134">
        <v>0.23</v>
      </c>
      <c r="C69" s="229">
        <v>0.4</v>
      </c>
    </row>
    <row r="70" customHeight="1" spans="1:3">
      <c r="A70" s="231">
        <v>44812</v>
      </c>
      <c r="B70" s="134">
        <v>0.13</v>
      </c>
      <c r="C70" s="229">
        <v>0.4</v>
      </c>
    </row>
    <row r="71" customHeight="1" spans="1:3">
      <c r="A71" s="231">
        <v>44819</v>
      </c>
      <c r="B71" s="134">
        <v>0.22</v>
      </c>
      <c r="C71" s="229">
        <v>0.4</v>
      </c>
    </row>
    <row r="72" customHeight="1" spans="1:3">
      <c r="A72" s="231">
        <v>44826</v>
      </c>
      <c r="B72" s="134">
        <v>0.32</v>
      </c>
      <c r="C72" s="229">
        <v>0.5</v>
      </c>
    </row>
    <row r="73" customHeight="1" spans="1:3">
      <c r="A73" s="231">
        <v>44833</v>
      </c>
      <c r="B73" s="134">
        <v>0.31</v>
      </c>
      <c r="C73" s="229">
        <v>0.5</v>
      </c>
    </row>
    <row r="74" customHeight="1" spans="1:3">
      <c r="A74" s="231">
        <v>44842</v>
      </c>
      <c r="B74" s="134">
        <v>0.54</v>
      </c>
      <c r="C74" s="232">
        <v>0.7</v>
      </c>
    </row>
    <row r="75" customHeight="1" spans="1:3">
      <c r="A75" s="231">
        <v>44847</v>
      </c>
      <c r="B75" s="134">
        <v>0.7</v>
      </c>
      <c r="C75" s="232">
        <v>0.8</v>
      </c>
    </row>
    <row r="76" customHeight="1" spans="1:3">
      <c r="A76" s="231">
        <v>44854</v>
      </c>
      <c r="B76" s="134">
        <v>0.59</v>
      </c>
      <c r="C76" s="232">
        <v>0.6</v>
      </c>
    </row>
    <row r="77" customHeight="1" spans="1:3">
      <c r="A77" s="231">
        <v>44861</v>
      </c>
      <c r="B77" s="134">
        <v>0.54</v>
      </c>
      <c r="C77" s="232">
        <v>0.8</v>
      </c>
    </row>
    <row r="78" customHeight="1" spans="1:3">
      <c r="A78" s="231">
        <v>44868</v>
      </c>
      <c r="B78" s="134">
        <v>0.57</v>
      </c>
      <c r="C78" s="232">
        <v>0.8</v>
      </c>
    </row>
    <row r="79" customHeight="1" spans="1:3">
      <c r="A79" s="231">
        <v>44875</v>
      </c>
      <c r="B79" s="134">
        <v>0.56</v>
      </c>
      <c r="C79" s="232">
        <v>0.6</v>
      </c>
    </row>
    <row r="80" customHeight="1" spans="1:3">
      <c r="A80" s="231">
        <v>44882</v>
      </c>
      <c r="B80" s="134">
        <v>0.65</v>
      </c>
      <c r="C80" s="232">
        <v>0.5</v>
      </c>
    </row>
    <row r="81" customHeight="1" spans="1:3">
      <c r="A81" s="231">
        <v>44889</v>
      </c>
      <c r="B81" s="134">
        <v>0.55</v>
      </c>
      <c r="C81" s="232">
        <v>0.5</v>
      </c>
    </row>
    <row r="82" customHeight="1" spans="1:3">
      <c r="A82" s="231">
        <v>44896</v>
      </c>
      <c r="B82" s="134">
        <v>0.59</v>
      </c>
      <c r="C82" s="232">
        <v>0.6</v>
      </c>
    </row>
    <row r="83" customHeight="1" spans="1:3">
      <c r="A83" s="231">
        <v>44903</v>
      </c>
      <c r="B83" s="134">
        <v>0.38</v>
      </c>
      <c r="C83" s="232">
        <v>0.5</v>
      </c>
    </row>
    <row r="84" customHeight="1" spans="1:3">
      <c r="A84" s="231">
        <v>44910</v>
      </c>
      <c r="B84" s="134">
        <v>0.2</v>
      </c>
      <c r="C84" s="232">
        <v>0.4</v>
      </c>
    </row>
    <row r="85" customHeight="1" spans="1:3">
      <c r="A85" s="231">
        <v>44917</v>
      </c>
      <c r="B85" s="134">
        <v>0.08</v>
      </c>
      <c r="C85" s="232">
        <v>0.4</v>
      </c>
    </row>
    <row r="86" customHeight="1" spans="1:3">
      <c r="A86" s="231">
        <v>44924</v>
      </c>
      <c r="B86" s="134">
        <v>-0.04</v>
      </c>
      <c r="C86" s="232">
        <v>0.4</v>
      </c>
    </row>
    <row r="87" customHeight="1" spans="1:3">
      <c r="A87" s="231">
        <v>44931</v>
      </c>
      <c r="B87" s="161">
        <v>-0.15</v>
      </c>
      <c r="C87" s="232">
        <v>0.3</v>
      </c>
    </row>
    <row r="88" customHeight="1" spans="1:3">
      <c r="A88" s="231">
        <v>44938</v>
      </c>
      <c r="B88" s="161">
        <v>-0.14</v>
      </c>
      <c r="C88" s="233">
        <v>0.2</v>
      </c>
    </row>
    <row r="89" customHeight="1" spans="1:3">
      <c r="A89" s="231">
        <v>44959</v>
      </c>
      <c r="B89" s="161">
        <v>-0.1</v>
      </c>
      <c r="C89" s="233">
        <v>0.2</v>
      </c>
    </row>
    <row r="90" customHeight="1" spans="1:3">
      <c r="A90" s="231">
        <v>44966</v>
      </c>
      <c r="B90" s="234">
        <v>-0.11</v>
      </c>
      <c r="C90" s="233">
        <v>0.2</v>
      </c>
    </row>
    <row r="91" customHeight="1" spans="1:3">
      <c r="A91" s="231">
        <v>44973</v>
      </c>
      <c r="B91" s="161">
        <v>-0.14</v>
      </c>
      <c r="C91" s="233">
        <v>0.2</v>
      </c>
    </row>
    <row r="92" customHeight="1" spans="1:3">
      <c r="A92" s="231">
        <v>44980</v>
      </c>
      <c r="B92" s="161">
        <v>-0.01</v>
      </c>
      <c r="C92" s="233">
        <v>0.2</v>
      </c>
    </row>
    <row r="93" customHeight="1" spans="1:3">
      <c r="A93" s="231">
        <v>44987</v>
      </c>
      <c r="B93" s="161">
        <v>0.03</v>
      </c>
      <c r="C93" s="233">
        <v>0.2</v>
      </c>
    </row>
    <row r="94" customHeight="1" spans="1:3">
      <c r="A94" s="231">
        <v>44994</v>
      </c>
      <c r="B94" s="161">
        <v>0.01</v>
      </c>
      <c r="C94" s="233">
        <v>0.2</v>
      </c>
    </row>
    <row r="95" customHeight="1" spans="1:3">
      <c r="A95" s="231">
        <v>45001</v>
      </c>
      <c r="B95" s="161">
        <v>-0.08</v>
      </c>
      <c r="C95" s="233">
        <v>0.2</v>
      </c>
    </row>
    <row r="96" customHeight="1" spans="1:3">
      <c r="A96" s="231">
        <v>45008</v>
      </c>
      <c r="B96" s="161">
        <v>-0.07</v>
      </c>
      <c r="C96" s="233">
        <v>0.2</v>
      </c>
    </row>
    <row r="97" customHeight="1" spans="1:3">
      <c r="A97" s="231">
        <v>45015</v>
      </c>
      <c r="B97" s="161">
        <v>-0.15</v>
      </c>
      <c r="C97" s="233">
        <v>0.1</v>
      </c>
    </row>
    <row r="98" customHeight="1" spans="1:3">
      <c r="A98" s="231">
        <v>45022</v>
      </c>
      <c r="B98" s="161">
        <v>-0.18</v>
      </c>
      <c r="C98" s="233">
        <v>0.1</v>
      </c>
    </row>
    <row r="99" customHeight="1" spans="1:3">
      <c r="A99" s="231">
        <v>45029</v>
      </c>
      <c r="B99" s="162">
        <v>-0.16</v>
      </c>
      <c r="C99" s="233">
        <v>0.1</v>
      </c>
    </row>
    <row r="100" customHeight="1" spans="1:3">
      <c r="A100" s="231">
        <v>45036</v>
      </c>
      <c r="B100" s="161">
        <v>-0.14</v>
      </c>
      <c r="C100" s="233">
        <v>0.1</v>
      </c>
    </row>
    <row r="101" customHeight="1" spans="1:3">
      <c r="A101" s="231">
        <v>45043</v>
      </c>
      <c r="B101" s="162">
        <v>-0.18</v>
      </c>
      <c r="C101" s="233">
        <v>0</v>
      </c>
    </row>
    <row r="102" customHeight="1" spans="1:3">
      <c r="A102" s="231">
        <v>45050</v>
      </c>
      <c r="B102" s="161">
        <v>-0.18</v>
      </c>
      <c r="C102" s="233">
        <v>0</v>
      </c>
    </row>
    <row r="103" customHeight="1" spans="1:3">
      <c r="A103" s="231">
        <v>45057</v>
      </c>
      <c r="B103" s="162">
        <v>-0.13</v>
      </c>
      <c r="C103" s="233">
        <v>0.1</v>
      </c>
    </row>
    <row r="104" customHeight="1" spans="1:3">
      <c r="A104" s="231">
        <v>45064</v>
      </c>
      <c r="B104" s="161">
        <v>-0.17</v>
      </c>
      <c r="C104" s="162">
        <v>-0.05</v>
      </c>
    </row>
    <row r="105" customHeight="1" spans="1:3">
      <c r="A105" s="231">
        <v>45071</v>
      </c>
      <c r="B105" s="161">
        <v>-0.15</v>
      </c>
      <c r="C105" s="233">
        <v>0.1</v>
      </c>
    </row>
    <row r="106" customHeight="1" spans="1:3">
      <c r="A106" s="231">
        <v>45078</v>
      </c>
      <c r="B106" s="161">
        <v>-0.21</v>
      </c>
      <c r="C106" s="162">
        <v>0</v>
      </c>
    </row>
    <row r="107" customHeight="1" spans="1:3">
      <c r="A107" s="231">
        <v>45085</v>
      </c>
      <c r="B107" s="161">
        <v>-0.14</v>
      </c>
      <c r="C107" s="162">
        <v>0</v>
      </c>
    </row>
    <row r="108" customHeight="1" spans="1:3">
      <c r="A108" s="231">
        <v>45092</v>
      </c>
      <c r="B108" s="161">
        <v>-0.22</v>
      </c>
      <c r="C108" s="162">
        <v>0</v>
      </c>
    </row>
    <row r="109" customHeight="1" spans="1:3">
      <c r="A109" s="231">
        <v>45098</v>
      </c>
      <c r="B109" s="161">
        <v>-0.22</v>
      </c>
      <c r="C109" s="162">
        <v>0</v>
      </c>
    </row>
    <row r="110" customHeight="1" spans="1:3">
      <c r="A110" s="231">
        <v>45106</v>
      </c>
      <c r="B110" s="161">
        <v>-0.2</v>
      </c>
      <c r="C110" s="162">
        <v>0</v>
      </c>
    </row>
    <row r="111" customHeight="1" spans="1:3">
      <c r="A111" s="158">
        <v>45113</v>
      </c>
      <c r="B111" s="161">
        <v>-0.06</v>
      </c>
      <c r="C111" s="162">
        <v>0.3</v>
      </c>
    </row>
    <row r="112" customHeight="1" spans="1:3">
      <c r="A112" s="231">
        <v>45120</v>
      </c>
      <c r="B112" s="161">
        <v>-0.05</v>
      </c>
      <c r="C112" s="162">
        <v>0.3</v>
      </c>
    </row>
    <row r="113" customHeight="1" spans="1:3">
      <c r="A113" s="158">
        <v>45127</v>
      </c>
      <c r="B113" s="161">
        <v>-0.04</v>
      </c>
      <c r="C113" s="162">
        <v>0.3</v>
      </c>
    </row>
    <row r="114" customHeight="1" spans="1:3">
      <c r="A114" s="231">
        <v>45134</v>
      </c>
      <c r="B114" s="161">
        <v>0.17</v>
      </c>
      <c r="C114" s="162">
        <v>0.3</v>
      </c>
    </row>
    <row r="115" customHeight="1" spans="1:3">
      <c r="A115" s="158">
        <v>45141</v>
      </c>
      <c r="B115" s="161">
        <v>0.42</v>
      </c>
      <c r="C115" s="162">
        <v>0.4</v>
      </c>
    </row>
    <row r="116" customHeight="1" spans="1:3">
      <c r="A116" s="231">
        <v>45148</v>
      </c>
      <c r="B116" s="161">
        <v>0.37</v>
      </c>
      <c r="C116" s="162">
        <v>0.4</v>
      </c>
    </row>
    <row r="117" customHeight="1" spans="1:3">
      <c r="A117" s="158">
        <v>45155</v>
      </c>
      <c r="B117" s="161">
        <v>0.35</v>
      </c>
      <c r="C117" s="162">
        <v>0.4</v>
      </c>
    </row>
    <row r="118" customHeight="1" spans="1:3">
      <c r="A118" s="231">
        <v>45162</v>
      </c>
      <c r="B118" s="161">
        <v>0.29</v>
      </c>
      <c r="C118" s="162">
        <v>0.4</v>
      </c>
    </row>
    <row r="119" customHeight="1" spans="1:3">
      <c r="A119" s="158">
        <v>45169</v>
      </c>
      <c r="B119" s="161">
        <v>0.28</v>
      </c>
      <c r="C119" s="162">
        <v>0.4</v>
      </c>
    </row>
    <row r="120" customHeight="1" spans="1:3">
      <c r="A120" s="231">
        <v>45176</v>
      </c>
      <c r="B120" s="161">
        <v>0.28</v>
      </c>
      <c r="C120" s="162">
        <v>0.35</v>
      </c>
    </row>
    <row r="121" customHeight="1" spans="1:3">
      <c r="A121" s="158">
        <v>45183</v>
      </c>
      <c r="B121" s="161">
        <v>0.32</v>
      </c>
      <c r="C121" s="162">
        <v>0.45</v>
      </c>
    </row>
    <row r="122" customHeight="1" spans="1:3">
      <c r="A122" s="158">
        <v>45190</v>
      </c>
      <c r="B122" s="161">
        <v>0.34</v>
      </c>
      <c r="C122" s="162">
        <v>0.4</v>
      </c>
    </row>
    <row r="123" customHeight="1" spans="1:3">
      <c r="A123" s="158">
        <v>45197</v>
      </c>
      <c r="B123" s="161">
        <v>0.32</v>
      </c>
      <c r="C123" s="162">
        <v>0.5</v>
      </c>
    </row>
    <row r="124" customHeight="1" spans="1:3">
      <c r="A124" s="158">
        <v>45205</v>
      </c>
      <c r="B124" s="161">
        <v>0.33</v>
      </c>
      <c r="C124" s="162">
        <v>0.5</v>
      </c>
    </row>
    <row r="125" customHeight="1" spans="1:3">
      <c r="A125" s="158">
        <v>45211</v>
      </c>
      <c r="B125" s="161">
        <v>0.32</v>
      </c>
      <c r="C125" s="162">
        <v>0.5</v>
      </c>
    </row>
    <row r="126" customHeight="1" spans="1:3">
      <c r="A126" s="158">
        <v>45218</v>
      </c>
      <c r="B126" s="207">
        <v>0.37</v>
      </c>
      <c r="C126" s="162">
        <v>0.5</v>
      </c>
    </row>
    <row r="127" customHeight="1" spans="1:3">
      <c r="A127" s="158">
        <v>45225</v>
      </c>
      <c r="B127" s="161">
        <v>0.34</v>
      </c>
      <c r="C127" s="162">
        <v>0.5</v>
      </c>
    </row>
    <row r="128" customHeight="1" spans="1:3">
      <c r="A128" s="158">
        <v>45232</v>
      </c>
      <c r="B128" s="207">
        <v>0.41</v>
      </c>
      <c r="C128" s="162">
        <v>0.6</v>
      </c>
    </row>
    <row r="129" customHeight="1" spans="1:3">
      <c r="A129" s="158">
        <v>45239</v>
      </c>
      <c r="B129" s="161">
        <v>0.42</v>
      </c>
      <c r="C129" s="162">
        <v>0.6</v>
      </c>
    </row>
    <row r="130" customHeight="1" spans="1:3">
      <c r="A130" s="158">
        <v>45246</v>
      </c>
      <c r="B130" s="207">
        <v>0.61</v>
      </c>
      <c r="C130" s="162">
        <v>0.8</v>
      </c>
    </row>
    <row r="131" customHeight="1" spans="1:3">
      <c r="A131" s="158">
        <v>45253</v>
      </c>
      <c r="B131" s="161">
        <v>0.6</v>
      </c>
      <c r="C131" s="162">
        <v>0.7</v>
      </c>
    </row>
    <row r="132" customHeight="1" spans="1:3">
      <c r="A132" s="158">
        <v>45260</v>
      </c>
      <c r="B132" s="207">
        <v>0.54</v>
      </c>
      <c r="C132" s="162">
        <v>0.7</v>
      </c>
    </row>
    <row r="133" customHeight="1" spans="1:3">
      <c r="A133" s="158">
        <v>45267</v>
      </c>
      <c r="B133" s="161">
        <v>0.45</v>
      </c>
      <c r="C133" s="162">
        <v>0.7</v>
      </c>
    </row>
    <row r="134" customHeight="1" spans="1:3">
      <c r="A134" s="158">
        <v>45274</v>
      </c>
      <c r="B134" s="207">
        <v>0.36</v>
      </c>
      <c r="C134" s="162">
        <v>0.4</v>
      </c>
    </row>
    <row r="135" customHeight="1" spans="1:3">
      <c r="A135" s="158">
        <v>45281</v>
      </c>
      <c r="B135" s="161">
        <v>0.27</v>
      </c>
      <c r="C135" s="162">
        <v>0.5</v>
      </c>
    </row>
    <row r="136" customHeight="1" spans="1:3">
      <c r="A136" s="158">
        <v>45288</v>
      </c>
      <c r="B136" s="207">
        <v>0.19</v>
      </c>
      <c r="C136" s="162">
        <v>0.4</v>
      </c>
    </row>
    <row r="137" customHeight="1" spans="1:3">
      <c r="A137" s="158">
        <v>45295</v>
      </c>
      <c r="B137" s="161">
        <v>0.13</v>
      </c>
      <c r="C137" s="162">
        <v>0.3</v>
      </c>
    </row>
    <row r="138" customHeight="1" spans="1:3">
      <c r="A138" s="158">
        <v>45302</v>
      </c>
      <c r="B138" s="207">
        <v>0.17</v>
      </c>
      <c r="C138" s="162">
        <v>0.5</v>
      </c>
    </row>
    <row r="139" customHeight="1" spans="1:3">
      <c r="A139" s="158">
        <v>45309</v>
      </c>
      <c r="B139" s="161">
        <v>0.26</v>
      </c>
      <c r="C139" s="162">
        <v>0.4</v>
      </c>
    </row>
    <row r="140" customHeight="1" spans="1:3">
      <c r="A140" s="158">
        <v>45316</v>
      </c>
      <c r="B140" s="207">
        <v>0.34</v>
      </c>
      <c r="C140" s="162">
        <v>0.5</v>
      </c>
    </row>
    <row r="141" customHeight="1" spans="1:3">
      <c r="A141" s="158">
        <v>45323</v>
      </c>
      <c r="B141" s="161">
        <v>0.44</v>
      </c>
      <c r="C141" s="162">
        <v>0.4</v>
      </c>
    </row>
    <row r="142" customHeight="1" spans="1:3">
      <c r="A142" s="158">
        <v>45344</v>
      </c>
      <c r="B142" s="207">
        <v>0.3</v>
      </c>
      <c r="C142" s="162">
        <v>0.4</v>
      </c>
    </row>
    <row r="143" customHeight="1" spans="1:3">
      <c r="A143" s="158">
        <v>45351</v>
      </c>
      <c r="B143" s="207">
        <v>0.4</v>
      </c>
      <c r="C143" s="162">
        <v>0.5</v>
      </c>
    </row>
    <row r="144" customHeight="1" spans="1:3">
      <c r="A144" s="158">
        <v>45358</v>
      </c>
      <c r="B144" s="207">
        <v>0.52</v>
      </c>
      <c r="C144" s="162">
        <v>0.5</v>
      </c>
    </row>
    <row r="145" customHeight="1" spans="1:3">
      <c r="A145" s="158">
        <v>45365</v>
      </c>
      <c r="B145" s="207">
        <v>0.48</v>
      </c>
      <c r="C145" s="162">
        <v>0.4</v>
      </c>
    </row>
    <row r="146" customHeight="1" spans="1:3">
      <c r="A146" s="158">
        <v>45372</v>
      </c>
      <c r="B146" s="207">
        <v>0.42</v>
      </c>
      <c r="C146" s="162">
        <v>0.3</v>
      </c>
    </row>
    <row r="147" customHeight="1" spans="1:3">
      <c r="A147" s="158">
        <v>45379</v>
      </c>
      <c r="B147" s="207">
        <v>0.25</v>
      </c>
      <c r="C147" s="162">
        <v>0.4</v>
      </c>
    </row>
    <row r="148" customHeight="1" spans="1:3">
      <c r="A148" s="158">
        <v>45385</v>
      </c>
      <c r="B148" s="207">
        <v>0.26</v>
      </c>
      <c r="C148" s="162">
        <v>0.5</v>
      </c>
    </row>
    <row r="149" customHeight="1" spans="1:3">
      <c r="A149" s="158">
        <v>45393</v>
      </c>
      <c r="B149" s="207">
        <v>0.14</v>
      </c>
      <c r="C149" s="162">
        <v>0.4</v>
      </c>
    </row>
    <row r="150" customHeight="1" spans="1:3">
      <c r="A150" s="158">
        <v>45400</v>
      </c>
      <c r="B150" s="207">
        <v>0.12</v>
      </c>
      <c r="C150" s="162">
        <v>0.4</v>
      </c>
    </row>
    <row r="151" customHeight="1" spans="1:3">
      <c r="A151" s="158">
        <v>45407</v>
      </c>
      <c r="B151" s="207">
        <v>0.11</v>
      </c>
      <c r="C151" s="162">
        <v>0.4</v>
      </c>
    </row>
    <row r="152" customHeight="1" spans="1:3">
      <c r="A152" s="158">
        <v>45414</v>
      </c>
      <c r="B152" s="207">
        <v>0.07</v>
      </c>
      <c r="C152" s="162">
        <v>0.3</v>
      </c>
    </row>
    <row r="153" customHeight="1" spans="1:3">
      <c r="A153" s="158">
        <v>45421</v>
      </c>
      <c r="B153" s="207">
        <v>0.11</v>
      </c>
      <c r="C153" s="162">
        <v>0.3</v>
      </c>
    </row>
    <row r="154" customHeight="1" spans="1:3">
      <c r="A154" s="158">
        <v>45428</v>
      </c>
      <c r="B154" s="207">
        <v>0.12</v>
      </c>
      <c r="C154" s="162">
        <v>0.2</v>
      </c>
    </row>
    <row r="155" customHeight="1" spans="1:3">
      <c r="A155" s="158">
        <v>45435</v>
      </c>
      <c r="B155" s="207">
        <v>-0.04</v>
      </c>
      <c r="C155" s="162">
        <v>0.3</v>
      </c>
    </row>
    <row r="156" customHeight="1" spans="1:3">
      <c r="A156" s="158">
        <v>45442</v>
      </c>
      <c r="B156" s="207">
        <v>0.04</v>
      </c>
      <c r="C156" s="162">
        <v>0.2</v>
      </c>
    </row>
    <row r="157" customHeight="1" spans="1:3">
      <c r="A157" s="158">
        <v>45449</v>
      </c>
      <c r="B157" s="207">
        <v>0.07</v>
      </c>
      <c r="C157" s="162">
        <v>0.2</v>
      </c>
    </row>
    <row r="158" customHeight="1" spans="1:3">
      <c r="A158" s="158">
        <v>45456</v>
      </c>
      <c r="B158" s="207">
        <v>0.06</v>
      </c>
      <c r="C158" s="162">
        <v>0.2</v>
      </c>
    </row>
    <row r="159" customHeight="1" spans="1:3">
      <c r="A159" s="158">
        <v>45463</v>
      </c>
      <c r="B159" s="207">
        <v>0.05</v>
      </c>
      <c r="C159" s="162">
        <v>0.3</v>
      </c>
    </row>
    <row r="160" customHeight="1" spans="1:3">
      <c r="A160" s="158">
        <v>45470</v>
      </c>
      <c r="B160" s="207">
        <v>0.04</v>
      </c>
      <c r="C160" s="162">
        <v>0.4</v>
      </c>
    </row>
    <row r="161" customHeight="1" spans="1:3">
      <c r="A161" s="158">
        <v>45477</v>
      </c>
      <c r="B161" s="207">
        <v>0.07</v>
      </c>
      <c r="C161" s="162">
        <v>0.3</v>
      </c>
    </row>
    <row r="162" customHeight="1" spans="1:3">
      <c r="A162" s="158">
        <v>45484</v>
      </c>
      <c r="B162" s="207">
        <v>0.09</v>
      </c>
      <c r="C162" s="162">
        <v>0.3</v>
      </c>
    </row>
    <row r="163" customHeight="1" spans="1:3">
      <c r="A163" s="158">
        <v>45491</v>
      </c>
      <c r="B163" s="207">
        <v>0.12</v>
      </c>
      <c r="C163" s="162">
        <v>0.5</v>
      </c>
    </row>
    <row r="164" customHeight="1" spans="1:3">
      <c r="A164" s="158">
        <v>45498</v>
      </c>
      <c r="B164" s="207">
        <v>0.24</v>
      </c>
      <c r="C164" s="162">
        <v>0.6</v>
      </c>
    </row>
    <row r="165" customHeight="1" spans="1:3">
      <c r="A165" s="158">
        <v>45505</v>
      </c>
      <c r="B165" s="207">
        <v>0.35</v>
      </c>
      <c r="C165" s="162">
        <v>0.5</v>
      </c>
    </row>
    <row r="166" customHeight="1" spans="1:3">
      <c r="A166" s="158">
        <v>45512</v>
      </c>
      <c r="B166" s="207">
        <v>0.33</v>
      </c>
      <c r="C166" s="162">
        <v>0.7</v>
      </c>
    </row>
    <row r="167" customHeight="1" spans="1:3">
      <c r="A167" s="158">
        <v>45519</v>
      </c>
      <c r="B167" s="207">
        <v>0.28</v>
      </c>
      <c r="C167" s="162">
        <v>0.65</v>
      </c>
    </row>
    <row r="168" customHeight="1" spans="1:3">
      <c r="A168" s="158">
        <v>45526</v>
      </c>
      <c r="B168" s="207">
        <v>0.28</v>
      </c>
      <c r="C168" s="162">
        <v>0.9</v>
      </c>
    </row>
    <row r="169" customHeight="1" spans="1:3">
      <c r="A169" s="158">
        <v>45533</v>
      </c>
      <c r="B169" s="207">
        <v>0.31</v>
      </c>
      <c r="C169" s="162">
        <v>0.9</v>
      </c>
    </row>
    <row r="170" customHeight="1" spans="1:3">
      <c r="A170" s="158">
        <v>45540</v>
      </c>
      <c r="B170" s="207">
        <v>0.32</v>
      </c>
      <c r="C170" s="162">
        <v>0.9</v>
      </c>
    </row>
    <row r="171" customHeight="1" spans="1:3">
      <c r="A171" s="158">
        <v>45547</v>
      </c>
      <c r="B171" s="207">
        <v>0.29</v>
      </c>
      <c r="C171" s="162">
        <v>0.7</v>
      </c>
    </row>
    <row r="172" customHeight="1" spans="1:3">
      <c r="A172" s="158">
        <v>45554</v>
      </c>
      <c r="B172" s="207">
        <v>0.26</v>
      </c>
      <c r="C172" s="162">
        <v>1</v>
      </c>
    </row>
    <row r="173" customHeight="1" spans="1:3">
      <c r="A173" s="158">
        <v>45561</v>
      </c>
      <c r="B173" s="207">
        <v>0.28</v>
      </c>
      <c r="C173" s="162">
        <v>0.9</v>
      </c>
    </row>
    <row r="174" customHeight="1" spans="1:3">
      <c r="A174" s="158">
        <v>45575</v>
      </c>
      <c r="B174" s="207">
        <v>0.45</v>
      </c>
      <c r="C174" s="162">
        <v>0.6</v>
      </c>
    </row>
    <row r="175" customHeight="1" spans="1:3">
      <c r="A175" s="158">
        <v>45582</v>
      </c>
      <c r="B175" s="207">
        <v>0.56</v>
      </c>
      <c r="C175" s="162">
        <v>1</v>
      </c>
    </row>
    <row r="176" customHeight="1" spans="1:3">
      <c r="A176" s="158">
        <v>45589</v>
      </c>
      <c r="B176" s="207">
        <v>0.7</v>
      </c>
      <c r="C176" s="162">
        <v>0.9</v>
      </c>
    </row>
    <row r="177" customHeight="1" spans="1:3">
      <c r="A177" s="158">
        <v>45596</v>
      </c>
      <c r="B177" s="207">
        <v>0.62</v>
      </c>
      <c r="C177" s="162">
        <v>1</v>
      </c>
    </row>
    <row r="178" customHeight="1" spans="1:3">
      <c r="A178" s="158">
        <v>45603</v>
      </c>
      <c r="B178" s="207">
        <v>0.54</v>
      </c>
      <c r="C178" s="162">
        <v>0.95</v>
      </c>
    </row>
    <row r="179" customHeight="1" spans="1:3">
      <c r="A179" s="158">
        <v>45610</v>
      </c>
      <c r="B179" s="207">
        <v>0.49</v>
      </c>
      <c r="C179" s="162">
        <v>0.9</v>
      </c>
    </row>
    <row r="180" customHeight="1" spans="1:3">
      <c r="A180" s="158">
        <v>45617</v>
      </c>
      <c r="B180" s="207">
        <v>0.56</v>
      </c>
      <c r="C180" s="162">
        <v>0.9</v>
      </c>
    </row>
    <row r="181" customHeight="1" spans="1:3">
      <c r="A181" s="158">
        <v>45624</v>
      </c>
      <c r="B181" s="207">
        <v>0.65</v>
      </c>
      <c r="C181" s="162">
        <v>1.05</v>
      </c>
    </row>
    <row r="182" customHeight="1" spans="1:3">
      <c r="A182" s="158">
        <v>45631</v>
      </c>
      <c r="B182" s="207">
        <v>0.46</v>
      </c>
      <c r="C182" s="162">
        <v>0.75</v>
      </c>
    </row>
    <row r="183" customHeight="1" spans="1:3">
      <c r="A183" s="158">
        <v>45638</v>
      </c>
      <c r="B183" s="207">
        <v>0.51</v>
      </c>
      <c r="C183" s="162">
        <v>0.75</v>
      </c>
    </row>
    <row r="184" customHeight="1" spans="1:3">
      <c r="A184" s="158">
        <v>45645</v>
      </c>
      <c r="B184" s="207">
        <v>0.48</v>
      </c>
      <c r="C184" s="162">
        <v>0.8</v>
      </c>
    </row>
    <row r="185" customHeight="1" spans="1:3">
      <c r="A185" s="158">
        <v>45652</v>
      </c>
      <c r="B185" s="207">
        <v>0.61</v>
      </c>
      <c r="C185" s="162">
        <v>0.9</v>
      </c>
    </row>
    <row r="186" customHeight="1" spans="1:3">
      <c r="A186" s="158">
        <v>45659</v>
      </c>
      <c r="B186" s="207">
        <v>0.73</v>
      </c>
      <c r="C186" s="162">
        <v>1</v>
      </c>
    </row>
    <row r="187" customHeight="1" spans="1:3">
      <c r="A187" s="158">
        <v>45666</v>
      </c>
      <c r="B187" s="207">
        <v>0.63</v>
      </c>
      <c r="C187" s="162">
        <v>1.4</v>
      </c>
    </row>
    <row r="188" customHeight="1" spans="1:3">
      <c r="A188" s="158">
        <v>45673</v>
      </c>
      <c r="B188" s="207">
        <v>0.78</v>
      </c>
      <c r="C188" s="162">
        <v>1.45</v>
      </c>
    </row>
    <row r="189" customHeight="1" spans="1:3">
      <c r="A189" s="158">
        <v>45680</v>
      </c>
      <c r="B189" s="207">
        <v>0.87</v>
      </c>
      <c r="C189" s="162">
        <v>1.85</v>
      </c>
    </row>
    <row r="190" customHeight="1" spans="1:3">
      <c r="A190" s="158">
        <v>45694</v>
      </c>
      <c r="B190" s="207">
        <v>0.88</v>
      </c>
      <c r="C190" s="162">
        <v>1.5</v>
      </c>
    </row>
    <row r="191" customHeight="1" spans="1:3">
      <c r="A191" s="158">
        <v>45701</v>
      </c>
      <c r="B191" s="207">
        <v>1.09</v>
      </c>
      <c r="C191" s="162">
        <v>1.5</v>
      </c>
    </row>
    <row r="192" customHeight="1" spans="1:3">
      <c r="A192" s="158">
        <v>45708</v>
      </c>
      <c r="B192" s="207">
        <v>1.08</v>
      </c>
      <c r="C192" s="162">
        <v>1.2</v>
      </c>
    </row>
    <row r="193" customHeight="1" spans="1:3">
      <c r="A193" s="158">
        <v>45715</v>
      </c>
      <c r="B193" s="207">
        <v>1.1</v>
      </c>
      <c r="C193" s="162">
        <v>1.4</v>
      </c>
    </row>
    <row r="194" customHeight="1" spans="1:3">
      <c r="A194" s="158">
        <v>45722</v>
      </c>
      <c r="B194" s="207">
        <v>0.96</v>
      </c>
      <c r="C194" s="162">
        <v>1.15</v>
      </c>
    </row>
    <row r="195" customHeight="1" spans="1:3">
      <c r="A195" s="158">
        <v>45729</v>
      </c>
      <c r="B195" s="207">
        <v>0.8</v>
      </c>
      <c r="C195" s="162">
        <v>0.95</v>
      </c>
    </row>
    <row r="196" customHeight="1" spans="1:3">
      <c r="A196" s="158">
        <v>45736</v>
      </c>
      <c r="B196" s="207">
        <v>0.62</v>
      </c>
      <c r="C196" s="162">
        <v>0.9</v>
      </c>
    </row>
    <row r="197" customHeight="1" spans="1:3">
      <c r="A197" s="158">
        <v>45743</v>
      </c>
      <c r="B197" s="207">
        <v>0.5</v>
      </c>
      <c r="C197" s="162">
        <v>0.75</v>
      </c>
    </row>
    <row r="198" customHeight="1" spans="1:3">
      <c r="A198" s="158">
        <v>45750</v>
      </c>
      <c r="B198" s="207">
        <v>0.41</v>
      </c>
      <c r="C198" s="162">
        <v>0.55</v>
      </c>
    </row>
    <row r="199" customHeight="1" spans="1:3">
      <c r="A199" s="158">
        <v>45757</v>
      </c>
      <c r="B199" s="207">
        <v>0.32</v>
      </c>
      <c r="C199" s="162">
        <v>0.6</v>
      </c>
    </row>
    <row r="200" customHeight="1" spans="1:3">
      <c r="A200" s="158">
        <v>45764</v>
      </c>
      <c r="B200" s="207">
        <v>0.24</v>
      </c>
      <c r="C200" s="162">
        <v>0.4</v>
      </c>
    </row>
    <row r="201" customHeight="1" spans="1:3">
      <c r="A201" s="158">
        <v>45771</v>
      </c>
      <c r="B201" s="207">
        <v>0.23</v>
      </c>
      <c r="C201" s="162">
        <v>0.5</v>
      </c>
    </row>
    <row r="202" customHeight="1" spans="1:3">
      <c r="A202" s="158">
        <v>45777</v>
      </c>
      <c r="B202" s="207">
        <v>0.25</v>
      </c>
      <c r="C202" s="162">
        <v>0.5</v>
      </c>
    </row>
    <row r="203" customHeight="1" spans="1:3">
      <c r="A203" s="158">
        <v>45785</v>
      </c>
      <c r="B203" s="207">
        <v>0.19</v>
      </c>
      <c r="C203" s="162">
        <v>0.5</v>
      </c>
    </row>
    <row r="204" customHeight="1" spans="1:3">
      <c r="A204" s="158">
        <v>45792</v>
      </c>
      <c r="B204" s="207">
        <v>0.18</v>
      </c>
      <c r="C204" s="162">
        <v>0.4</v>
      </c>
    </row>
    <row r="205" customHeight="1" spans="1:3">
      <c r="A205" s="158">
        <v>45799</v>
      </c>
      <c r="B205" s="207">
        <v>0.17</v>
      </c>
      <c r="C205" s="162">
        <v>0.5</v>
      </c>
    </row>
    <row r="206" customHeight="1" spans="1:3">
      <c r="A206" s="158">
        <v>45806</v>
      </c>
      <c r="B206" s="207">
        <v>0.21</v>
      </c>
      <c r="C206" s="162">
        <v>0.55</v>
      </c>
    </row>
    <row r="207" customHeight="1" spans="1:3">
      <c r="A207" s="158">
        <v>45813</v>
      </c>
      <c r="B207" s="207">
        <v>0.19</v>
      </c>
      <c r="C207" s="162">
        <v>0.5</v>
      </c>
    </row>
    <row r="208" customHeight="1" spans="1:3">
      <c r="A208" s="158">
        <v>45820</v>
      </c>
      <c r="B208" s="207">
        <v>0.21</v>
      </c>
      <c r="C208" s="162">
        <v>0.55</v>
      </c>
    </row>
    <row r="209" customHeight="1" spans="1:3">
      <c r="A209" s="158">
        <v>45827</v>
      </c>
      <c r="B209" s="207">
        <v>0.22</v>
      </c>
      <c r="C209" s="162">
        <v>0.6</v>
      </c>
    </row>
    <row r="210" customHeight="1" spans="1:3">
      <c r="A210" s="158">
        <v>45834</v>
      </c>
      <c r="B210" s="207">
        <v>0.2</v>
      </c>
      <c r="C210" s="162">
        <v>0.55</v>
      </c>
    </row>
    <row r="211" customHeight="1" spans="1:3">
      <c r="A211" s="158">
        <v>45841</v>
      </c>
      <c r="B211" s="207">
        <v>0.26</v>
      </c>
      <c r="C211" s="162">
        <v>0.35</v>
      </c>
    </row>
    <row r="212" customHeight="1" spans="1:3">
      <c r="A212" s="158">
        <v>45848</v>
      </c>
      <c r="B212" s="207">
        <v>0.27</v>
      </c>
      <c r="C212" s="162">
        <v>0.6</v>
      </c>
    </row>
    <row r="213" customHeight="1" spans="1:3">
      <c r="A213" s="158">
        <v>45855</v>
      </c>
      <c r="B213" s="207">
        <v>0.26</v>
      </c>
      <c r="C213" s="162">
        <v>0.8</v>
      </c>
    </row>
    <row r="214" customHeight="1" spans="1:3">
      <c r="A214" s="158">
        <v>45862</v>
      </c>
      <c r="B214" s="207">
        <v>0.25</v>
      </c>
      <c r="C214" s="162">
        <v>0.9</v>
      </c>
    </row>
    <row r="215" customHeight="1" spans="1:3">
      <c r="A215" s="158">
        <v>45869</v>
      </c>
      <c r="B215" s="207">
        <v>0.27</v>
      </c>
      <c r="C215" s="162">
        <v>0.9</v>
      </c>
    </row>
    <row r="216" customHeight="1" spans="1:3">
      <c r="A216" s="158">
        <v>45876</v>
      </c>
      <c r="B216" s="207">
        <v>0.3</v>
      </c>
      <c r="C216" s="162">
        <v>0.85</v>
      </c>
    </row>
    <row r="217" customHeight="1" spans="1:3">
      <c r="A217" s="158">
        <v>45883</v>
      </c>
      <c r="B217" s="207">
        <v>0.32</v>
      </c>
      <c r="C217" s="162">
        <v>0.75</v>
      </c>
    </row>
    <row r="218" customHeight="1" spans="1:3">
      <c r="A218" s="158">
        <v>45890</v>
      </c>
      <c r="B218" s="207">
        <v>0.36</v>
      </c>
      <c r="C218" s="162">
        <v>0.8</v>
      </c>
    </row>
    <row r="219" customHeight="1" spans="1:3">
      <c r="A219" s="158">
        <v>45897</v>
      </c>
      <c r="B219" s="207">
        <v>0.37</v>
      </c>
      <c r="C219" s="162">
        <v>0.9</v>
      </c>
    </row>
    <row r="220" customHeight="1" spans="1:3">
      <c r="A220" s="158">
        <v>45904</v>
      </c>
      <c r="B220" s="207">
        <v>0.4</v>
      </c>
      <c r="C220" s="162">
        <v>0.75</v>
      </c>
    </row>
    <row r="221" customHeight="1" spans="1:3">
      <c r="A221" s="158">
        <v>45911</v>
      </c>
      <c r="B221" s="207">
        <v>0.32</v>
      </c>
      <c r="C221" s="162">
        <v>0.7</v>
      </c>
    </row>
    <row r="222" customHeight="1" spans="1:3">
      <c r="A222" s="158">
        <v>45918</v>
      </c>
      <c r="B222" s="207">
        <v>0.33</v>
      </c>
      <c r="C222" s="162">
        <v>0.8</v>
      </c>
    </row>
    <row r="223" customHeight="1" spans="1:3">
      <c r="A223" s="158">
        <v>45925</v>
      </c>
      <c r="B223" s="207">
        <v>0.35</v>
      </c>
      <c r="C223" s="162">
        <v>0.8</v>
      </c>
    </row>
    <row r="224" customHeight="1" spans="1:3">
      <c r="A224" s="158">
        <v>45939</v>
      </c>
      <c r="B224" s="207">
        <v>0.49</v>
      </c>
      <c r="C224" s="162">
        <v>1.05</v>
      </c>
    </row>
    <row r="225" customHeight="1" spans="1:3">
      <c r="A225" s="158">
        <v>45946</v>
      </c>
      <c r="B225" s="207">
        <v>0.6</v>
      </c>
      <c r="C225" s="162">
        <v>1</v>
      </c>
    </row>
    <row r="226" customHeight="1" spans="1:3">
      <c r="A226" s="158">
        <v>45953</v>
      </c>
      <c r="B226" s="207">
        <v>0.69</v>
      </c>
      <c r="C226" s="162">
        <v>0.95</v>
      </c>
    </row>
    <row r="227" customHeight="1" spans="1:3">
      <c r="A227" s="158">
        <v>45960</v>
      </c>
      <c r="B227" s="207">
        <v>0.71</v>
      </c>
      <c r="C227" s="162">
        <v>0.85</v>
      </c>
    </row>
    <row r="228" customHeight="1" spans="1:3">
      <c r="A228" s="158">
        <v>45967</v>
      </c>
      <c r="B228" s="207">
        <v>0.66</v>
      </c>
      <c r="C228" s="162">
        <v>0.8</v>
      </c>
    </row>
    <row r="229" customHeight="1" spans="1:3">
      <c r="A229" s="158">
        <v>45974</v>
      </c>
      <c r="B229" s="207">
        <v>0.64</v>
      </c>
      <c r="C229" s="162">
        <v>0.95</v>
      </c>
    </row>
    <row r="230" customHeight="1" spans="1:3">
      <c r="A230" s="158">
        <v>45981</v>
      </c>
      <c r="B230" s="207">
        <v>0.63</v>
      </c>
      <c r="C230" s="162">
        <v>0.95</v>
      </c>
    </row>
    <row r="231" customHeight="1" spans="1:3">
      <c r="A231" s="158">
        <v>45988</v>
      </c>
      <c r="B231" s="207">
        <v>0.57</v>
      </c>
      <c r="C231" s="162">
        <v>0.9</v>
      </c>
    </row>
    <row r="232" customHeight="1" spans="1:3">
      <c r="A232" s="158">
        <v>45995</v>
      </c>
      <c r="B232" s="207">
        <v>0.54</v>
      </c>
      <c r="C232" s="162">
        <v>0.9</v>
      </c>
    </row>
    <row r="233" customHeight="1" spans="1:3">
      <c r="A233" s="158">
        <v>46002</v>
      </c>
      <c r="B233" s="207">
        <v>0.55</v>
      </c>
      <c r="C233" s="162">
        <v>0.6</v>
      </c>
    </row>
    <row r="234" customHeight="1" spans="1:3">
      <c r="A234" s="158">
        <v>46009</v>
      </c>
      <c r="B234" s="207">
        <v>0.55</v>
      </c>
      <c r="C234" s="162">
        <v>0.55</v>
      </c>
    </row>
    <row r="235" customHeight="1" spans="1:3">
      <c r="A235" s="158">
        <v>46016</v>
      </c>
      <c r="B235" s="207">
        <v>0.57</v>
      </c>
      <c r="C235" s="162">
        <v>0.85</v>
      </c>
    </row>
    <row r="236" customHeight="1" spans="1:3">
      <c r="A236" s="158">
        <v>46023</v>
      </c>
      <c r="B236" s="207">
        <v>0.54</v>
      </c>
      <c r="C236" s="162">
        <v>0.9</v>
      </c>
    </row>
    <row r="237" customHeight="1" spans="1:3">
      <c r="A237" s="158">
        <v>46030</v>
      </c>
      <c r="B237" s="207">
        <v>0.49</v>
      </c>
      <c r="C237" s="162">
        <v>0.8</v>
      </c>
    </row>
    <row r="238" customHeight="1" spans="1:3">
      <c r="A238" s="158">
        <v>46037</v>
      </c>
      <c r="B238" s="207">
        <v>0.48</v>
      </c>
      <c r="C238" s="162">
        <v>0.95</v>
      </c>
    </row>
    <row r="239" customHeight="1" spans="1:3">
      <c r="A239" s="158">
        <v>46044</v>
      </c>
      <c r="B239" s="207">
        <v>0.64</v>
      </c>
      <c r="C239" s="162">
        <v>1.2</v>
      </c>
    </row>
    <row r="240" customHeight="1" spans="1:3">
      <c r="A240" s="158">
        <v>46051</v>
      </c>
      <c r="B240" s="207">
        <v>0.83</v>
      </c>
      <c r="C240" s="162">
        <v>1.3</v>
      </c>
    </row>
    <row r="241" customHeight="1" spans="1:3">
      <c r="A241" s="158">
        <v>46058</v>
      </c>
      <c r="B241" s="207">
        <v>0.93</v>
      </c>
      <c r="C241" s="162">
        <v>1.55</v>
      </c>
    </row>
    <row r="242" customHeight="1" spans="1:3">
      <c r="A242" s="158">
        <v>46065</v>
      </c>
      <c r="B242" s="207">
        <v>0.93</v>
      </c>
      <c r="C242" s="162">
        <v>1.6</v>
      </c>
    </row>
    <row r="243" customHeight="1" spans="1:3">
      <c r="A243" s="158">
        <v>46079</v>
      </c>
      <c r="B243" s="207">
        <v>0.77</v>
      </c>
      <c r="C243" s="162">
        <v>1.15</v>
      </c>
    </row>
    <row r="244" customHeight="1" spans="1:3">
      <c r="A244" s="158">
        <v>46086</v>
      </c>
      <c r="B244" s="207">
        <v>0.72</v>
      </c>
      <c r="C244" s="162">
        <v>1.25</v>
      </c>
    </row>
    <row r="245" customHeight="1" spans="1:3">
      <c r="A245" s="158">
        <v>46093</v>
      </c>
      <c r="B245" s="207">
        <v>0.78</v>
      </c>
      <c r="C245" s="162">
        <v>1.2</v>
      </c>
    </row>
    <row r="246" customHeight="1" spans="1:3">
      <c r="A246" s="158">
        <v>46100</v>
      </c>
      <c r="B246" s="207">
        <v>0.81</v>
      </c>
      <c r="C246" s="162">
        <v>1.25</v>
      </c>
    </row>
    <row r="247" customHeight="1" spans="1:3">
      <c r="A247" s="158">
        <v>46107</v>
      </c>
      <c r="B247" s="207">
        <v>0.81</v>
      </c>
      <c r="C247" s="162">
        <v>0.95</v>
      </c>
    </row>
    <row r="248" customHeight="1" spans="1:3">
      <c r="A248" s="158">
        <v>46114</v>
      </c>
      <c r="B248" s="207">
        <v>0.77</v>
      </c>
      <c r="C248" s="162">
        <v>1</v>
      </c>
    </row>
    <row r="249" customHeight="1" spans="1:3">
      <c r="A249" s="158">
        <v>46121</v>
      </c>
      <c r="B249" s="207">
        <v>0.71</v>
      </c>
      <c r="C249" s="162">
        <v>0.97</v>
      </c>
    </row>
    <row r="250" customHeight="1" spans="1:3">
      <c r="A250" s="158">
        <v>46128</v>
      </c>
      <c r="B250" s="207">
        <v>0.61</v>
      </c>
      <c r="C250" s="162">
        <v>0.85</v>
      </c>
    </row>
    <row r="251" customHeight="1" spans="1:3">
      <c r="A251" s="158">
        <v>46135</v>
      </c>
      <c r="B251" s="207">
        <v>0.47</v>
      </c>
      <c r="C251" s="162">
        <v>0.8</v>
      </c>
    </row>
    <row r="252" customHeight="1" spans="1:3">
      <c r="A252" s="158">
        <v>46142</v>
      </c>
      <c r="B252" s="207">
        <v>0.37</v>
      </c>
      <c r="C252" s="162">
        <v>0.65</v>
      </c>
    </row>
    <row r="253" customHeight="1" spans="1:3">
      <c r="A253" s="158">
        <v>46149</v>
      </c>
      <c r="B253" s="207">
        <v>0.31</v>
      </c>
      <c r="C253" s="162">
        <v>0.7</v>
      </c>
    </row>
    <row r="254" customHeight="1" spans="1:3">
      <c r="A254" s="158">
        <v>46156</v>
      </c>
      <c r="B254" s="207">
        <v>0.29</v>
      </c>
      <c r="C254" s="162">
        <v>0.6</v>
      </c>
    </row>
    <row r="255" customHeight="1" spans="1:3">
      <c r="A255" s="158">
        <v>46163</v>
      </c>
      <c r="B255" s="207">
        <v>0.32</v>
      </c>
      <c r="C255" s="162">
        <v>0.6</v>
      </c>
    </row>
    <row r="256" customHeight="1" spans="1:3">
      <c r="A256" s="158">
        <v>46170</v>
      </c>
      <c r="B256" s="207">
        <v>0.34</v>
      </c>
      <c r="C256" s="162">
        <v>0.75</v>
      </c>
    </row>
    <row r="257" customHeight="1" spans="1:3">
      <c r="A257" s="158">
        <v>46177</v>
      </c>
      <c r="B257" s="207">
        <v>0.29</v>
      </c>
      <c r="C257" s="162">
        <v>0.65</v>
      </c>
    </row>
    <row r="258" customHeight="1" spans="1:3">
      <c r="A258" s="158">
        <v>46184</v>
      </c>
      <c r="B258" s="207">
        <v>0.3</v>
      </c>
      <c r="C258" s="162">
        <v>0.65</v>
      </c>
    </row>
    <row r="259" customHeight="1" spans="1:3">
      <c r="A259" s="158">
        <v>46191</v>
      </c>
      <c r="B259" s="207">
        <v>0.35</v>
      </c>
      <c r="C259" s="162">
        <v>0.65</v>
      </c>
    </row>
    <row r="260" customHeight="1" spans="1:3">
      <c r="A260" s="158">
        <v>46198</v>
      </c>
      <c r="B260" s="207">
        <v>0.51</v>
      </c>
      <c r="C260" s="162">
        <v>0.75</v>
      </c>
    </row>
    <row r="261" customHeight="1" spans="1:3">
      <c r="A261" s="158">
        <v>46205</v>
      </c>
      <c r="B261" s="207">
        <v>0.84</v>
      </c>
      <c r="C261" s="162">
        <v>0.9</v>
      </c>
    </row>
    <row r="262" customHeight="1" spans="1:3">
      <c r="A262" s="158">
        <v>46212</v>
      </c>
      <c r="B262" s="207">
        <v>0.65</v>
      </c>
      <c r="C262" s="162">
        <v>0.75</v>
      </c>
    </row>
    <row r="263" customHeight="1" spans="1:3">
      <c r="A263" s="158">
        <v>46219</v>
      </c>
      <c r="B263" s="207">
        <v>0.55</v>
      </c>
      <c r="C263" s="162">
        <v>0.75</v>
      </c>
    </row>
    <row r="264" customHeight="1" spans="1:3">
      <c r="A264" s="158">
        <v>46226</v>
      </c>
      <c r="B264" s="207">
        <v>0.65</v>
      </c>
      <c r="C264" s="162">
        <v>1</v>
      </c>
    </row>
    <row r="265" customHeight="1" spans="1:3">
      <c r="A265" s="158">
        <v>46233</v>
      </c>
      <c r="B265" s="207">
        <v>0.72</v>
      </c>
      <c r="C265" s="162">
        <v>1.15</v>
      </c>
    </row>
    <row r="266" customHeight="1" spans="1:3">
      <c r="A266" s="158">
        <v>46240</v>
      </c>
      <c r="B266" s="207">
        <v>0.8</v>
      </c>
      <c r="C266" s="162">
        <v>1.1</v>
      </c>
    </row>
    <row r="267" customHeight="1" spans="1:3">
      <c r="A267" s="158">
        <v>46247</v>
      </c>
      <c r="B267" s="207">
        <v>0.96</v>
      </c>
      <c r="C267" s="162">
        <v>1.45</v>
      </c>
    </row>
    <row r="268" customHeight="1" spans="1:3">
      <c r="A268" s="158">
        <v>46254</v>
      </c>
      <c r="B268" s="207">
        <v>0.89</v>
      </c>
      <c r="C268" s="162">
        <v>1.05</v>
      </c>
    </row>
    <row r="269" customHeight="1" spans="1:3">
      <c r="A269" s="158">
        <v>46261</v>
      </c>
      <c r="B269" s="207">
        <v>0.88</v>
      </c>
      <c r="C269" s="162">
        <v>1.2</v>
      </c>
    </row>
    <row r="270" customHeight="1" spans="1:3">
      <c r="A270" s="158">
        <v>46268</v>
      </c>
      <c r="B270" s="207">
        <v>0.79</v>
      </c>
      <c r="C270" s="162">
        <v>1.1</v>
      </c>
    </row>
    <row r="271" customHeight="1" spans="1:3">
      <c r="A271" s="158">
        <v>46275</v>
      </c>
      <c r="B271" s="207">
        <v>0.77</v>
      </c>
      <c r="C271" s="162">
        <v>1.05</v>
      </c>
    </row>
    <row r="272" customHeight="1" spans="1:3">
      <c r="A272" s="158">
        <v>46282</v>
      </c>
      <c r="B272" s="207">
        <v>0.77</v>
      </c>
      <c r="C272" s="162">
        <v>1.15</v>
      </c>
    </row>
    <row r="273" customHeight="1" spans="1:3">
      <c r="A273" s="158">
        <v>46289</v>
      </c>
      <c r="B273" s="207">
        <v>0.78</v>
      </c>
      <c r="C273" s="162">
        <v>1.25</v>
      </c>
    </row>
  </sheetData>
  <mergeCells count="1">
    <mergeCell ref="B2:C2"/>
  </mergeCell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4"/>
  <sheetViews>
    <sheetView workbookViewId="0">
      <pane xSplit="1" ySplit="2" topLeftCell="B149" activePane="bottomRight" state="frozen"/>
      <selection/>
      <selection pane="topRight"/>
      <selection pane="bottomLeft"/>
      <selection pane="bottomRight" activeCell="B174" sqref="B174"/>
    </sheetView>
  </sheetViews>
  <sheetFormatPr defaultColWidth="10.7583333333333" defaultRowHeight="19" customHeight="1" outlineLevelCol="2"/>
  <cols>
    <col min="1" max="1" width="13" style="90" customWidth="1"/>
    <col min="2" max="3" width="10.7583333333333" style="90" customWidth="1"/>
    <col min="4" max="16381" width="10.7583333333333" customWidth="1"/>
  </cols>
  <sheetData>
    <row r="1" customHeight="1" spans="1:3">
      <c r="A1" s="227" t="s">
        <v>54</v>
      </c>
      <c r="B1" s="129" t="s">
        <v>55</v>
      </c>
      <c r="C1" s="228"/>
    </row>
    <row r="2" customHeight="1" spans="1:3">
      <c r="A2" s="227" t="s">
        <v>29</v>
      </c>
      <c r="B2" s="227" t="s">
        <v>56</v>
      </c>
      <c r="C2" s="227" t="s">
        <v>52</v>
      </c>
    </row>
    <row r="3" customHeight="1" spans="1:3">
      <c r="A3" s="158">
        <v>45050</v>
      </c>
      <c r="B3" s="207">
        <v>0</v>
      </c>
      <c r="C3" s="207">
        <v>-0.01</v>
      </c>
    </row>
    <row r="4" customHeight="1" spans="1:3">
      <c r="A4" s="158">
        <v>45057</v>
      </c>
      <c r="B4" s="207">
        <v>0</v>
      </c>
      <c r="C4" s="207">
        <v>-0.01</v>
      </c>
    </row>
    <row r="5" customHeight="1" spans="1:3">
      <c r="A5" s="158">
        <v>45064</v>
      </c>
      <c r="B5" s="207">
        <v>0</v>
      </c>
      <c r="C5" s="207">
        <v>-0.03</v>
      </c>
    </row>
    <row r="6" customHeight="1" spans="1:3">
      <c r="A6" s="158">
        <v>45071</v>
      </c>
      <c r="B6" s="207">
        <v>0</v>
      </c>
      <c r="C6" s="207">
        <v>0</v>
      </c>
    </row>
    <row r="7" customHeight="1" spans="1:3">
      <c r="A7" s="158">
        <v>45078</v>
      </c>
      <c r="B7" s="207">
        <v>0</v>
      </c>
      <c r="C7" s="207">
        <v>-0.01</v>
      </c>
    </row>
    <row r="8" customHeight="1" spans="1:3">
      <c r="A8" s="158">
        <v>45085</v>
      </c>
      <c r="B8" s="207">
        <v>0</v>
      </c>
      <c r="C8" s="207">
        <v>0</v>
      </c>
    </row>
    <row r="9" customHeight="1" spans="1:3">
      <c r="A9" s="158">
        <v>45092</v>
      </c>
      <c r="B9" s="207">
        <v>0</v>
      </c>
      <c r="C9" s="207">
        <v>-0.03</v>
      </c>
    </row>
    <row r="10" customHeight="1" spans="1:3">
      <c r="A10" s="158">
        <v>45098</v>
      </c>
      <c r="B10" s="207">
        <v>0</v>
      </c>
      <c r="C10" s="207">
        <v>-0.02</v>
      </c>
    </row>
    <row r="11" customHeight="1" spans="1:3">
      <c r="A11" s="158">
        <v>45106</v>
      </c>
      <c r="B11" s="207">
        <v>0</v>
      </c>
      <c r="C11" s="207">
        <v>-0.01</v>
      </c>
    </row>
    <row r="12" customHeight="1" spans="1:3">
      <c r="A12" s="158">
        <v>45113</v>
      </c>
      <c r="B12" s="207">
        <v>0.2</v>
      </c>
      <c r="C12" s="207">
        <v>0.09</v>
      </c>
    </row>
    <row r="13" customHeight="1" spans="1:3">
      <c r="A13" s="158">
        <v>45120</v>
      </c>
      <c r="B13" s="207">
        <v>0.1</v>
      </c>
      <c r="C13" s="207">
        <v>0.08</v>
      </c>
    </row>
    <row r="14" customHeight="1" spans="1:3">
      <c r="A14" s="158">
        <v>45127</v>
      </c>
      <c r="B14" s="207">
        <v>0.1</v>
      </c>
      <c r="C14" s="207">
        <v>0.08</v>
      </c>
    </row>
    <row r="15" customHeight="1" spans="1:3">
      <c r="A15" s="158">
        <v>45134</v>
      </c>
      <c r="B15" s="207">
        <v>0.1</v>
      </c>
      <c r="C15" s="207">
        <v>0.11</v>
      </c>
    </row>
    <row r="16" customHeight="1" spans="1:3">
      <c r="A16" s="158">
        <v>45141</v>
      </c>
      <c r="B16" s="207">
        <v>0.2</v>
      </c>
      <c r="C16" s="207">
        <v>0.25</v>
      </c>
    </row>
    <row r="17" customHeight="1" spans="1:3">
      <c r="A17" s="158">
        <v>45148</v>
      </c>
      <c r="B17" s="207">
        <v>0.2</v>
      </c>
      <c r="C17" s="207">
        <v>0.24</v>
      </c>
    </row>
    <row r="18" customHeight="1" spans="1:3">
      <c r="A18" s="158">
        <v>45155</v>
      </c>
      <c r="B18" s="207">
        <v>0.2</v>
      </c>
      <c r="C18" s="207">
        <v>0.23</v>
      </c>
    </row>
    <row r="19" customHeight="1" spans="1:3">
      <c r="A19" s="158">
        <v>45162</v>
      </c>
      <c r="B19" s="207">
        <v>0.2</v>
      </c>
      <c r="C19" s="207">
        <v>0.18</v>
      </c>
    </row>
    <row r="20" customHeight="1" spans="1:3">
      <c r="A20" s="158">
        <v>45169</v>
      </c>
      <c r="B20" s="207">
        <v>0.2</v>
      </c>
      <c r="C20" s="207">
        <v>0.17</v>
      </c>
    </row>
    <row r="21" customHeight="1" spans="1:3">
      <c r="A21" s="158">
        <v>45176</v>
      </c>
      <c r="B21" s="207">
        <v>0.2</v>
      </c>
      <c r="C21" s="207">
        <v>0.16</v>
      </c>
    </row>
    <row r="22" customHeight="1" spans="1:3">
      <c r="A22" s="158">
        <v>45183</v>
      </c>
      <c r="B22" s="207">
        <v>0.4</v>
      </c>
      <c r="C22" s="207">
        <v>0.26</v>
      </c>
    </row>
    <row r="23" customHeight="1" spans="1:3">
      <c r="A23" s="158">
        <v>45190</v>
      </c>
      <c r="B23" s="207">
        <v>0.3</v>
      </c>
      <c r="C23" s="207">
        <v>0.26</v>
      </c>
    </row>
    <row r="24" customHeight="1" spans="1:3">
      <c r="A24" s="158">
        <v>45197</v>
      </c>
      <c r="B24" s="207">
        <v>0.4</v>
      </c>
      <c r="C24" s="207">
        <v>0.22</v>
      </c>
    </row>
    <row r="25" customHeight="1" spans="1:3">
      <c r="A25" s="158">
        <v>45205</v>
      </c>
      <c r="B25" s="207">
        <v>0.4</v>
      </c>
      <c r="C25" s="207">
        <v>0.24</v>
      </c>
    </row>
    <row r="26" customHeight="1" spans="1:3">
      <c r="A26" s="158">
        <v>45211</v>
      </c>
      <c r="B26" s="207">
        <v>0.4</v>
      </c>
      <c r="C26" s="207">
        <v>0.23</v>
      </c>
    </row>
    <row r="27" customHeight="1" spans="1:3">
      <c r="A27" s="158">
        <v>45218</v>
      </c>
      <c r="B27" s="207">
        <v>0.4</v>
      </c>
      <c r="C27" s="207">
        <v>0.25</v>
      </c>
    </row>
    <row r="28" customHeight="1" spans="1:3">
      <c r="A28" s="158">
        <v>45225</v>
      </c>
      <c r="B28" s="207">
        <v>0.4</v>
      </c>
      <c r="C28" s="207">
        <v>0.25</v>
      </c>
    </row>
    <row r="29" customHeight="1" spans="1:3">
      <c r="A29" s="158">
        <v>45232</v>
      </c>
      <c r="B29" s="207">
        <v>0.4</v>
      </c>
      <c r="C29" s="207">
        <v>0.28</v>
      </c>
    </row>
    <row r="30" customHeight="1" spans="1:3">
      <c r="A30" s="158">
        <v>45239</v>
      </c>
      <c r="B30" s="207">
        <v>0.5</v>
      </c>
      <c r="C30" s="207">
        <v>0.29</v>
      </c>
    </row>
    <row r="31" customHeight="1" spans="1:3">
      <c r="A31" s="158">
        <v>45246</v>
      </c>
      <c r="B31" s="207">
        <v>0.6</v>
      </c>
      <c r="C31" s="207">
        <v>0.41</v>
      </c>
    </row>
    <row r="32" customHeight="1" spans="1:3">
      <c r="A32" s="158">
        <v>45253</v>
      </c>
      <c r="B32" s="207">
        <v>0.5</v>
      </c>
      <c r="C32" s="207">
        <v>0.4</v>
      </c>
    </row>
    <row r="33" customHeight="1" spans="1:3">
      <c r="A33" s="158">
        <v>45260</v>
      </c>
      <c r="B33" s="207">
        <v>0.5</v>
      </c>
      <c r="C33" s="207">
        <v>0.33</v>
      </c>
    </row>
    <row r="34" customHeight="1" spans="1:3">
      <c r="A34" s="158">
        <v>45267</v>
      </c>
      <c r="B34" s="207">
        <v>0.5</v>
      </c>
      <c r="C34" s="207">
        <v>0.28</v>
      </c>
    </row>
    <row r="35" customHeight="1" spans="1:3">
      <c r="A35" s="158">
        <v>45274</v>
      </c>
      <c r="B35" s="207">
        <v>0.3</v>
      </c>
      <c r="C35" s="207">
        <v>0.2</v>
      </c>
    </row>
    <row r="36" customHeight="1" spans="1:3">
      <c r="A36" s="158">
        <v>45281</v>
      </c>
      <c r="B36" s="207">
        <v>0.4</v>
      </c>
      <c r="C36" s="207">
        <v>0.11</v>
      </c>
    </row>
    <row r="37" customHeight="1" spans="1:3">
      <c r="A37" s="158">
        <v>45288</v>
      </c>
      <c r="B37" s="207">
        <v>0.3</v>
      </c>
      <c r="C37" s="207">
        <v>0.09</v>
      </c>
    </row>
    <row r="38" customHeight="1" spans="1:3">
      <c r="A38" s="158">
        <v>45295</v>
      </c>
      <c r="B38" s="207">
        <v>0.3</v>
      </c>
      <c r="C38" s="207">
        <v>0.07</v>
      </c>
    </row>
    <row r="39" customHeight="1" spans="1:3">
      <c r="A39" s="158">
        <v>45302</v>
      </c>
      <c r="B39" s="207">
        <v>0.4</v>
      </c>
      <c r="C39" s="207">
        <v>0.09</v>
      </c>
    </row>
    <row r="40" customHeight="1" spans="1:3">
      <c r="A40" s="158">
        <v>45309</v>
      </c>
      <c r="B40" s="207">
        <v>0.3</v>
      </c>
      <c r="C40" s="207">
        <v>0.18</v>
      </c>
    </row>
    <row r="41" customHeight="1" spans="1:3">
      <c r="A41" s="158">
        <v>45316</v>
      </c>
      <c r="B41" s="207">
        <v>0.4</v>
      </c>
      <c r="C41" s="207">
        <v>0.23</v>
      </c>
    </row>
    <row r="42" customHeight="1" spans="1:3">
      <c r="A42" s="158">
        <v>45323</v>
      </c>
      <c r="B42" s="207">
        <v>0.3</v>
      </c>
      <c r="C42" s="207">
        <v>0.27</v>
      </c>
    </row>
    <row r="43" customHeight="1" spans="1:3">
      <c r="A43" s="158">
        <v>45344</v>
      </c>
      <c r="B43" s="207">
        <v>0.3</v>
      </c>
      <c r="C43" s="207">
        <v>0.2</v>
      </c>
    </row>
    <row r="44" customHeight="1" spans="1:3">
      <c r="A44" s="158">
        <v>45351</v>
      </c>
      <c r="B44" s="207">
        <v>0.3</v>
      </c>
      <c r="C44" s="207">
        <v>0.25</v>
      </c>
    </row>
    <row r="45" customHeight="1" spans="1:3">
      <c r="A45" s="158">
        <v>45358</v>
      </c>
      <c r="B45" s="207">
        <v>0.4</v>
      </c>
      <c r="C45" s="207">
        <v>0.34</v>
      </c>
    </row>
    <row r="46" customHeight="1" spans="1:3">
      <c r="A46" s="158">
        <v>45365</v>
      </c>
      <c r="B46" s="207">
        <v>0.3</v>
      </c>
      <c r="C46" s="207">
        <v>0.28</v>
      </c>
    </row>
    <row r="47" customHeight="1" spans="1:3">
      <c r="A47" s="158">
        <v>45372</v>
      </c>
      <c r="B47" s="207">
        <v>0.2</v>
      </c>
      <c r="C47" s="207">
        <v>0.25</v>
      </c>
    </row>
    <row r="48" customHeight="1" spans="1:3">
      <c r="A48" s="158">
        <v>45379</v>
      </c>
      <c r="B48" s="207">
        <v>0.3</v>
      </c>
      <c r="C48" s="207">
        <v>0.15</v>
      </c>
    </row>
    <row r="49" customHeight="1" spans="1:3">
      <c r="A49" s="158">
        <v>45385</v>
      </c>
      <c r="B49" s="207">
        <v>0.4</v>
      </c>
      <c r="C49" s="207">
        <v>0.1</v>
      </c>
    </row>
    <row r="50" customHeight="1" spans="1:3">
      <c r="A50" s="158">
        <v>45393</v>
      </c>
      <c r="B50" s="207">
        <v>0.3</v>
      </c>
      <c r="C50" s="207">
        <v>0.05</v>
      </c>
    </row>
    <row r="51" customHeight="1" spans="1:3">
      <c r="A51" s="158">
        <v>45400</v>
      </c>
      <c r="B51" s="207">
        <v>0.3</v>
      </c>
      <c r="C51" s="207">
        <v>0.03</v>
      </c>
    </row>
    <row r="52" customHeight="1" spans="1:3">
      <c r="A52" s="158">
        <v>45407</v>
      </c>
      <c r="B52" s="207">
        <v>0.3</v>
      </c>
      <c r="C52" s="207">
        <v>-0.03</v>
      </c>
    </row>
    <row r="53" customHeight="1" spans="1:3">
      <c r="A53" s="158">
        <v>45414</v>
      </c>
      <c r="B53" s="207">
        <v>0.1</v>
      </c>
      <c r="C53" s="207">
        <v>-0.04</v>
      </c>
    </row>
    <row r="54" customHeight="1" spans="1:3">
      <c r="A54" s="158">
        <v>45421</v>
      </c>
      <c r="B54" s="207">
        <v>0.1</v>
      </c>
      <c r="C54" s="207">
        <v>0</v>
      </c>
    </row>
    <row r="55" customHeight="1" spans="1:3">
      <c r="A55" s="158">
        <v>45428</v>
      </c>
      <c r="B55" s="207">
        <v>0.1</v>
      </c>
      <c r="C55" s="207">
        <v>0.02</v>
      </c>
    </row>
    <row r="56" customHeight="1" spans="1:3">
      <c r="A56" s="158">
        <v>45435</v>
      </c>
      <c r="B56" s="207">
        <v>0.1</v>
      </c>
      <c r="C56" s="207">
        <v>-0.12</v>
      </c>
    </row>
    <row r="57" customHeight="1" spans="1:3">
      <c r="A57" s="158">
        <v>45442</v>
      </c>
      <c r="B57" s="207">
        <v>0.1</v>
      </c>
      <c r="C57" s="207">
        <v>-0.03</v>
      </c>
    </row>
    <row r="58" customHeight="1" spans="1:3">
      <c r="A58" s="158">
        <v>45449</v>
      </c>
      <c r="B58" s="207">
        <v>0.1</v>
      </c>
      <c r="C58" s="207">
        <v>-0.02</v>
      </c>
    </row>
    <row r="59" customHeight="1" spans="1:3">
      <c r="A59" s="158">
        <v>45456</v>
      </c>
      <c r="B59" s="207">
        <v>0.1</v>
      </c>
      <c r="C59" s="207">
        <v>-0.03</v>
      </c>
    </row>
    <row r="60" customHeight="1" spans="1:3">
      <c r="A60" s="158">
        <v>45463</v>
      </c>
      <c r="B60" s="207">
        <v>0.2</v>
      </c>
      <c r="C60" s="207">
        <v>-0.02</v>
      </c>
    </row>
    <row r="61" customHeight="1" spans="1:3">
      <c r="A61" s="158">
        <v>45470</v>
      </c>
      <c r="B61" s="207">
        <v>0.35</v>
      </c>
      <c r="C61" s="207">
        <v>-0.01</v>
      </c>
    </row>
    <row r="62" customHeight="1" spans="1:3">
      <c r="A62" s="158">
        <v>45477</v>
      </c>
      <c r="B62" s="207">
        <v>0.1</v>
      </c>
      <c r="C62" s="207">
        <v>0.03</v>
      </c>
    </row>
    <row r="63" customHeight="1" spans="1:3">
      <c r="A63" s="158">
        <v>45484</v>
      </c>
      <c r="B63" s="207">
        <v>0.2</v>
      </c>
      <c r="C63" s="207">
        <v>0.03</v>
      </c>
    </row>
    <row r="64" customHeight="1" spans="1:3">
      <c r="A64" s="158">
        <v>45491</v>
      </c>
      <c r="B64" s="207">
        <v>0.4</v>
      </c>
      <c r="C64" s="207">
        <v>0.05</v>
      </c>
    </row>
    <row r="65" customHeight="1" spans="1:3">
      <c r="A65" s="158">
        <v>45498</v>
      </c>
      <c r="B65" s="207">
        <v>0.4</v>
      </c>
      <c r="C65" s="207">
        <v>0.14</v>
      </c>
    </row>
    <row r="66" customHeight="1" spans="1:3">
      <c r="A66" s="158">
        <v>45505</v>
      </c>
      <c r="B66" s="207">
        <v>0.2</v>
      </c>
      <c r="C66" s="207">
        <v>0.2</v>
      </c>
    </row>
    <row r="67" customHeight="1" spans="1:3">
      <c r="A67" s="158">
        <v>45512</v>
      </c>
      <c r="B67" s="207">
        <v>0.35</v>
      </c>
      <c r="C67" s="207">
        <v>0.23</v>
      </c>
    </row>
    <row r="68" customHeight="1" spans="1:3">
      <c r="A68" s="158">
        <v>45519</v>
      </c>
      <c r="B68" s="207">
        <v>0.45</v>
      </c>
      <c r="C68" s="207">
        <v>0.15</v>
      </c>
    </row>
    <row r="69" customHeight="1" spans="1:3">
      <c r="A69" s="158">
        <v>45526</v>
      </c>
      <c r="B69" s="207">
        <v>0.75</v>
      </c>
      <c r="C69" s="207">
        <v>0.15</v>
      </c>
    </row>
    <row r="70" customHeight="1" spans="1:3">
      <c r="A70" s="158">
        <v>45533</v>
      </c>
      <c r="B70" s="207">
        <v>0.65</v>
      </c>
      <c r="C70" s="207">
        <v>0.2</v>
      </c>
    </row>
    <row r="71" customHeight="1" spans="1:3">
      <c r="A71" s="158">
        <v>45540</v>
      </c>
      <c r="B71" s="207">
        <v>0.6</v>
      </c>
      <c r="C71" s="207">
        <v>0.21</v>
      </c>
    </row>
    <row r="72" customHeight="1" spans="1:3">
      <c r="A72" s="158">
        <v>45547</v>
      </c>
      <c r="B72" s="207">
        <v>0.6</v>
      </c>
      <c r="C72" s="207">
        <v>0.18</v>
      </c>
    </row>
    <row r="73" customHeight="1" spans="1:3">
      <c r="A73" s="158">
        <v>45554</v>
      </c>
      <c r="B73" s="207">
        <v>0.5</v>
      </c>
      <c r="C73" s="207">
        <v>0.14</v>
      </c>
    </row>
    <row r="74" customHeight="1" spans="1:3">
      <c r="A74" s="158">
        <v>45561</v>
      </c>
      <c r="B74" s="207">
        <v>0.6</v>
      </c>
      <c r="C74" s="207">
        <v>0.17</v>
      </c>
    </row>
    <row r="75" customHeight="1" spans="1:3">
      <c r="A75" s="158">
        <v>45575</v>
      </c>
      <c r="B75" s="207">
        <v>0.4</v>
      </c>
      <c r="C75" s="207">
        <v>0.27</v>
      </c>
    </row>
    <row r="76" customHeight="1" spans="1:3">
      <c r="A76" s="158">
        <v>45582</v>
      </c>
      <c r="B76" s="207">
        <v>0.7</v>
      </c>
      <c r="C76" s="207">
        <v>0.32</v>
      </c>
    </row>
    <row r="77" customHeight="1" spans="1:3">
      <c r="A77" s="158">
        <v>45589</v>
      </c>
      <c r="B77" s="207">
        <v>0.55</v>
      </c>
      <c r="C77" s="207">
        <v>0.43</v>
      </c>
    </row>
    <row r="78" customHeight="1" spans="1:3">
      <c r="A78" s="158">
        <v>45596</v>
      </c>
      <c r="B78" s="207">
        <v>0.7</v>
      </c>
      <c r="C78" s="207">
        <v>0.37</v>
      </c>
    </row>
    <row r="79" customHeight="1" spans="1:3">
      <c r="A79" s="158">
        <v>45603</v>
      </c>
      <c r="B79" s="207">
        <v>0.6</v>
      </c>
      <c r="C79" s="207">
        <v>0.29</v>
      </c>
    </row>
    <row r="80" customHeight="1" spans="1:3">
      <c r="A80" s="158">
        <v>45610</v>
      </c>
      <c r="B80" s="207">
        <v>0.5</v>
      </c>
      <c r="C80" s="207">
        <v>0.26</v>
      </c>
    </row>
    <row r="81" customHeight="1" spans="1:3">
      <c r="A81" s="158">
        <v>45617</v>
      </c>
      <c r="B81" s="207">
        <v>0.65</v>
      </c>
      <c r="C81" s="207">
        <v>0.3</v>
      </c>
    </row>
    <row r="82" customHeight="1" spans="1:3">
      <c r="A82" s="158">
        <v>45624</v>
      </c>
      <c r="B82" s="207">
        <v>0.6</v>
      </c>
      <c r="C82" s="207">
        <v>0.34</v>
      </c>
    </row>
    <row r="83" customHeight="1" spans="1:3">
      <c r="A83" s="158">
        <v>45631</v>
      </c>
      <c r="B83" s="207">
        <v>0.4</v>
      </c>
      <c r="C83" s="207">
        <v>0.24</v>
      </c>
    </row>
    <row r="84" customHeight="1" spans="1:3">
      <c r="A84" s="158">
        <v>45638</v>
      </c>
      <c r="B84" s="207">
        <v>0.5</v>
      </c>
      <c r="C84" s="207">
        <v>0.27</v>
      </c>
    </row>
    <row r="85" customHeight="1" spans="1:3">
      <c r="A85" s="158">
        <v>45645</v>
      </c>
      <c r="B85" s="207">
        <v>0.5</v>
      </c>
      <c r="C85" s="207">
        <v>0.23</v>
      </c>
    </row>
    <row r="86" customHeight="1" spans="1:3">
      <c r="A86" s="158">
        <v>45652</v>
      </c>
      <c r="B86" s="207">
        <v>0.65</v>
      </c>
      <c r="C86" s="207">
        <v>0.36</v>
      </c>
    </row>
    <row r="87" customHeight="1" spans="1:3">
      <c r="A87" s="158">
        <v>45659</v>
      </c>
      <c r="B87" s="207">
        <v>0.55</v>
      </c>
      <c r="C87" s="207">
        <v>0.43</v>
      </c>
    </row>
    <row r="88" customHeight="1" spans="1:3">
      <c r="A88" s="158">
        <v>45666</v>
      </c>
      <c r="B88" s="207">
        <v>0.8</v>
      </c>
      <c r="C88" s="207">
        <v>0.33</v>
      </c>
    </row>
    <row r="89" customHeight="1" spans="1:3">
      <c r="A89" s="158">
        <v>45673</v>
      </c>
      <c r="B89" s="207">
        <v>1.05</v>
      </c>
      <c r="C89" s="207">
        <v>0.41</v>
      </c>
    </row>
    <row r="90" customHeight="1" spans="1:3">
      <c r="A90" s="158">
        <v>45680</v>
      </c>
      <c r="B90" s="207">
        <v>1.25</v>
      </c>
      <c r="C90" s="207">
        <v>0.48</v>
      </c>
    </row>
    <row r="91" customHeight="1" spans="1:3">
      <c r="A91" s="158">
        <v>45694</v>
      </c>
      <c r="B91" s="207">
        <v>1</v>
      </c>
      <c r="C91" s="207">
        <v>0.49</v>
      </c>
    </row>
    <row r="92" customHeight="1" spans="1:3">
      <c r="A92" s="158">
        <v>45701</v>
      </c>
      <c r="B92" s="207">
        <v>1</v>
      </c>
      <c r="C92" s="207">
        <v>0.71</v>
      </c>
    </row>
    <row r="93" customHeight="1" spans="1:3">
      <c r="A93" s="158">
        <v>45708</v>
      </c>
      <c r="B93" s="207">
        <v>0.75</v>
      </c>
      <c r="C93" s="207">
        <v>0.65</v>
      </c>
    </row>
    <row r="94" customHeight="1" spans="1:3">
      <c r="A94" s="158">
        <v>45715</v>
      </c>
      <c r="B94" s="207">
        <v>0.9</v>
      </c>
      <c r="C94" s="207">
        <v>0.57</v>
      </c>
    </row>
    <row r="95" customHeight="1" spans="1:3">
      <c r="A95" s="158">
        <v>45722</v>
      </c>
      <c r="B95" s="207">
        <v>0.7</v>
      </c>
      <c r="C95" s="207">
        <v>0.46</v>
      </c>
    </row>
    <row r="96" customHeight="1" spans="1:3">
      <c r="A96" s="158">
        <v>45729</v>
      </c>
      <c r="B96" s="207">
        <v>0.45</v>
      </c>
      <c r="C96" s="207">
        <v>0.29</v>
      </c>
    </row>
    <row r="97" customHeight="1" spans="1:3">
      <c r="A97" s="158">
        <v>45736</v>
      </c>
      <c r="B97" s="207">
        <v>0.3</v>
      </c>
      <c r="C97" s="162">
        <v>0.2</v>
      </c>
    </row>
    <row r="98" customHeight="1" spans="1:3">
      <c r="A98" s="158">
        <v>45743</v>
      </c>
      <c r="B98" s="207">
        <v>0.4</v>
      </c>
      <c r="C98" s="207">
        <v>0.17</v>
      </c>
    </row>
    <row r="99" customHeight="1" spans="1:3">
      <c r="A99" s="158">
        <v>45750</v>
      </c>
      <c r="B99" s="207">
        <v>0.25</v>
      </c>
      <c r="C99" s="162">
        <v>0.14</v>
      </c>
    </row>
    <row r="100" customHeight="1" spans="1:3">
      <c r="A100" s="158">
        <v>45757</v>
      </c>
      <c r="B100" s="207">
        <v>0.3</v>
      </c>
      <c r="C100" s="207">
        <v>0.09</v>
      </c>
    </row>
    <row r="101" customHeight="1" spans="1:3">
      <c r="A101" s="158">
        <v>45764</v>
      </c>
      <c r="B101" s="207">
        <v>0.15</v>
      </c>
      <c r="C101" s="207">
        <v>0.02</v>
      </c>
    </row>
    <row r="102" customHeight="1" spans="1:3">
      <c r="A102" s="158">
        <v>45771</v>
      </c>
      <c r="B102" s="207">
        <v>0.15</v>
      </c>
      <c r="C102" s="207">
        <v>0.03</v>
      </c>
    </row>
    <row r="103" customHeight="1" spans="1:3">
      <c r="A103" s="158">
        <v>45777</v>
      </c>
      <c r="B103" s="207">
        <v>0.25</v>
      </c>
      <c r="C103" s="207">
        <v>0.04</v>
      </c>
    </row>
    <row r="104" customHeight="1" spans="1:3">
      <c r="A104" s="158">
        <v>45785</v>
      </c>
      <c r="B104" s="207">
        <v>0.2</v>
      </c>
      <c r="C104" s="207">
        <v>0.03</v>
      </c>
    </row>
    <row r="105" customHeight="1" spans="1:3">
      <c r="A105" s="158">
        <v>45792</v>
      </c>
      <c r="B105" s="207">
        <v>0.25</v>
      </c>
      <c r="C105" s="162">
        <v>0.02</v>
      </c>
    </row>
    <row r="106" customHeight="1" spans="1:3">
      <c r="A106" s="158">
        <v>45799</v>
      </c>
      <c r="B106" s="207">
        <v>0.3</v>
      </c>
      <c r="C106" s="207">
        <v>0.03</v>
      </c>
    </row>
    <row r="107" customHeight="1" spans="1:3">
      <c r="A107" s="158">
        <v>45806</v>
      </c>
      <c r="B107" s="207">
        <v>0.3</v>
      </c>
      <c r="C107" s="207">
        <v>0.04</v>
      </c>
    </row>
    <row r="108" customHeight="1" spans="1:3">
      <c r="A108" s="158">
        <v>45813</v>
      </c>
      <c r="B108" s="207">
        <v>0.3</v>
      </c>
      <c r="C108" s="207">
        <v>0.08</v>
      </c>
    </row>
    <row r="109" customHeight="1" spans="1:3">
      <c r="A109" s="158">
        <v>45820</v>
      </c>
      <c r="B109" s="207">
        <v>0.35</v>
      </c>
      <c r="C109" s="207">
        <v>0.06</v>
      </c>
    </row>
    <row r="110" customHeight="1" spans="1:3">
      <c r="A110" s="158">
        <v>45827</v>
      </c>
      <c r="B110" s="207">
        <v>0.35</v>
      </c>
      <c r="C110" s="207">
        <v>0.07</v>
      </c>
    </row>
    <row r="111" customHeight="1" spans="1:3">
      <c r="A111" s="158">
        <v>45834</v>
      </c>
      <c r="B111" s="207">
        <v>0.3</v>
      </c>
      <c r="C111" s="207">
        <v>0.05</v>
      </c>
    </row>
    <row r="112" customHeight="1" spans="1:3">
      <c r="A112" s="158">
        <v>45841</v>
      </c>
      <c r="B112" s="207">
        <v>0.2</v>
      </c>
      <c r="C112" s="207">
        <v>0.1</v>
      </c>
    </row>
    <row r="113" customHeight="1" spans="1:3">
      <c r="A113" s="158">
        <v>45848</v>
      </c>
      <c r="B113" s="207">
        <v>0.4</v>
      </c>
      <c r="C113" s="207">
        <v>0.1</v>
      </c>
    </row>
    <row r="114" customHeight="1" spans="1:3">
      <c r="A114" s="158">
        <v>45855</v>
      </c>
      <c r="B114" s="207">
        <v>0.6</v>
      </c>
      <c r="C114" s="207">
        <v>0.09</v>
      </c>
    </row>
    <row r="115" customHeight="1" spans="1:3">
      <c r="A115" s="158">
        <v>45862</v>
      </c>
      <c r="B115" s="207">
        <v>0.8</v>
      </c>
      <c r="C115" s="207">
        <v>0.09</v>
      </c>
    </row>
    <row r="116" customHeight="1" spans="1:3">
      <c r="A116" s="158">
        <v>45869</v>
      </c>
      <c r="B116" s="207">
        <v>0.6</v>
      </c>
      <c r="C116" s="207">
        <v>0.08</v>
      </c>
    </row>
    <row r="117" customHeight="1" spans="1:3">
      <c r="A117" s="158">
        <v>45876</v>
      </c>
      <c r="B117" s="207">
        <v>0.5</v>
      </c>
      <c r="C117" s="207">
        <v>0.12</v>
      </c>
    </row>
    <row r="118" customHeight="1" spans="1:3">
      <c r="A118" s="158">
        <v>45883</v>
      </c>
      <c r="B118" s="207">
        <v>0.5</v>
      </c>
      <c r="C118" s="207">
        <v>0.14</v>
      </c>
    </row>
    <row r="119" customHeight="1" spans="1:3">
      <c r="A119" s="158">
        <v>45890</v>
      </c>
      <c r="B119" s="207">
        <v>0.5</v>
      </c>
      <c r="C119" s="207">
        <v>0.18</v>
      </c>
    </row>
    <row r="120" customHeight="1" spans="1:3">
      <c r="A120" s="158">
        <v>45897</v>
      </c>
      <c r="B120" s="207">
        <v>0.6</v>
      </c>
      <c r="C120" s="207">
        <v>0.18</v>
      </c>
    </row>
    <row r="121" customHeight="1" spans="1:3">
      <c r="A121" s="158">
        <v>45904</v>
      </c>
      <c r="B121" s="207">
        <v>0.45</v>
      </c>
      <c r="C121" s="207">
        <v>0.19</v>
      </c>
    </row>
    <row r="122" customHeight="1" spans="1:3">
      <c r="A122" s="158">
        <v>45911</v>
      </c>
      <c r="B122" s="207">
        <v>0.45</v>
      </c>
      <c r="C122" s="207">
        <v>0.13</v>
      </c>
    </row>
    <row r="123" customHeight="1" spans="1:3">
      <c r="A123" s="158">
        <v>45918</v>
      </c>
      <c r="B123" s="207">
        <v>0.6</v>
      </c>
      <c r="C123" s="207">
        <v>0.16</v>
      </c>
    </row>
    <row r="124" customHeight="1" spans="1:3">
      <c r="A124" s="158">
        <v>45925</v>
      </c>
      <c r="B124" s="207">
        <v>0.45</v>
      </c>
      <c r="C124" s="207">
        <v>0.16</v>
      </c>
    </row>
    <row r="125" customHeight="1" spans="1:3">
      <c r="A125" s="158">
        <v>45939</v>
      </c>
      <c r="B125" s="207">
        <v>0.55</v>
      </c>
      <c r="C125" s="207">
        <v>0.26</v>
      </c>
    </row>
    <row r="126" customHeight="1" spans="1:3">
      <c r="A126" s="158">
        <v>45946</v>
      </c>
      <c r="B126" s="207">
        <v>0.6</v>
      </c>
      <c r="C126" s="207">
        <v>0.38</v>
      </c>
    </row>
    <row r="127" customHeight="1" spans="1:3">
      <c r="A127" s="158">
        <v>45953</v>
      </c>
      <c r="B127" s="207">
        <v>0.45</v>
      </c>
      <c r="C127" s="207">
        <v>0.39</v>
      </c>
    </row>
    <row r="128" customHeight="1" spans="1:3">
      <c r="A128" s="158">
        <v>45960</v>
      </c>
      <c r="B128" s="207">
        <v>0.55</v>
      </c>
      <c r="C128" s="207">
        <v>0.4</v>
      </c>
    </row>
    <row r="129" customHeight="1" spans="1:3">
      <c r="A129" s="158">
        <v>45967</v>
      </c>
      <c r="B129" s="207">
        <v>0.5</v>
      </c>
      <c r="C129" s="207">
        <v>0.33</v>
      </c>
    </row>
    <row r="130" customHeight="1" spans="1:3">
      <c r="A130" s="158">
        <v>45974</v>
      </c>
      <c r="B130" s="207">
        <v>0.65</v>
      </c>
      <c r="C130" s="207">
        <v>0.34</v>
      </c>
    </row>
    <row r="131" customHeight="1" spans="1:3">
      <c r="A131" s="158">
        <v>45981</v>
      </c>
      <c r="B131" s="207">
        <v>0.6</v>
      </c>
      <c r="C131" s="207">
        <v>0.3</v>
      </c>
    </row>
    <row r="132" customHeight="1" spans="1:3">
      <c r="A132" s="158">
        <v>45988</v>
      </c>
      <c r="B132" s="207">
        <v>0.6</v>
      </c>
      <c r="C132" s="207">
        <v>0.28</v>
      </c>
    </row>
    <row r="133" customHeight="1" spans="1:3">
      <c r="A133" s="158">
        <v>45995</v>
      </c>
      <c r="B133" s="207">
        <v>0.5</v>
      </c>
      <c r="C133" s="207">
        <v>0.26</v>
      </c>
    </row>
    <row r="134" customHeight="1" spans="1:3">
      <c r="A134" s="158">
        <v>46002</v>
      </c>
      <c r="B134" s="207">
        <v>0.3</v>
      </c>
      <c r="C134" s="207">
        <v>0.25</v>
      </c>
    </row>
    <row r="135" customHeight="1" spans="1:3">
      <c r="A135" s="158">
        <v>46009</v>
      </c>
      <c r="B135" s="207">
        <v>0.25</v>
      </c>
      <c r="C135" s="207">
        <v>0.25</v>
      </c>
    </row>
    <row r="136" customHeight="1" spans="1:3">
      <c r="A136" s="158">
        <v>46016</v>
      </c>
      <c r="B136" s="207">
        <v>0.7</v>
      </c>
      <c r="C136" s="207">
        <v>0.32</v>
      </c>
    </row>
    <row r="137" customHeight="1" spans="1:3">
      <c r="A137" s="158">
        <v>46023</v>
      </c>
      <c r="B137" s="207">
        <v>0.6</v>
      </c>
      <c r="C137" s="207">
        <v>0.31</v>
      </c>
    </row>
    <row r="138" customHeight="1" spans="1:3">
      <c r="A138" s="158">
        <v>46030</v>
      </c>
      <c r="B138" s="207">
        <v>0.65</v>
      </c>
      <c r="C138" s="207">
        <v>0.29</v>
      </c>
    </row>
    <row r="139" customHeight="1" spans="1:3">
      <c r="A139" s="158">
        <v>46037</v>
      </c>
      <c r="B139" s="207">
        <v>0.65</v>
      </c>
      <c r="C139" s="207">
        <v>0.3</v>
      </c>
    </row>
    <row r="140" customHeight="1" spans="1:3">
      <c r="A140" s="158">
        <v>46044</v>
      </c>
      <c r="B140" s="207">
        <v>0.7</v>
      </c>
      <c r="C140" s="207">
        <v>0.37</v>
      </c>
    </row>
    <row r="141" customHeight="1" spans="1:3">
      <c r="A141" s="158">
        <v>46051</v>
      </c>
      <c r="B141" s="207">
        <v>0.8</v>
      </c>
      <c r="C141" s="207">
        <v>0.52</v>
      </c>
    </row>
    <row r="142" customHeight="1" spans="1:3">
      <c r="A142" s="158">
        <v>46058</v>
      </c>
      <c r="B142" s="207">
        <v>0.93</v>
      </c>
      <c r="C142" s="207">
        <v>0.53</v>
      </c>
    </row>
    <row r="143" customHeight="1" spans="1:3">
      <c r="A143" s="158">
        <v>46065</v>
      </c>
      <c r="B143" s="207">
        <v>0.95</v>
      </c>
      <c r="C143" s="207">
        <v>0.53</v>
      </c>
    </row>
    <row r="144" customHeight="1" spans="1:3">
      <c r="A144" s="158">
        <v>46079</v>
      </c>
      <c r="B144" s="207">
        <v>0.65</v>
      </c>
      <c r="C144" s="207">
        <v>0.42</v>
      </c>
    </row>
    <row r="145" customHeight="1" spans="1:3">
      <c r="A145" s="158">
        <v>46086</v>
      </c>
      <c r="B145" s="207">
        <v>0.5</v>
      </c>
      <c r="C145" s="207">
        <v>0.37</v>
      </c>
    </row>
    <row r="146" customHeight="1" spans="1:3">
      <c r="A146" s="158">
        <v>46093</v>
      </c>
      <c r="B146" s="207">
        <v>0.6</v>
      </c>
      <c r="C146" s="207">
        <v>0.38</v>
      </c>
    </row>
    <row r="147" customHeight="1" spans="1:3">
      <c r="A147" s="158">
        <v>46100</v>
      </c>
      <c r="B147" s="207">
        <v>0.6</v>
      </c>
      <c r="C147" s="207">
        <v>0.38</v>
      </c>
    </row>
    <row r="148" customHeight="1" spans="1:3">
      <c r="A148" s="158">
        <v>46107</v>
      </c>
      <c r="B148" s="207">
        <v>0.45</v>
      </c>
      <c r="C148" s="207">
        <v>0.32</v>
      </c>
    </row>
    <row r="149" customHeight="1" spans="1:3">
      <c r="A149" s="158">
        <v>46114</v>
      </c>
      <c r="B149" s="207">
        <v>0.45</v>
      </c>
      <c r="C149" s="207">
        <v>0.33</v>
      </c>
    </row>
    <row r="150" customHeight="1" spans="1:3">
      <c r="A150" s="158">
        <v>46121</v>
      </c>
      <c r="B150" s="207">
        <v>0.52</v>
      </c>
      <c r="C150" s="207">
        <v>0.3</v>
      </c>
    </row>
    <row r="151" customHeight="1" spans="1:3">
      <c r="A151" s="158">
        <v>46128</v>
      </c>
      <c r="B151" s="207">
        <v>0.4</v>
      </c>
      <c r="C151" s="207">
        <v>0.25</v>
      </c>
    </row>
    <row r="152" customHeight="1" spans="1:3">
      <c r="A152" s="158">
        <v>46135</v>
      </c>
      <c r="B152" s="207">
        <v>0.35</v>
      </c>
      <c r="C152" s="207">
        <v>0.19</v>
      </c>
    </row>
    <row r="153" customHeight="1" spans="1:3">
      <c r="A153" s="158">
        <v>46142</v>
      </c>
      <c r="B153" s="207">
        <v>0.2</v>
      </c>
      <c r="C153" s="207">
        <v>0.15</v>
      </c>
    </row>
    <row r="154" customHeight="1" spans="1:3">
      <c r="A154" s="158">
        <v>46149</v>
      </c>
      <c r="B154" s="207">
        <v>0.4</v>
      </c>
      <c r="C154" s="207">
        <v>0.14</v>
      </c>
    </row>
    <row r="155" customHeight="1" spans="1:3">
      <c r="A155" s="158">
        <v>46156</v>
      </c>
      <c r="B155" s="207">
        <v>0.25</v>
      </c>
      <c r="C155" s="207">
        <v>0.1</v>
      </c>
    </row>
    <row r="156" customHeight="1" spans="1:3">
      <c r="A156" s="158">
        <v>46163</v>
      </c>
      <c r="B156" s="207">
        <v>0.2</v>
      </c>
      <c r="C156" s="207">
        <v>0.12</v>
      </c>
    </row>
    <row r="157" customHeight="1" spans="1:3">
      <c r="A157" s="158">
        <v>46170</v>
      </c>
      <c r="B157" s="207">
        <v>0.35</v>
      </c>
      <c r="C157" s="207">
        <v>0.15</v>
      </c>
    </row>
    <row r="158" customHeight="1" spans="1:3">
      <c r="A158" s="158">
        <v>46177</v>
      </c>
      <c r="B158" s="207">
        <v>0.25</v>
      </c>
      <c r="C158" s="162">
        <v>0.11</v>
      </c>
    </row>
    <row r="159" customHeight="1" spans="1:3">
      <c r="A159" s="158">
        <v>46184</v>
      </c>
      <c r="B159" s="207">
        <v>0.3</v>
      </c>
      <c r="C159" s="162">
        <v>0.12</v>
      </c>
    </row>
    <row r="160" customHeight="1" spans="1:3">
      <c r="A160" s="158">
        <v>46191</v>
      </c>
      <c r="B160" s="207">
        <v>0.3</v>
      </c>
      <c r="C160" s="162">
        <v>0.14</v>
      </c>
    </row>
    <row r="161" customHeight="1" spans="1:3">
      <c r="A161" s="158">
        <v>46198</v>
      </c>
      <c r="B161" s="207">
        <v>0.4</v>
      </c>
      <c r="C161" s="162">
        <v>0.28</v>
      </c>
    </row>
    <row r="162" customHeight="1" spans="1:3">
      <c r="A162" s="158">
        <v>46205</v>
      </c>
      <c r="B162" s="207">
        <v>0.45</v>
      </c>
      <c r="C162" s="162">
        <v>0.52</v>
      </c>
    </row>
    <row r="163" customHeight="1" spans="1:3">
      <c r="A163" s="158">
        <v>46212</v>
      </c>
      <c r="B163" s="207">
        <v>0.4</v>
      </c>
      <c r="C163" s="162">
        <v>0.36</v>
      </c>
    </row>
    <row r="164" customHeight="1" spans="1:3">
      <c r="A164" s="158">
        <v>46219</v>
      </c>
      <c r="B164" s="207">
        <v>0.45</v>
      </c>
      <c r="C164" s="162">
        <v>0.34</v>
      </c>
    </row>
    <row r="165" customHeight="1" spans="1:3">
      <c r="A165" s="158">
        <v>46226</v>
      </c>
      <c r="B165" s="207">
        <v>0.7</v>
      </c>
      <c r="C165" s="162">
        <v>0.42</v>
      </c>
    </row>
    <row r="166" customHeight="1" spans="1:3">
      <c r="A166" s="158">
        <v>46233</v>
      </c>
      <c r="B166" s="207">
        <v>0.75</v>
      </c>
      <c r="C166" s="162">
        <v>0.44</v>
      </c>
    </row>
    <row r="167" customHeight="1" spans="1:3">
      <c r="A167" s="158">
        <v>46240</v>
      </c>
      <c r="B167" s="207">
        <v>0.85</v>
      </c>
      <c r="C167" s="162">
        <v>0.48</v>
      </c>
    </row>
    <row r="168" customHeight="1" spans="1:3">
      <c r="A168" s="158">
        <v>46247</v>
      </c>
      <c r="B168" s="207">
        <v>1.15</v>
      </c>
      <c r="C168" s="162">
        <v>0.63</v>
      </c>
    </row>
    <row r="169" customHeight="1" spans="1:3">
      <c r="A169" s="158">
        <v>46254</v>
      </c>
      <c r="B169" s="207">
        <v>0.85</v>
      </c>
      <c r="C169" s="162">
        <v>0.54</v>
      </c>
    </row>
    <row r="170" customHeight="1" spans="1:3">
      <c r="A170" s="158">
        <v>46261</v>
      </c>
      <c r="B170" s="207">
        <v>0.8</v>
      </c>
      <c r="C170" s="162">
        <v>0.51</v>
      </c>
    </row>
    <row r="171" customHeight="1" spans="1:3">
      <c r="A171" s="158">
        <v>46268</v>
      </c>
      <c r="B171" s="207">
        <v>0.7</v>
      </c>
      <c r="C171" s="162">
        <v>0.47</v>
      </c>
    </row>
    <row r="172" customHeight="1" spans="1:3">
      <c r="A172" s="158">
        <v>46275</v>
      </c>
      <c r="B172" s="207">
        <v>0.6</v>
      </c>
      <c r="C172" s="162">
        <v>0.44</v>
      </c>
    </row>
    <row r="173" customHeight="1" spans="1:3">
      <c r="A173" s="158">
        <v>46282</v>
      </c>
      <c r="B173" s="207">
        <v>0.65</v>
      </c>
      <c r="C173" s="162">
        <v>0.42</v>
      </c>
    </row>
    <row r="174" customHeight="1" spans="1:3">
      <c r="A174" s="158">
        <v>46289</v>
      </c>
      <c r="B174" s="207">
        <v>0.8</v>
      </c>
      <c r="C174" s="162">
        <v>0.42</v>
      </c>
    </row>
  </sheetData>
  <mergeCells count="1">
    <mergeCell ref="B1:C1"/>
  </mergeCells>
  <pageMargins left="0.7" right="0.7" top="0.75" bottom="0.75" header="0.3" footer="0.3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316"/>
  <sheetViews>
    <sheetView workbookViewId="0">
      <pane xSplit="1" ySplit="3" topLeftCell="B291" activePane="bottomRight" state="frozen"/>
      <selection/>
      <selection pane="topRight"/>
      <selection pane="bottomLeft"/>
      <selection pane="bottomRight" activeCell="B316" sqref="B316"/>
    </sheetView>
  </sheetViews>
  <sheetFormatPr defaultColWidth="13.125" defaultRowHeight="20" customHeight="1" outlineLevelCol="1"/>
  <cols>
    <col min="1" max="1" width="13.125" style="149" customWidth="1"/>
    <col min="2" max="16362" width="13.125" customWidth="1"/>
  </cols>
  <sheetData>
    <row r="2" s="118" customFormat="1" ht="30" customHeight="1" spans="1:2">
      <c r="A2" s="225"/>
      <c r="B2" s="114" t="s">
        <v>57</v>
      </c>
    </row>
    <row r="3" s="118" customFormat="1" ht="30" customHeight="1" spans="1:2">
      <c r="A3" s="156" t="s">
        <v>39</v>
      </c>
      <c r="B3" s="114"/>
    </row>
    <row r="4" s="89" customFormat="1" customHeight="1" spans="1:2">
      <c r="A4" s="158">
        <v>44035</v>
      </c>
      <c r="B4" s="108">
        <v>5462</v>
      </c>
    </row>
    <row r="5" s="89" customFormat="1" customHeight="1" spans="1:2">
      <c r="A5" s="158">
        <v>44042</v>
      </c>
      <c r="B5" s="224">
        <v>5462</v>
      </c>
    </row>
    <row r="6" s="89" customFormat="1" customHeight="1" spans="1:2">
      <c r="A6" s="158">
        <v>44049</v>
      </c>
      <c r="B6" s="223">
        <v>5462</v>
      </c>
    </row>
    <row r="7" s="89" customFormat="1" customHeight="1" spans="1:2">
      <c r="A7" s="158">
        <v>44056</v>
      </c>
      <c r="B7" s="108">
        <v>5462</v>
      </c>
    </row>
    <row r="8" s="89" customFormat="1" customHeight="1" spans="1:2">
      <c r="A8" s="158">
        <v>44063</v>
      </c>
      <c r="B8" s="224">
        <v>5462</v>
      </c>
    </row>
    <row r="9" s="89" customFormat="1" customHeight="1" spans="1:2">
      <c r="A9" s="158">
        <v>44070</v>
      </c>
      <c r="B9" s="108">
        <v>5353</v>
      </c>
    </row>
    <row r="10" s="89" customFormat="1" customHeight="1" spans="1:2">
      <c r="A10" s="158">
        <v>44077</v>
      </c>
      <c r="B10" s="108">
        <v>5346</v>
      </c>
    </row>
    <row r="11" s="89" customFormat="1" customHeight="1" spans="1:2">
      <c r="A11" s="158">
        <v>44084</v>
      </c>
      <c r="B11" s="108">
        <v>5337</v>
      </c>
    </row>
    <row r="12" s="89" customFormat="1" customHeight="1" spans="1:2">
      <c r="A12" s="158">
        <v>44091</v>
      </c>
      <c r="B12" s="108">
        <v>5312</v>
      </c>
    </row>
    <row r="13" s="89" customFormat="1" customHeight="1" spans="1:2">
      <c r="A13" s="158">
        <v>44098</v>
      </c>
      <c r="B13" s="108">
        <v>5306</v>
      </c>
    </row>
    <row r="14" s="89" customFormat="1" customHeight="1" spans="1:2">
      <c r="A14" s="158">
        <v>44104</v>
      </c>
      <c r="B14" s="108">
        <v>5269</v>
      </c>
    </row>
    <row r="15" s="89" customFormat="1" customHeight="1" spans="1:2">
      <c r="A15" s="158">
        <v>44112</v>
      </c>
      <c r="B15" s="108">
        <v>5234</v>
      </c>
    </row>
    <row r="16" s="89" customFormat="1" customHeight="1" spans="1:2">
      <c r="A16" s="158">
        <v>44119</v>
      </c>
      <c r="B16" s="108">
        <v>5205</v>
      </c>
    </row>
    <row r="17" s="89" customFormat="1" customHeight="1" spans="1:2">
      <c r="A17" s="158">
        <v>44126</v>
      </c>
      <c r="B17" s="108">
        <v>5186</v>
      </c>
    </row>
    <row r="18" s="89" customFormat="1" customHeight="1" spans="1:2">
      <c r="A18" s="158">
        <v>44133</v>
      </c>
      <c r="B18" s="108">
        <v>5119</v>
      </c>
    </row>
    <row r="19" s="89" customFormat="1" customHeight="1" spans="1:2">
      <c r="A19" s="158">
        <v>44140</v>
      </c>
      <c r="B19" s="108">
        <v>5093</v>
      </c>
    </row>
    <row r="20" s="89" customFormat="1" customHeight="1" spans="1:2">
      <c r="A20" s="158">
        <v>44147</v>
      </c>
      <c r="B20" s="108">
        <v>5066</v>
      </c>
    </row>
    <row r="21" s="89" customFormat="1" customHeight="1" spans="1:2">
      <c r="A21" s="158">
        <v>44154</v>
      </c>
      <c r="B21" s="108">
        <v>5052</v>
      </c>
    </row>
    <row r="22" s="89" customFormat="1" customHeight="1" spans="1:2">
      <c r="A22" s="158">
        <v>44161</v>
      </c>
      <c r="B22" s="108">
        <v>4905</v>
      </c>
    </row>
    <row r="23" s="89" customFormat="1" customHeight="1" spans="1:2">
      <c r="A23" s="158">
        <v>44168</v>
      </c>
      <c r="B23" s="223">
        <v>4789</v>
      </c>
    </row>
    <row r="24" s="89" customFormat="1" customHeight="1" spans="1:2">
      <c r="A24" s="158">
        <v>44175</v>
      </c>
      <c r="B24" s="108">
        <v>4734</v>
      </c>
    </row>
    <row r="25" s="89" customFormat="1" customHeight="1" spans="1:2">
      <c r="A25" s="158">
        <v>44182</v>
      </c>
      <c r="B25" s="108">
        <v>4638</v>
      </c>
    </row>
    <row r="26" s="89" customFormat="1" customHeight="1" spans="1:2">
      <c r="A26" s="158">
        <v>44189</v>
      </c>
      <c r="B26" s="108">
        <v>4553</v>
      </c>
    </row>
    <row r="27" s="89" customFormat="1" customHeight="1" spans="1:2">
      <c r="A27" s="158">
        <v>44196</v>
      </c>
      <c r="B27" s="108">
        <v>4452</v>
      </c>
    </row>
    <row r="28" s="89" customFormat="1" customHeight="1" spans="1:2">
      <c r="A28" s="158">
        <v>44203</v>
      </c>
      <c r="B28" s="108">
        <v>4391</v>
      </c>
    </row>
    <row r="29" s="89" customFormat="1" customHeight="1" spans="1:2">
      <c r="A29" s="158">
        <v>44210</v>
      </c>
      <c r="B29" s="108">
        <v>4294</v>
      </c>
    </row>
    <row r="30" s="89" customFormat="1" customHeight="1" spans="1:2">
      <c r="A30" s="158">
        <v>44217</v>
      </c>
      <c r="B30" s="108">
        <v>4219</v>
      </c>
    </row>
    <row r="31" s="89" customFormat="1" customHeight="1" spans="1:2">
      <c r="A31" s="158">
        <v>44224</v>
      </c>
      <c r="B31" s="108">
        <v>4219</v>
      </c>
    </row>
    <row r="32" s="89" customFormat="1" customHeight="1" spans="1:2">
      <c r="A32" s="158">
        <v>44231</v>
      </c>
      <c r="B32" s="108">
        <v>4219</v>
      </c>
    </row>
    <row r="33" s="89" customFormat="1" customHeight="1" spans="1:2">
      <c r="A33" s="158">
        <v>44245</v>
      </c>
      <c r="B33" s="108">
        <v>4226</v>
      </c>
    </row>
    <row r="34" s="89" customFormat="1" customHeight="1" spans="1:2">
      <c r="A34" s="158">
        <v>44252</v>
      </c>
      <c r="B34" s="108">
        <v>4247</v>
      </c>
    </row>
    <row r="35" s="89" customFormat="1" customHeight="1" spans="1:2">
      <c r="A35" s="158">
        <v>44259</v>
      </c>
      <c r="B35" s="108">
        <v>4250</v>
      </c>
    </row>
    <row r="36" s="89" customFormat="1" customHeight="1" spans="1:2">
      <c r="A36" s="158">
        <v>44266</v>
      </c>
      <c r="B36" s="108">
        <v>4250</v>
      </c>
    </row>
    <row r="37" s="89" customFormat="1" customHeight="1" spans="1:2">
      <c r="A37" s="158">
        <v>44273</v>
      </c>
      <c r="B37" s="108">
        <v>4224</v>
      </c>
    </row>
    <row r="38" s="89" customFormat="1" customHeight="1" spans="1:2">
      <c r="A38" s="158">
        <v>44280</v>
      </c>
      <c r="B38" s="108">
        <v>4178</v>
      </c>
    </row>
    <row r="39" s="89" customFormat="1" customHeight="1" spans="1:2">
      <c r="A39" s="158">
        <v>44287</v>
      </c>
      <c r="B39" s="108">
        <v>4140</v>
      </c>
    </row>
    <row r="40" s="89" customFormat="1" customHeight="1" spans="1:2">
      <c r="A40" s="158">
        <v>44294</v>
      </c>
      <c r="B40" s="108">
        <v>4108</v>
      </c>
    </row>
    <row r="41" s="89" customFormat="1" customHeight="1" spans="1:2">
      <c r="A41" s="158">
        <v>44301</v>
      </c>
      <c r="B41" s="108">
        <v>4108</v>
      </c>
    </row>
    <row r="42" s="89" customFormat="1" customHeight="1" spans="1:2">
      <c r="A42" s="158">
        <v>44308</v>
      </c>
      <c r="B42" s="108">
        <v>4108</v>
      </c>
    </row>
    <row r="43" s="89" customFormat="1" customHeight="1" spans="1:2">
      <c r="A43" s="158">
        <v>44315</v>
      </c>
      <c r="B43" s="108">
        <v>4108</v>
      </c>
    </row>
    <row r="44" s="89" customFormat="1" customHeight="1" spans="1:2">
      <c r="A44" s="158">
        <v>44322</v>
      </c>
      <c r="B44" s="108">
        <v>4104</v>
      </c>
    </row>
    <row r="45" s="89" customFormat="1" customHeight="1" spans="1:2">
      <c r="A45" s="158">
        <v>44329</v>
      </c>
      <c r="B45" s="108">
        <v>4075</v>
      </c>
    </row>
    <row r="46" s="89" customFormat="1" customHeight="1" spans="1:2">
      <c r="A46" s="158">
        <v>44336</v>
      </c>
      <c r="B46" s="108">
        <v>3982</v>
      </c>
    </row>
    <row r="47" s="89" customFormat="1" customHeight="1" spans="1:2">
      <c r="A47" s="158">
        <v>44343</v>
      </c>
      <c r="B47" s="108">
        <v>3929</v>
      </c>
    </row>
    <row r="48" s="89" customFormat="1" customHeight="1" spans="1:2">
      <c r="A48" s="158">
        <v>44350</v>
      </c>
      <c r="B48" s="108">
        <v>3815</v>
      </c>
    </row>
    <row r="49" s="89" customFormat="1" customHeight="1" spans="1:2">
      <c r="A49" s="158">
        <v>44357</v>
      </c>
      <c r="B49" s="108">
        <v>3355</v>
      </c>
    </row>
    <row r="50" s="89" customFormat="1" customHeight="1" spans="1:2">
      <c r="A50" s="158">
        <v>44364</v>
      </c>
      <c r="B50" s="108">
        <v>2959</v>
      </c>
    </row>
    <row r="51" s="89" customFormat="1" customHeight="1" spans="1:2">
      <c r="A51" s="158">
        <v>44371</v>
      </c>
      <c r="B51" s="108">
        <v>2579</v>
      </c>
    </row>
    <row r="52" s="89" customFormat="1" customHeight="1" spans="1:2">
      <c r="A52" s="158">
        <v>44378</v>
      </c>
      <c r="B52" s="108">
        <v>2399</v>
      </c>
    </row>
    <row r="53" s="89" customFormat="1" customHeight="1" spans="1:2">
      <c r="A53" s="158">
        <v>44385</v>
      </c>
      <c r="B53" s="108">
        <v>2391</v>
      </c>
    </row>
    <row r="54" s="89" customFormat="1" customHeight="1" spans="1:2">
      <c r="A54" s="158">
        <v>44392</v>
      </c>
      <c r="B54" s="108">
        <v>2401</v>
      </c>
    </row>
    <row r="55" s="89" customFormat="1" customHeight="1" spans="1:2">
      <c r="A55" s="158">
        <v>44399</v>
      </c>
      <c r="B55" s="108">
        <v>2395</v>
      </c>
    </row>
    <row r="56" s="89" customFormat="1" customHeight="1" spans="1:2">
      <c r="A56" s="158">
        <v>44406</v>
      </c>
      <c r="B56" s="108">
        <v>2375</v>
      </c>
    </row>
    <row r="57" s="89" customFormat="1" customHeight="1" spans="1:2">
      <c r="A57" s="158">
        <v>44413</v>
      </c>
      <c r="B57" s="108">
        <v>2375</v>
      </c>
    </row>
    <row r="58" s="89" customFormat="1" customHeight="1" spans="1:2">
      <c r="A58" s="158">
        <v>44420</v>
      </c>
      <c r="B58" s="108">
        <v>2322</v>
      </c>
    </row>
    <row r="59" s="89" customFormat="1" customHeight="1" spans="1:2">
      <c r="A59" s="158">
        <v>44427</v>
      </c>
      <c r="B59" s="108">
        <v>2290</v>
      </c>
    </row>
    <row r="60" s="89" customFormat="1" customHeight="1" spans="1:2">
      <c r="A60" s="158">
        <v>44434</v>
      </c>
      <c r="B60" s="108">
        <v>2238</v>
      </c>
    </row>
    <row r="61" s="89" customFormat="1" customHeight="1" spans="1:2">
      <c r="A61" s="158">
        <v>44441</v>
      </c>
      <c r="B61" s="108">
        <v>2204</v>
      </c>
    </row>
    <row r="62" s="89" customFormat="1" customHeight="1" spans="1:2">
      <c r="A62" s="158">
        <v>44448</v>
      </c>
      <c r="B62" s="108">
        <v>2014</v>
      </c>
    </row>
    <row r="63" s="89" customFormat="1" customHeight="1" spans="1:2">
      <c r="A63" s="158">
        <v>44455</v>
      </c>
      <c r="B63" s="108">
        <v>1891</v>
      </c>
    </row>
    <row r="64" s="89" customFormat="1" customHeight="1" spans="1:2">
      <c r="A64" s="158">
        <v>44462</v>
      </c>
      <c r="B64" s="108">
        <v>1615</v>
      </c>
    </row>
    <row r="65" s="89" customFormat="1" customHeight="1" spans="1:2">
      <c r="A65" s="158">
        <v>44469</v>
      </c>
      <c r="B65" s="108">
        <v>1459</v>
      </c>
    </row>
    <row r="66" s="89" customFormat="1" customHeight="1" spans="1:2">
      <c r="A66" s="158">
        <v>44477</v>
      </c>
      <c r="B66" s="108">
        <v>1284</v>
      </c>
    </row>
    <row r="67" s="89" customFormat="1" customHeight="1" spans="1:2">
      <c r="A67" s="158">
        <v>44483</v>
      </c>
      <c r="B67" s="108">
        <v>1233</v>
      </c>
    </row>
    <row r="68" s="89" customFormat="1" customHeight="1" spans="1:2">
      <c r="A68" s="158">
        <v>44490</v>
      </c>
      <c r="B68" s="108">
        <v>1239</v>
      </c>
    </row>
    <row r="69" s="89" customFormat="1" customHeight="1" spans="1:2">
      <c r="A69" s="158">
        <v>44497</v>
      </c>
      <c r="B69" s="108">
        <v>1532</v>
      </c>
    </row>
    <row r="70" s="89" customFormat="1" customHeight="1" spans="1:2">
      <c r="A70" s="158">
        <v>44504</v>
      </c>
      <c r="B70" s="108">
        <v>1569</v>
      </c>
    </row>
    <row r="71" s="89" customFormat="1" customHeight="1" spans="1:2">
      <c r="A71" s="158">
        <v>44511</v>
      </c>
      <c r="B71" s="108">
        <v>1588</v>
      </c>
    </row>
    <row r="72" s="89" customFormat="1" customHeight="1" spans="1:2">
      <c r="A72" s="158">
        <v>44518</v>
      </c>
      <c r="B72" s="108">
        <v>1632</v>
      </c>
    </row>
    <row r="73" s="89" customFormat="1" customHeight="1" spans="1:2">
      <c r="A73" s="158">
        <v>44525</v>
      </c>
      <c r="B73" s="108">
        <v>1632</v>
      </c>
    </row>
    <row r="74" s="89" customFormat="1" customHeight="1" spans="1:2">
      <c r="A74" s="158">
        <v>44532</v>
      </c>
      <c r="B74" s="108">
        <v>1644</v>
      </c>
    </row>
    <row r="75" s="89" customFormat="1" customHeight="1" spans="1:2">
      <c r="A75" s="158">
        <v>44539</v>
      </c>
      <c r="B75" s="108">
        <v>1659</v>
      </c>
    </row>
    <row r="76" s="89" customFormat="1" customHeight="1" spans="1:2">
      <c r="A76" s="158">
        <v>44546</v>
      </c>
      <c r="B76" s="108">
        <v>1671</v>
      </c>
    </row>
    <row r="77" s="89" customFormat="1" customHeight="1" spans="1:2">
      <c r="A77" s="158">
        <v>44553</v>
      </c>
      <c r="B77" s="108">
        <v>1672</v>
      </c>
    </row>
    <row r="78" s="89" customFormat="1" customHeight="1" spans="1:2">
      <c r="A78" s="158">
        <v>44560</v>
      </c>
      <c r="B78" s="108">
        <v>1672</v>
      </c>
    </row>
    <row r="79" s="89" customFormat="1" customHeight="1" spans="1:2">
      <c r="A79" s="158">
        <v>44567</v>
      </c>
      <c r="B79" s="108">
        <v>1673</v>
      </c>
    </row>
    <row r="80" s="89" customFormat="1" customHeight="1" spans="1:2">
      <c r="A80" s="158">
        <v>44574</v>
      </c>
      <c r="B80" s="108">
        <v>1654</v>
      </c>
    </row>
    <row r="81" s="89" customFormat="1" customHeight="1" spans="1:2">
      <c r="A81" s="158">
        <v>44581</v>
      </c>
      <c r="B81" s="108">
        <v>1646</v>
      </c>
    </row>
    <row r="82" s="124" customFormat="1" customHeight="1" spans="1:2">
      <c r="A82" s="158">
        <v>44587</v>
      </c>
      <c r="B82" s="108">
        <v>1646</v>
      </c>
    </row>
    <row r="83" s="124" customFormat="1" customHeight="1" spans="1:2">
      <c r="A83" s="158">
        <v>44602</v>
      </c>
      <c r="B83" s="108">
        <v>1643</v>
      </c>
    </row>
    <row r="84" s="89" customFormat="1" customHeight="1" spans="1:2">
      <c r="A84" s="158">
        <v>44609</v>
      </c>
      <c r="B84" s="108">
        <v>1643</v>
      </c>
    </row>
    <row r="85" s="110" customFormat="1" customHeight="1" spans="1:2">
      <c r="A85" s="158">
        <v>44616</v>
      </c>
      <c r="B85" s="108">
        <v>1635</v>
      </c>
    </row>
    <row r="86" s="110" customFormat="1" customHeight="1" spans="1:2">
      <c r="A86" s="158">
        <v>44623</v>
      </c>
      <c r="B86" s="108">
        <v>1635</v>
      </c>
    </row>
    <row r="87" s="110" customFormat="1" customHeight="1" spans="1:2">
      <c r="A87" s="158">
        <v>44630</v>
      </c>
      <c r="B87" s="108">
        <v>1635</v>
      </c>
    </row>
    <row r="88" s="110" customFormat="1" customHeight="1" spans="1:2">
      <c r="A88" s="158">
        <v>44637</v>
      </c>
      <c r="B88" s="108">
        <v>1635</v>
      </c>
    </row>
    <row r="89" s="110" customFormat="1" customHeight="1" spans="1:2">
      <c r="A89" s="158">
        <v>44644</v>
      </c>
      <c r="B89" s="108">
        <v>1635</v>
      </c>
    </row>
    <row r="90" s="91" customFormat="1" customHeight="1" spans="1:2">
      <c r="A90" s="158">
        <v>44651</v>
      </c>
      <c r="B90" s="108">
        <v>1623</v>
      </c>
    </row>
    <row r="91" s="91" customFormat="1" customHeight="1" spans="1:2">
      <c r="A91" s="158">
        <v>44658</v>
      </c>
      <c r="B91" s="108">
        <v>1623</v>
      </c>
    </row>
    <row r="92" s="91" customFormat="1" customHeight="1" spans="1:2">
      <c r="A92" s="158">
        <v>44665</v>
      </c>
      <c r="B92" s="108">
        <v>1611</v>
      </c>
    </row>
    <row r="93" s="91" customFormat="1" customHeight="1" spans="1:2">
      <c r="A93" s="158">
        <v>44672</v>
      </c>
      <c r="B93" s="108">
        <v>1633</v>
      </c>
    </row>
    <row r="94" s="91" customFormat="1" customHeight="1" spans="1:2">
      <c r="A94" s="158">
        <v>44679</v>
      </c>
      <c r="B94" s="108">
        <v>1668</v>
      </c>
    </row>
    <row r="95" s="91" customFormat="1" customHeight="1" spans="1:2">
      <c r="A95" s="158">
        <v>44686</v>
      </c>
      <c r="B95" s="108">
        <v>1722</v>
      </c>
    </row>
    <row r="96" s="91" customFormat="1" customHeight="1" spans="1:2">
      <c r="A96" s="158">
        <v>44693</v>
      </c>
      <c r="B96" s="108">
        <v>1764</v>
      </c>
    </row>
    <row r="97" s="91" customFormat="1" customHeight="1" spans="1:2">
      <c r="A97" s="158">
        <v>44700</v>
      </c>
      <c r="B97" s="108">
        <v>1800</v>
      </c>
    </row>
    <row r="98" s="91" customFormat="1" customHeight="1" spans="1:2">
      <c r="A98" s="158">
        <v>44707</v>
      </c>
      <c r="B98" s="108">
        <v>1833</v>
      </c>
    </row>
    <row r="99" s="91" customFormat="1" customHeight="1" spans="1:2">
      <c r="A99" s="158">
        <v>44714</v>
      </c>
      <c r="B99" s="108">
        <v>1835</v>
      </c>
    </row>
    <row r="100" s="91" customFormat="1" customHeight="1" spans="1:2">
      <c r="A100" s="158">
        <v>44721</v>
      </c>
      <c r="B100" s="108">
        <v>1829</v>
      </c>
    </row>
    <row r="101" s="91" customFormat="1" customHeight="1" spans="1:2">
      <c r="A101" s="158">
        <v>44728</v>
      </c>
      <c r="B101" s="108">
        <v>1819</v>
      </c>
    </row>
    <row r="102" s="91" customFormat="1" customHeight="1" spans="1:2">
      <c r="A102" s="158">
        <v>44735</v>
      </c>
      <c r="B102" s="108">
        <v>1804</v>
      </c>
    </row>
    <row r="103" s="91" customFormat="1" customHeight="1" spans="1:2">
      <c r="A103" s="158">
        <v>44742</v>
      </c>
      <c r="B103" s="108">
        <v>1804</v>
      </c>
    </row>
    <row r="104" s="91" customFormat="1" customHeight="1" spans="1:2">
      <c r="A104" s="158">
        <v>44749</v>
      </c>
      <c r="B104" s="108">
        <v>1829</v>
      </c>
    </row>
    <row r="105" s="91" customFormat="1" customHeight="1" spans="1:2">
      <c r="A105" s="158">
        <v>44756</v>
      </c>
      <c r="B105" s="108">
        <v>1840</v>
      </c>
    </row>
    <row r="106" s="91" customFormat="1" customHeight="1" spans="1:2">
      <c r="A106" s="158">
        <v>44763</v>
      </c>
      <c r="B106" s="108">
        <v>1881</v>
      </c>
    </row>
    <row r="107" s="91" customFormat="1" customHeight="1" spans="1:2">
      <c r="A107" s="158">
        <v>44770</v>
      </c>
      <c r="B107" s="108">
        <v>1888</v>
      </c>
    </row>
    <row r="108" customHeight="1" spans="1:2">
      <c r="A108" s="158">
        <v>44777</v>
      </c>
      <c r="B108" s="108">
        <v>1884</v>
      </c>
    </row>
    <row r="109" customHeight="1" spans="1:2">
      <c r="A109" s="158">
        <v>44784</v>
      </c>
      <c r="B109" s="108">
        <v>1848</v>
      </c>
    </row>
    <row r="110" customHeight="1" spans="1:2">
      <c r="A110" s="158">
        <v>44791</v>
      </c>
      <c r="B110" s="108">
        <v>1832</v>
      </c>
    </row>
    <row r="111" customHeight="1" spans="1:2">
      <c r="A111" s="158">
        <v>44798</v>
      </c>
      <c r="B111" s="108">
        <v>1808</v>
      </c>
    </row>
    <row r="112" customHeight="1" spans="1:2">
      <c r="A112" s="158">
        <v>44805</v>
      </c>
      <c r="B112" s="108">
        <v>1808</v>
      </c>
    </row>
    <row r="113" customHeight="1" spans="1:2">
      <c r="A113" s="158">
        <v>44812</v>
      </c>
      <c r="B113" s="108">
        <v>1794</v>
      </c>
    </row>
    <row r="114" customHeight="1" spans="1:2">
      <c r="A114" s="158">
        <v>44819</v>
      </c>
      <c r="B114" s="108">
        <v>1784</v>
      </c>
    </row>
    <row r="115" customHeight="1" spans="1:2">
      <c r="A115" s="158">
        <v>44826</v>
      </c>
      <c r="B115" s="108">
        <v>1778</v>
      </c>
    </row>
    <row r="116" customHeight="1" spans="1:2">
      <c r="A116" s="158">
        <v>44833</v>
      </c>
      <c r="B116" s="108">
        <v>1780</v>
      </c>
    </row>
    <row r="117" customHeight="1" spans="1:2">
      <c r="A117" s="158">
        <v>44842</v>
      </c>
      <c r="B117" s="108">
        <v>1781</v>
      </c>
    </row>
    <row r="118" customHeight="1" spans="1:2">
      <c r="A118" s="158">
        <v>44847</v>
      </c>
      <c r="B118" s="108">
        <v>1811</v>
      </c>
    </row>
    <row r="119" customHeight="1" spans="1:2">
      <c r="A119" s="158">
        <v>44854</v>
      </c>
      <c r="B119" s="108">
        <v>1827</v>
      </c>
    </row>
    <row r="120" customHeight="1" spans="1:2">
      <c r="A120" s="158">
        <v>44861</v>
      </c>
      <c r="B120" s="108">
        <v>1857</v>
      </c>
    </row>
    <row r="121" customHeight="1" spans="1:2">
      <c r="A121" s="158">
        <v>44868</v>
      </c>
      <c r="B121" s="108">
        <v>1852</v>
      </c>
    </row>
    <row r="122" customHeight="1" spans="1:2">
      <c r="A122" s="158">
        <v>44875</v>
      </c>
      <c r="B122" s="108">
        <v>1834</v>
      </c>
    </row>
    <row r="123" customHeight="1" spans="1:2">
      <c r="A123" s="158">
        <v>44882</v>
      </c>
      <c r="B123" s="108">
        <v>1815</v>
      </c>
    </row>
    <row r="124" customHeight="1" spans="1:2">
      <c r="A124" s="158">
        <v>44889</v>
      </c>
      <c r="B124" s="108">
        <v>1796</v>
      </c>
    </row>
    <row r="125" customHeight="1" spans="1:2">
      <c r="A125" s="158">
        <v>44896</v>
      </c>
      <c r="B125" s="108">
        <v>1792</v>
      </c>
    </row>
    <row r="126" customHeight="1" spans="1:2">
      <c r="A126" s="158">
        <v>44903</v>
      </c>
      <c r="B126" s="108">
        <v>1771</v>
      </c>
    </row>
    <row r="127" customHeight="1" spans="1:2">
      <c r="A127" s="158">
        <v>44910</v>
      </c>
      <c r="B127" s="108">
        <v>1767</v>
      </c>
    </row>
    <row r="128" customHeight="1" spans="1:2">
      <c r="A128" s="158">
        <v>44917</v>
      </c>
      <c r="B128" s="108">
        <v>1746</v>
      </c>
    </row>
    <row r="129" customHeight="1" spans="1:2">
      <c r="A129" s="158">
        <v>44924</v>
      </c>
      <c r="B129" s="108">
        <v>1715</v>
      </c>
    </row>
    <row r="130" customHeight="1" spans="1:2">
      <c r="A130" s="158">
        <v>44931</v>
      </c>
      <c r="B130" s="226">
        <v>1687</v>
      </c>
    </row>
    <row r="131" customHeight="1" spans="1:2">
      <c r="A131" s="158">
        <v>44938</v>
      </c>
      <c r="B131" s="154">
        <v>1644</v>
      </c>
    </row>
    <row r="132" customHeight="1" spans="1:2">
      <c r="A132" s="158">
        <v>44959</v>
      </c>
      <c r="B132" s="154">
        <v>1599</v>
      </c>
    </row>
    <row r="133" customHeight="1" spans="1:2">
      <c r="A133" s="158">
        <v>44966</v>
      </c>
      <c r="B133" s="154">
        <v>1574</v>
      </c>
    </row>
    <row r="134" customHeight="1" spans="1:2">
      <c r="A134" s="158">
        <v>44973</v>
      </c>
      <c r="B134" s="154">
        <v>1599</v>
      </c>
    </row>
    <row r="135" customHeight="1" spans="1:2">
      <c r="A135" s="158">
        <v>44980</v>
      </c>
      <c r="B135" s="154">
        <v>1632</v>
      </c>
    </row>
    <row r="136" customHeight="1" spans="1:2">
      <c r="A136" s="158">
        <v>44987</v>
      </c>
      <c r="B136" s="154">
        <v>1655</v>
      </c>
    </row>
    <row r="137" customHeight="1" spans="1:2">
      <c r="A137" s="158">
        <v>44994</v>
      </c>
      <c r="B137" s="154">
        <v>1655</v>
      </c>
    </row>
    <row r="138" customHeight="1" spans="1:2">
      <c r="A138" s="158">
        <v>45001</v>
      </c>
      <c r="B138" s="154">
        <v>1648</v>
      </c>
    </row>
    <row r="139" customHeight="1" spans="1:2">
      <c r="A139" s="158">
        <v>45008</v>
      </c>
      <c r="B139" s="154">
        <v>1630</v>
      </c>
    </row>
    <row r="140" customHeight="1" spans="1:2">
      <c r="A140" s="158">
        <v>45015</v>
      </c>
      <c r="B140" s="154">
        <v>1627</v>
      </c>
    </row>
    <row r="141" customHeight="1" spans="1:2">
      <c r="A141" s="158">
        <v>45022</v>
      </c>
      <c r="B141" s="154">
        <v>1626</v>
      </c>
    </row>
    <row r="142" customHeight="1" spans="1:2">
      <c r="A142" s="158">
        <v>45029</v>
      </c>
      <c r="B142" s="154">
        <v>1625</v>
      </c>
    </row>
    <row r="143" customHeight="1" spans="1:2">
      <c r="A143" s="158">
        <v>45036</v>
      </c>
      <c r="B143" s="154">
        <v>1624</v>
      </c>
    </row>
    <row r="144" customHeight="1" spans="1:2">
      <c r="A144" s="158">
        <v>45043</v>
      </c>
      <c r="B144" s="154">
        <v>1624</v>
      </c>
    </row>
    <row r="145" customHeight="1" spans="1:2">
      <c r="A145" s="158">
        <v>45050</v>
      </c>
      <c r="B145" s="154">
        <v>1624</v>
      </c>
    </row>
    <row r="146" customHeight="1" spans="1:2">
      <c r="A146" s="158">
        <v>45057</v>
      </c>
      <c r="B146" s="154">
        <v>1624</v>
      </c>
    </row>
    <row r="147" customHeight="1" spans="1:2">
      <c r="A147" s="158">
        <v>45064</v>
      </c>
      <c r="B147" s="154">
        <v>1624</v>
      </c>
    </row>
    <row r="148" customHeight="1" spans="1:2">
      <c r="A148" s="158">
        <v>45071</v>
      </c>
      <c r="B148" s="154">
        <v>1624</v>
      </c>
    </row>
    <row r="149" customHeight="1" spans="1:2">
      <c r="A149" s="158">
        <v>45078</v>
      </c>
      <c r="B149" s="154">
        <v>1624</v>
      </c>
    </row>
    <row r="150" customHeight="1" spans="1:2">
      <c r="A150" s="158">
        <v>45085</v>
      </c>
      <c r="B150" s="154">
        <v>1621</v>
      </c>
    </row>
    <row r="151" customHeight="1" spans="1:2">
      <c r="A151" s="158">
        <v>45092</v>
      </c>
      <c r="B151" s="154">
        <v>1619</v>
      </c>
    </row>
    <row r="152" customHeight="1" spans="1:2">
      <c r="A152" s="158">
        <v>45098</v>
      </c>
      <c r="B152" s="154">
        <v>1611</v>
      </c>
    </row>
    <row r="153" customHeight="1" spans="1:2">
      <c r="A153" s="158">
        <v>45106</v>
      </c>
      <c r="B153" s="154">
        <v>1602</v>
      </c>
    </row>
    <row r="154" customHeight="1" spans="1:2">
      <c r="A154" s="158">
        <v>45113</v>
      </c>
      <c r="B154" s="154">
        <v>1595</v>
      </c>
    </row>
    <row r="155" customHeight="1" spans="1:2">
      <c r="A155" s="158">
        <v>45120</v>
      </c>
      <c r="B155" s="154">
        <v>1589</v>
      </c>
    </row>
    <row r="156" customHeight="1" spans="1:2">
      <c r="A156" s="158">
        <v>45127</v>
      </c>
      <c r="B156" s="154">
        <v>1574</v>
      </c>
    </row>
    <row r="157" customHeight="1" spans="1:2">
      <c r="A157" s="158">
        <v>45134</v>
      </c>
      <c r="B157" s="154">
        <v>1571</v>
      </c>
    </row>
    <row r="158" customHeight="1" spans="1:2">
      <c r="A158" s="158">
        <v>45141</v>
      </c>
      <c r="B158" s="154">
        <v>1613</v>
      </c>
    </row>
    <row r="159" customHeight="1" spans="1:2">
      <c r="A159" s="158">
        <v>45148</v>
      </c>
      <c r="B159" s="154">
        <v>1631</v>
      </c>
    </row>
    <row r="160" customHeight="1" spans="1:2">
      <c r="A160" s="158">
        <v>45155</v>
      </c>
      <c r="B160" s="154">
        <v>1633</v>
      </c>
    </row>
    <row r="161" customHeight="1" spans="1:2">
      <c r="A161" s="158">
        <v>45162</v>
      </c>
      <c r="B161" s="154">
        <v>1633</v>
      </c>
    </row>
    <row r="162" customHeight="1" spans="1:2">
      <c r="A162" s="158">
        <v>45169</v>
      </c>
      <c r="B162" s="154">
        <v>1629</v>
      </c>
    </row>
    <row r="163" customHeight="1" spans="1:2">
      <c r="A163" s="158">
        <v>45176</v>
      </c>
      <c r="B163" s="154">
        <v>1616</v>
      </c>
    </row>
    <row r="164" customHeight="1" spans="1:2">
      <c r="A164" s="158">
        <v>45183</v>
      </c>
      <c r="B164" s="154">
        <v>1603</v>
      </c>
    </row>
    <row r="165" customHeight="1" spans="1:2">
      <c r="A165" s="158">
        <v>45190</v>
      </c>
      <c r="B165" s="154">
        <v>1581</v>
      </c>
    </row>
    <row r="166" customHeight="1" spans="1:2">
      <c r="A166" s="158">
        <v>45197</v>
      </c>
      <c r="B166" s="154">
        <v>1569</v>
      </c>
    </row>
    <row r="167" customHeight="1" spans="1:2">
      <c r="A167" s="158">
        <v>45205</v>
      </c>
      <c r="B167" s="154">
        <v>1564</v>
      </c>
    </row>
    <row r="168" customHeight="1" spans="1:2">
      <c r="A168" s="158">
        <v>45211</v>
      </c>
      <c r="B168" s="154">
        <v>1546</v>
      </c>
    </row>
    <row r="169" customHeight="1" spans="1:2">
      <c r="A169" s="158">
        <v>45218</v>
      </c>
      <c r="B169" s="154">
        <v>1535</v>
      </c>
    </row>
    <row r="170" customHeight="1" spans="1:2">
      <c r="A170" s="158">
        <v>45225</v>
      </c>
      <c r="B170" s="154">
        <v>1535</v>
      </c>
    </row>
    <row r="171" customHeight="1" spans="1:2">
      <c r="A171" s="158">
        <v>45232</v>
      </c>
      <c r="B171" s="154">
        <v>1535</v>
      </c>
    </row>
    <row r="172" customHeight="1" spans="1:2">
      <c r="A172" s="158">
        <v>45239</v>
      </c>
      <c r="B172" s="154">
        <v>1535</v>
      </c>
    </row>
    <row r="173" customHeight="1" spans="1:2">
      <c r="A173" s="158">
        <v>45246</v>
      </c>
      <c r="B173" s="154">
        <v>1535</v>
      </c>
    </row>
    <row r="174" customHeight="1" spans="1:2">
      <c r="A174" s="158">
        <v>45253</v>
      </c>
      <c r="B174" s="154">
        <v>1535</v>
      </c>
    </row>
    <row r="175" customHeight="1" spans="1:2">
      <c r="A175" s="158">
        <v>45260</v>
      </c>
      <c r="B175" s="154">
        <v>1539</v>
      </c>
    </row>
    <row r="176" customHeight="1" spans="1:2">
      <c r="A176" s="158">
        <v>45267</v>
      </c>
      <c r="B176" s="154">
        <v>1541</v>
      </c>
    </row>
    <row r="177" customHeight="1" spans="1:2">
      <c r="A177" s="158">
        <v>45274</v>
      </c>
      <c r="B177" s="154">
        <v>1541</v>
      </c>
    </row>
    <row r="178" customHeight="1" spans="1:2">
      <c r="A178" s="158">
        <v>45281</v>
      </c>
      <c r="B178" s="154">
        <v>1538</v>
      </c>
    </row>
    <row r="179" customHeight="1" spans="1:2">
      <c r="A179" s="158">
        <v>45288</v>
      </c>
      <c r="B179" s="154">
        <v>1538</v>
      </c>
    </row>
    <row r="180" customHeight="1" spans="1:2">
      <c r="A180" s="158">
        <v>45295</v>
      </c>
      <c r="B180" s="154">
        <v>1538</v>
      </c>
    </row>
    <row r="181" customHeight="1" spans="1:2">
      <c r="A181" s="158">
        <v>45302</v>
      </c>
      <c r="B181" s="154">
        <v>1538</v>
      </c>
    </row>
    <row r="182" customHeight="1" spans="1:2">
      <c r="A182" s="158">
        <v>45309</v>
      </c>
      <c r="B182" s="154">
        <v>1538</v>
      </c>
    </row>
    <row r="183" customHeight="1" spans="1:2">
      <c r="A183" s="158">
        <v>45316</v>
      </c>
      <c r="B183" s="154">
        <v>1538</v>
      </c>
    </row>
    <row r="184" customHeight="1" spans="1:2">
      <c r="A184" s="158">
        <v>45323</v>
      </c>
      <c r="B184" s="154">
        <v>1538</v>
      </c>
    </row>
    <row r="185" customHeight="1" spans="1:2">
      <c r="A185" s="158">
        <v>45344</v>
      </c>
      <c r="B185" s="154">
        <v>1541</v>
      </c>
    </row>
    <row r="186" customHeight="1" spans="1:2">
      <c r="A186" s="158">
        <v>45351</v>
      </c>
      <c r="B186" s="154">
        <v>1541</v>
      </c>
    </row>
    <row r="187" customHeight="1" spans="1:2">
      <c r="A187" s="158">
        <v>45358</v>
      </c>
      <c r="B187" s="154">
        <v>1541</v>
      </c>
    </row>
    <row r="188" customHeight="1" spans="1:2">
      <c r="A188" s="158">
        <v>45365</v>
      </c>
      <c r="B188" s="154">
        <v>1543</v>
      </c>
    </row>
    <row r="189" customHeight="1" spans="1:2">
      <c r="A189" s="158">
        <v>45372</v>
      </c>
      <c r="B189" s="154">
        <v>1554</v>
      </c>
    </row>
    <row r="190" customHeight="1" spans="1:2">
      <c r="A190" s="158">
        <v>45379</v>
      </c>
      <c r="B190" s="154">
        <v>1574</v>
      </c>
    </row>
    <row r="191" customHeight="1" spans="1:2">
      <c r="A191" s="158">
        <v>45385</v>
      </c>
      <c r="B191" s="154">
        <v>1577</v>
      </c>
    </row>
    <row r="192" customHeight="1" spans="1:2">
      <c r="A192" s="158">
        <v>45393</v>
      </c>
      <c r="B192" s="154">
        <v>1577</v>
      </c>
    </row>
    <row r="193" customHeight="1" spans="1:2">
      <c r="A193" s="158">
        <v>45400</v>
      </c>
      <c r="B193" s="154">
        <v>1577</v>
      </c>
    </row>
    <row r="194" customHeight="1" spans="1:2">
      <c r="A194" s="158">
        <v>45407</v>
      </c>
      <c r="B194" s="154">
        <v>1577</v>
      </c>
    </row>
    <row r="195" customHeight="1" spans="1:2">
      <c r="A195" s="158">
        <v>45414</v>
      </c>
      <c r="B195" s="154">
        <v>1577</v>
      </c>
    </row>
    <row r="196" customHeight="1" spans="1:2">
      <c r="A196" s="158">
        <v>45421</v>
      </c>
      <c r="B196" s="154">
        <v>1576</v>
      </c>
    </row>
    <row r="197" customHeight="1" spans="1:2">
      <c r="A197" s="158">
        <v>45428</v>
      </c>
      <c r="B197" s="154">
        <v>1576</v>
      </c>
    </row>
    <row r="198" customHeight="1" spans="1:2">
      <c r="A198" s="158">
        <v>45435</v>
      </c>
      <c r="B198" s="154">
        <v>1576</v>
      </c>
    </row>
    <row r="199" customHeight="1" spans="1:2">
      <c r="A199" s="158">
        <v>45442</v>
      </c>
      <c r="B199" s="154">
        <v>1594</v>
      </c>
    </row>
    <row r="200" customHeight="1" spans="1:2">
      <c r="A200" s="158">
        <v>45449</v>
      </c>
      <c r="B200" s="154">
        <v>1625</v>
      </c>
    </row>
    <row r="201" customHeight="1" spans="1:2">
      <c r="A201" s="158">
        <v>45456</v>
      </c>
      <c r="B201" s="154">
        <v>1627</v>
      </c>
    </row>
    <row r="202" customHeight="1" spans="1:2">
      <c r="A202" s="158">
        <v>45463</v>
      </c>
      <c r="B202" s="154">
        <v>1624</v>
      </c>
    </row>
    <row r="203" customHeight="1" spans="1:2">
      <c r="A203" s="158">
        <v>45470</v>
      </c>
      <c r="B203" s="154">
        <v>1620</v>
      </c>
    </row>
    <row r="204" customHeight="1" spans="1:2">
      <c r="A204" s="158">
        <v>45477</v>
      </c>
      <c r="B204" s="154">
        <v>1620</v>
      </c>
    </row>
    <row r="205" customHeight="1" spans="1:2">
      <c r="A205" s="158">
        <v>45484</v>
      </c>
      <c r="B205" s="154">
        <v>1622</v>
      </c>
    </row>
    <row r="206" customHeight="1" spans="1:2">
      <c r="A206" s="158">
        <v>45491</v>
      </c>
      <c r="B206" s="154">
        <v>1631</v>
      </c>
    </row>
    <row r="207" customHeight="1" spans="1:2">
      <c r="A207" s="158">
        <v>45498</v>
      </c>
      <c r="B207" s="154">
        <v>1632</v>
      </c>
    </row>
    <row r="208" customHeight="1" spans="1:2">
      <c r="A208" s="158">
        <v>45505</v>
      </c>
      <c r="B208" s="154">
        <v>1638</v>
      </c>
    </row>
    <row r="209" customHeight="1" spans="1:2">
      <c r="A209" s="158">
        <v>45512</v>
      </c>
      <c r="B209" s="154">
        <v>1642</v>
      </c>
    </row>
    <row r="210" customHeight="1" spans="1:2">
      <c r="A210" s="158">
        <v>45519</v>
      </c>
      <c r="B210" s="154">
        <v>1662</v>
      </c>
    </row>
    <row r="211" customHeight="1" spans="1:2">
      <c r="A211" s="158">
        <v>45526</v>
      </c>
      <c r="B211" s="154">
        <v>1662</v>
      </c>
    </row>
    <row r="212" customHeight="1" spans="1:2">
      <c r="A212" s="158">
        <v>45533</v>
      </c>
      <c r="B212" s="154">
        <v>1662</v>
      </c>
    </row>
    <row r="213" customHeight="1" spans="1:2">
      <c r="A213" s="158">
        <v>45540</v>
      </c>
      <c r="B213" s="154">
        <v>1656</v>
      </c>
    </row>
    <row r="214" customHeight="1" spans="1:2">
      <c r="A214" s="158">
        <v>45547</v>
      </c>
      <c r="B214" s="154">
        <v>1651</v>
      </c>
    </row>
    <row r="215" customHeight="1" spans="1:2">
      <c r="A215" s="158">
        <v>45554</v>
      </c>
      <c r="B215" s="154">
        <v>1651</v>
      </c>
    </row>
    <row r="216" customHeight="1" spans="1:2">
      <c r="A216" s="158">
        <v>45561</v>
      </c>
      <c r="B216" s="154">
        <v>1646</v>
      </c>
    </row>
    <row r="217" customHeight="1" spans="1:2">
      <c r="A217" s="158">
        <v>45575</v>
      </c>
      <c r="B217" s="154">
        <v>1629</v>
      </c>
    </row>
    <row r="218" customHeight="1" spans="1:2">
      <c r="A218" s="158">
        <v>45582</v>
      </c>
      <c r="B218" s="154">
        <v>1629</v>
      </c>
    </row>
    <row r="219" customHeight="1" spans="1:2">
      <c r="A219" s="158">
        <v>45589</v>
      </c>
      <c r="B219" s="154">
        <v>1629</v>
      </c>
    </row>
    <row r="220" customHeight="1" spans="1:2">
      <c r="A220" s="158">
        <v>45596</v>
      </c>
      <c r="B220" s="154">
        <v>1629</v>
      </c>
    </row>
    <row r="221" customHeight="1" spans="1:2">
      <c r="A221" s="158">
        <v>45603</v>
      </c>
      <c r="B221" s="154">
        <v>1627</v>
      </c>
    </row>
    <row r="222" customHeight="1" spans="1:2">
      <c r="A222" s="158">
        <v>45610</v>
      </c>
      <c r="B222" s="154">
        <v>1626</v>
      </c>
    </row>
    <row r="223" customHeight="1" spans="1:2">
      <c r="A223" s="158">
        <v>45617</v>
      </c>
      <c r="B223" s="154">
        <v>1626</v>
      </c>
    </row>
    <row r="224" customHeight="1" spans="1:2">
      <c r="A224" s="158">
        <v>45624</v>
      </c>
      <c r="B224" s="154">
        <v>1626</v>
      </c>
    </row>
    <row r="225" customHeight="1" spans="1:2">
      <c r="A225" s="158">
        <v>45631</v>
      </c>
      <c r="B225" s="154">
        <v>1620</v>
      </c>
    </row>
    <row r="226" customHeight="1" spans="1:2">
      <c r="A226" s="158">
        <v>45638</v>
      </c>
      <c r="B226" s="154">
        <v>1619</v>
      </c>
    </row>
    <row r="227" customHeight="1" spans="1:2">
      <c r="A227" s="158">
        <v>45645</v>
      </c>
      <c r="B227" s="154">
        <v>1618</v>
      </c>
    </row>
    <row r="228" customHeight="1" spans="1:2">
      <c r="A228" s="158">
        <v>45652</v>
      </c>
      <c r="B228" s="154">
        <v>1618</v>
      </c>
    </row>
    <row r="229" customHeight="1" spans="1:2">
      <c r="A229" s="158">
        <v>45659</v>
      </c>
      <c r="B229" s="154">
        <v>1629</v>
      </c>
    </row>
    <row r="230" customHeight="1" spans="1:2">
      <c r="A230" s="158">
        <v>45666</v>
      </c>
      <c r="B230" s="154">
        <v>1636</v>
      </c>
    </row>
    <row r="231" customHeight="1" spans="1:2">
      <c r="A231" s="158">
        <v>45673</v>
      </c>
      <c r="B231" s="154">
        <v>1640</v>
      </c>
    </row>
    <row r="232" customHeight="1" spans="1:2">
      <c r="A232" s="158">
        <v>45680</v>
      </c>
      <c r="B232" s="154">
        <v>1642</v>
      </c>
    </row>
    <row r="233" customHeight="1" spans="1:2">
      <c r="A233" s="158">
        <v>45694</v>
      </c>
      <c r="B233" s="154">
        <v>1642</v>
      </c>
    </row>
    <row r="234" customHeight="1" spans="1:2">
      <c r="A234" s="158">
        <v>45701</v>
      </c>
      <c r="B234" s="154">
        <v>1642</v>
      </c>
    </row>
    <row r="235" customHeight="1" spans="1:2">
      <c r="A235" s="158">
        <v>45708</v>
      </c>
      <c r="B235" s="154">
        <v>1642</v>
      </c>
    </row>
    <row r="236" customHeight="1" spans="1:2">
      <c r="A236" s="158">
        <v>45715</v>
      </c>
      <c r="B236" s="154">
        <v>1635</v>
      </c>
    </row>
    <row r="237" customHeight="1" spans="1:2">
      <c r="A237" s="158">
        <v>45722</v>
      </c>
      <c r="B237" s="154">
        <v>1635</v>
      </c>
    </row>
    <row r="238" customHeight="1" spans="1:2">
      <c r="A238" s="158">
        <v>45729</v>
      </c>
      <c r="B238" s="154">
        <v>1635</v>
      </c>
    </row>
    <row r="239" customHeight="1" spans="1:2">
      <c r="A239" s="158">
        <v>45736</v>
      </c>
      <c r="B239" s="154">
        <v>1635</v>
      </c>
    </row>
    <row r="240" customHeight="1" spans="1:2">
      <c r="A240" s="158">
        <v>45743</v>
      </c>
      <c r="B240" s="154">
        <v>1635</v>
      </c>
    </row>
    <row r="241" customHeight="1" spans="1:2">
      <c r="A241" s="158">
        <v>45750</v>
      </c>
      <c r="B241" s="154">
        <v>1635</v>
      </c>
    </row>
    <row r="242" customHeight="1" spans="1:2">
      <c r="A242" s="158">
        <v>45757</v>
      </c>
      <c r="B242" s="154">
        <v>1635</v>
      </c>
    </row>
    <row r="243" customHeight="1" spans="1:2">
      <c r="A243" s="158">
        <v>45764</v>
      </c>
      <c r="B243" s="154">
        <v>1635</v>
      </c>
    </row>
    <row r="244" customHeight="1" spans="1:2">
      <c r="A244" s="158">
        <v>45771</v>
      </c>
      <c r="B244" s="154">
        <v>1635</v>
      </c>
    </row>
    <row r="245" customHeight="1" spans="1:2">
      <c r="A245" s="158">
        <v>45777</v>
      </c>
      <c r="B245" s="154">
        <v>1635</v>
      </c>
    </row>
    <row r="246" customHeight="1" spans="1:2">
      <c r="A246" s="158">
        <v>45785</v>
      </c>
      <c r="B246" s="154">
        <v>1631</v>
      </c>
    </row>
    <row r="247" customHeight="1" spans="1:2">
      <c r="A247" s="158">
        <v>45792</v>
      </c>
      <c r="B247" s="154">
        <v>1631</v>
      </c>
    </row>
    <row r="248" customHeight="1" spans="1:2">
      <c r="A248" s="158">
        <v>45799</v>
      </c>
      <c r="B248" s="154">
        <v>1631</v>
      </c>
    </row>
    <row r="249" customHeight="1" spans="1:2">
      <c r="A249" s="158">
        <v>45806</v>
      </c>
      <c r="B249" s="154">
        <v>1627</v>
      </c>
    </row>
    <row r="250" customHeight="1" spans="1:2">
      <c r="A250" s="158">
        <v>45813</v>
      </c>
      <c r="B250" s="154">
        <v>1626</v>
      </c>
    </row>
    <row r="251" customHeight="1" spans="1:2">
      <c r="A251" s="158">
        <v>45820</v>
      </c>
      <c r="B251" s="154">
        <v>1621</v>
      </c>
    </row>
    <row r="252" customHeight="1" spans="1:2">
      <c r="A252" s="158">
        <v>45827</v>
      </c>
      <c r="B252" s="154">
        <v>1621</v>
      </c>
    </row>
    <row r="253" customHeight="1" spans="1:2">
      <c r="A253" s="158">
        <v>45834</v>
      </c>
      <c r="B253" s="154">
        <v>1623</v>
      </c>
    </row>
    <row r="254" customHeight="1" spans="1:2">
      <c r="A254" s="158">
        <v>45841</v>
      </c>
      <c r="B254" s="154">
        <v>1623</v>
      </c>
    </row>
    <row r="255" customHeight="1" spans="1:2">
      <c r="A255" s="158">
        <v>45848</v>
      </c>
      <c r="B255" s="154">
        <v>1623</v>
      </c>
    </row>
    <row r="256" customHeight="1" spans="1:2">
      <c r="A256" s="158">
        <v>45855</v>
      </c>
      <c r="B256" s="154">
        <v>1628</v>
      </c>
    </row>
    <row r="257" customHeight="1" spans="1:2">
      <c r="A257" s="158">
        <v>45862</v>
      </c>
      <c r="B257" s="154">
        <v>1628</v>
      </c>
    </row>
    <row r="258" customHeight="1" spans="1:2">
      <c r="A258" s="158">
        <v>45869</v>
      </c>
      <c r="B258" s="154">
        <v>1628</v>
      </c>
    </row>
    <row r="259" customHeight="1" spans="1:2">
      <c r="A259" s="158">
        <v>45876</v>
      </c>
      <c r="B259" s="154">
        <v>1614</v>
      </c>
    </row>
    <row r="260" customHeight="1" spans="1:2">
      <c r="A260" s="158">
        <v>45883</v>
      </c>
      <c r="B260" s="154">
        <v>1611</v>
      </c>
    </row>
    <row r="261" customHeight="1" spans="1:2">
      <c r="A261" s="158">
        <v>45890</v>
      </c>
      <c r="B261" s="154">
        <v>1611</v>
      </c>
    </row>
    <row r="262" customHeight="1" spans="1:2">
      <c r="A262" s="158">
        <v>45897</v>
      </c>
      <c r="B262" s="154">
        <v>1600</v>
      </c>
    </row>
    <row r="263" customHeight="1" spans="1:2">
      <c r="A263" s="158">
        <v>45904</v>
      </c>
      <c r="B263" s="154">
        <v>1596</v>
      </c>
    </row>
    <row r="264" customHeight="1" spans="1:2">
      <c r="A264" s="158">
        <v>45911</v>
      </c>
      <c r="B264" s="154">
        <v>1595</v>
      </c>
    </row>
    <row r="265" customHeight="1" spans="1:2">
      <c r="A265" s="158">
        <v>45918</v>
      </c>
      <c r="B265" s="154">
        <v>1590</v>
      </c>
    </row>
    <row r="266" customHeight="1" spans="1:2">
      <c r="A266" s="158">
        <v>45925</v>
      </c>
      <c r="B266" s="154">
        <v>1590</v>
      </c>
    </row>
    <row r="267" customHeight="1" spans="1:2">
      <c r="A267" s="158">
        <v>45939</v>
      </c>
      <c r="B267" s="154">
        <v>1566</v>
      </c>
    </row>
    <row r="268" customHeight="1" spans="1:2">
      <c r="A268" s="158">
        <v>45946</v>
      </c>
      <c r="B268" s="154">
        <v>1547</v>
      </c>
    </row>
    <row r="269" customHeight="1" spans="1:2">
      <c r="A269" s="158">
        <v>45953</v>
      </c>
      <c r="B269" s="154">
        <v>1546</v>
      </c>
    </row>
    <row r="270" customHeight="1" spans="1:2">
      <c r="A270" s="158">
        <v>45960</v>
      </c>
      <c r="B270" s="154">
        <v>1546</v>
      </c>
    </row>
    <row r="271" customHeight="1" spans="1:2">
      <c r="A271" s="158">
        <v>45967</v>
      </c>
      <c r="B271" s="154">
        <v>1548</v>
      </c>
    </row>
    <row r="272" customHeight="1" spans="1:2">
      <c r="A272" s="158">
        <v>45974</v>
      </c>
      <c r="B272" s="154">
        <v>1548</v>
      </c>
    </row>
    <row r="273" customHeight="1" spans="1:2">
      <c r="A273" s="158">
        <v>45981</v>
      </c>
      <c r="B273" s="154">
        <v>1548</v>
      </c>
    </row>
    <row r="274" customHeight="1" spans="1:2">
      <c r="A274" s="158">
        <v>45988</v>
      </c>
      <c r="B274" s="154">
        <v>1548</v>
      </c>
    </row>
    <row r="275" customHeight="1" spans="1:2">
      <c r="A275" s="158">
        <v>45995</v>
      </c>
      <c r="B275" s="154">
        <v>1546</v>
      </c>
    </row>
    <row r="276" customHeight="1" spans="1:2">
      <c r="A276" s="158">
        <v>46002</v>
      </c>
      <c r="B276" s="154">
        <v>1546</v>
      </c>
    </row>
    <row r="277" customHeight="1" spans="1:2">
      <c r="A277" s="158">
        <v>46009</v>
      </c>
      <c r="B277" s="154">
        <v>1546</v>
      </c>
    </row>
    <row r="278" customHeight="1" spans="1:2">
      <c r="A278" s="158">
        <v>46016</v>
      </c>
      <c r="B278" s="154">
        <v>1546</v>
      </c>
    </row>
    <row r="279" customHeight="1" spans="1:2">
      <c r="A279" s="158">
        <v>46023</v>
      </c>
      <c r="B279" s="154">
        <v>1553</v>
      </c>
    </row>
    <row r="280" customHeight="1" spans="1:2">
      <c r="A280" s="158">
        <v>46030</v>
      </c>
      <c r="B280" s="154">
        <v>1556</v>
      </c>
    </row>
    <row r="281" customHeight="1" spans="1:2">
      <c r="A281" s="158">
        <v>46037</v>
      </c>
      <c r="B281" s="154">
        <v>1559</v>
      </c>
    </row>
    <row r="282" customHeight="1" spans="1:2">
      <c r="A282" s="158">
        <v>46044</v>
      </c>
      <c r="B282" s="154">
        <v>1559</v>
      </c>
    </row>
    <row r="283" customHeight="1" spans="1:2">
      <c r="A283" s="158">
        <v>46051</v>
      </c>
      <c r="B283" s="154">
        <v>1559</v>
      </c>
    </row>
    <row r="284" customHeight="1" spans="1:2">
      <c r="A284" s="158">
        <v>46058</v>
      </c>
      <c r="B284" s="154">
        <v>1559</v>
      </c>
    </row>
    <row r="285" customHeight="1" spans="1:2">
      <c r="A285" s="158">
        <v>46065</v>
      </c>
      <c r="B285" s="154">
        <v>1559</v>
      </c>
    </row>
    <row r="286" customHeight="1" spans="1:2">
      <c r="A286" s="158">
        <v>46079</v>
      </c>
      <c r="B286" s="154">
        <v>1559</v>
      </c>
    </row>
    <row r="287" customHeight="1" spans="1:2">
      <c r="A287" s="158">
        <v>46086</v>
      </c>
      <c r="B287" s="154">
        <v>1559</v>
      </c>
    </row>
    <row r="288" customHeight="1" spans="1:2">
      <c r="A288" s="158">
        <v>46093</v>
      </c>
      <c r="B288" s="154">
        <v>1541</v>
      </c>
    </row>
    <row r="289" customHeight="1" spans="1:2">
      <c r="A289" s="158">
        <v>46100</v>
      </c>
      <c r="B289" s="154">
        <v>1536</v>
      </c>
    </row>
    <row r="290" customHeight="1" spans="1:2">
      <c r="A290" s="158">
        <v>46107</v>
      </c>
      <c r="B290" s="154">
        <v>1514</v>
      </c>
    </row>
    <row r="291" customHeight="1" spans="1:2">
      <c r="A291" s="158">
        <v>46114</v>
      </c>
      <c r="B291" s="154">
        <v>1408</v>
      </c>
    </row>
    <row r="292" customHeight="1" spans="1:2">
      <c r="A292" s="158">
        <v>46121</v>
      </c>
      <c r="B292" s="154">
        <v>1404</v>
      </c>
    </row>
    <row r="293" customHeight="1" spans="1:2">
      <c r="A293" s="158">
        <v>46128</v>
      </c>
      <c r="B293" s="154">
        <v>1404</v>
      </c>
    </row>
    <row r="294" customHeight="1" spans="1:2">
      <c r="A294" s="158">
        <v>46135</v>
      </c>
      <c r="B294" s="154">
        <v>1404</v>
      </c>
    </row>
    <row r="295" customHeight="1" spans="1:2">
      <c r="A295" s="158">
        <v>46142</v>
      </c>
      <c r="B295" s="154">
        <v>1406</v>
      </c>
    </row>
    <row r="296" customHeight="1" spans="1:2">
      <c r="A296" s="158">
        <v>46149</v>
      </c>
      <c r="B296" s="154">
        <v>1407</v>
      </c>
    </row>
    <row r="297" customHeight="1" spans="1:2">
      <c r="A297" s="158">
        <v>46156</v>
      </c>
      <c r="B297" s="154">
        <v>1407</v>
      </c>
    </row>
    <row r="298" customHeight="1" spans="1:2">
      <c r="A298" s="158">
        <v>46163</v>
      </c>
      <c r="B298" s="154">
        <v>1407</v>
      </c>
    </row>
    <row r="299" customHeight="1" spans="1:2">
      <c r="A299" s="158">
        <v>46170</v>
      </c>
      <c r="B299" s="154">
        <v>1407</v>
      </c>
    </row>
    <row r="300" customHeight="1" spans="1:2">
      <c r="A300" s="158">
        <v>46177</v>
      </c>
      <c r="B300" s="154">
        <v>1407</v>
      </c>
    </row>
    <row r="301" customHeight="1" spans="1:2">
      <c r="A301" s="158">
        <v>46184</v>
      </c>
      <c r="B301" s="154">
        <v>1364</v>
      </c>
    </row>
    <row r="302" customHeight="1" spans="1:2">
      <c r="A302" s="158">
        <v>46191</v>
      </c>
      <c r="B302" s="154">
        <v>1319</v>
      </c>
    </row>
    <row r="303" customHeight="1" spans="1:2">
      <c r="A303" s="158">
        <v>46198</v>
      </c>
      <c r="B303" s="154">
        <v>1311</v>
      </c>
    </row>
    <row r="304" customHeight="1" spans="1:2">
      <c r="A304" s="158">
        <v>46205</v>
      </c>
      <c r="B304" s="154">
        <v>1312</v>
      </c>
    </row>
    <row r="305" customHeight="1" spans="1:2">
      <c r="A305" s="158">
        <v>46212</v>
      </c>
      <c r="B305" s="154">
        <v>1318</v>
      </c>
    </row>
    <row r="306" customHeight="1" spans="1:2">
      <c r="A306" s="158">
        <v>46219</v>
      </c>
      <c r="B306" s="154">
        <v>1331</v>
      </c>
    </row>
    <row r="307" customHeight="1" spans="1:2">
      <c r="A307" s="158">
        <v>46226</v>
      </c>
      <c r="B307" s="154">
        <v>1331</v>
      </c>
    </row>
    <row r="308" customHeight="1" spans="1:2">
      <c r="A308" s="158">
        <v>46233</v>
      </c>
      <c r="B308" s="154">
        <v>1331</v>
      </c>
    </row>
    <row r="309" customHeight="1" spans="1:2">
      <c r="A309" s="158">
        <v>46240</v>
      </c>
      <c r="B309" s="154">
        <v>1316</v>
      </c>
    </row>
    <row r="310" customHeight="1" spans="1:2">
      <c r="A310" s="158">
        <v>46247</v>
      </c>
      <c r="B310" s="154">
        <v>1316</v>
      </c>
    </row>
    <row r="311" customHeight="1" spans="1:2">
      <c r="A311" s="158">
        <v>46254</v>
      </c>
      <c r="B311" s="154">
        <v>1316</v>
      </c>
    </row>
    <row r="312" customHeight="1" spans="1:2">
      <c r="A312" s="158">
        <v>46261</v>
      </c>
      <c r="B312" s="154">
        <v>1316</v>
      </c>
    </row>
    <row r="313" customHeight="1" spans="1:2">
      <c r="A313" s="158">
        <v>46268</v>
      </c>
      <c r="B313" s="154">
        <v>1315</v>
      </c>
    </row>
    <row r="314" customHeight="1" spans="1:2">
      <c r="A314" s="158">
        <v>46275</v>
      </c>
      <c r="B314" s="154">
        <v>1315</v>
      </c>
    </row>
    <row r="315" customHeight="1" spans="1:2">
      <c r="A315" s="158">
        <v>46282</v>
      </c>
      <c r="B315" s="154">
        <v>1315</v>
      </c>
    </row>
    <row r="316" customHeight="1" spans="1:2">
      <c r="A316" s="158">
        <v>46289</v>
      </c>
      <c r="B316" s="154">
        <v>1313</v>
      </c>
    </row>
  </sheetData>
  <mergeCells count="1">
    <mergeCell ref="B2:B3"/>
  </mergeCell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417"/>
  <sheetViews>
    <sheetView workbookViewId="0">
      <pane xSplit="1" ySplit="2" topLeftCell="B391" activePane="bottomRight" state="frozen"/>
      <selection/>
      <selection pane="topRight"/>
      <selection pane="bottomLeft"/>
      <selection pane="bottomRight" activeCell="B417" sqref="B417"/>
    </sheetView>
  </sheetViews>
  <sheetFormatPr defaultColWidth="13.125" defaultRowHeight="20" customHeight="1" outlineLevelCol="1"/>
  <cols>
    <col min="1" max="1" width="13.125" style="149" customWidth="1"/>
    <col min="2" max="16362" width="13.125" customWidth="1"/>
  </cols>
  <sheetData>
    <row r="2" s="118" customFormat="1" ht="30" customHeight="1" spans="1:2">
      <c r="A2" s="156" t="s">
        <v>39</v>
      </c>
      <c r="B2" s="131" t="s">
        <v>57</v>
      </c>
    </row>
    <row r="3" s="89" customFormat="1" customHeight="1" spans="1:2">
      <c r="A3" s="158">
        <v>43307</v>
      </c>
      <c r="B3" s="223">
        <v>405.33</v>
      </c>
    </row>
    <row r="4" s="89" customFormat="1" customHeight="1" spans="1:2">
      <c r="A4" s="158">
        <v>43314</v>
      </c>
      <c r="B4" s="223">
        <v>408.33</v>
      </c>
    </row>
    <row r="5" s="89" customFormat="1" customHeight="1" spans="1:2">
      <c r="A5" s="158">
        <v>43321</v>
      </c>
      <c r="B5" s="223">
        <v>412.72</v>
      </c>
    </row>
    <row r="6" s="89" customFormat="1" customHeight="1" spans="1:2">
      <c r="A6" s="158">
        <v>43328</v>
      </c>
      <c r="B6" s="223">
        <v>412.72</v>
      </c>
    </row>
    <row r="7" s="89" customFormat="1" customHeight="1" spans="1:2">
      <c r="A7" s="158">
        <v>43335</v>
      </c>
      <c r="B7" s="223">
        <v>412</v>
      </c>
    </row>
    <row r="8" s="89" customFormat="1" customHeight="1" spans="1:2">
      <c r="A8" s="158">
        <v>43342</v>
      </c>
      <c r="B8" s="223">
        <v>407.58</v>
      </c>
    </row>
    <row r="9" s="89" customFormat="1" customHeight="1" spans="1:2">
      <c r="A9" s="158">
        <v>43349</v>
      </c>
      <c r="B9" s="223">
        <v>409.63</v>
      </c>
    </row>
    <row r="10" s="89" customFormat="1" customHeight="1" spans="1:2">
      <c r="A10" s="158">
        <v>43356</v>
      </c>
      <c r="B10" s="223">
        <v>410</v>
      </c>
    </row>
    <row r="11" s="89" customFormat="1" customHeight="1" spans="1:2">
      <c r="A11" s="158">
        <v>43363</v>
      </c>
      <c r="B11" s="223">
        <v>410</v>
      </c>
    </row>
    <row r="12" s="89" customFormat="1" customHeight="1" spans="1:2">
      <c r="A12" s="158">
        <v>43370</v>
      </c>
      <c r="B12" s="223">
        <v>407.13</v>
      </c>
    </row>
    <row r="13" s="89" customFormat="1" customHeight="1" spans="1:2">
      <c r="A13" s="158">
        <v>43377</v>
      </c>
      <c r="B13" s="223">
        <v>394.17</v>
      </c>
    </row>
    <row r="14" s="89" customFormat="1" customHeight="1" spans="1:2">
      <c r="A14" s="158">
        <v>43384</v>
      </c>
      <c r="B14" s="223">
        <v>396.21</v>
      </c>
    </row>
    <row r="15" s="89" customFormat="1" customHeight="1" spans="1:2">
      <c r="A15" s="158">
        <v>43391</v>
      </c>
      <c r="B15" s="223">
        <v>395.79</v>
      </c>
    </row>
    <row r="16" s="89" customFormat="1" customHeight="1" spans="1:2">
      <c r="A16" s="158">
        <v>43398</v>
      </c>
      <c r="B16" s="223">
        <v>388.45</v>
      </c>
    </row>
    <row r="17" s="89" customFormat="1" customHeight="1" spans="1:2">
      <c r="A17" s="158">
        <v>43405</v>
      </c>
      <c r="B17" s="223">
        <v>388</v>
      </c>
    </row>
    <row r="18" s="89" customFormat="1" customHeight="1" spans="1:2">
      <c r="A18" s="158">
        <v>43412</v>
      </c>
      <c r="B18" s="223">
        <v>372.92</v>
      </c>
    </row>
    <row r="19" s="89" customFormat="1" customHeight="1" spans="1:2">
      <c r="A19" s="158">
        <v>43419</v>
      </c>
      <c r="B19" s="223">
        <v>365.77</v>
      </c>
    </row>
    <row r="20" s="89" customFormat="1" customHeight="1" spans="1:2">
      <c r="A20" s="158">
        <v>43426</v>
      </c>
      <c r="B20" s="223">
        <v>354.78</v>
      </c>
    </row>
    <row r="21" s="89" customFormat="1" customHeight="1" spans="1:2">
      <c r="A21" s="158">
        <v>43433</v>
      </c>
      <c r="B21" s="223">
        <v>345.39</v>
      </c>
    </row>
    <row r="22" s="89" customFormat="1" customHeight="1" spans="1:2">
      <c r="A22" s="158">
        <v>43440</v>
      </c>
      <c r="B22" s="223">
        <v>342.86</v>
      </c>
    </row>
    <row r="23" s="89" customFormat="1" customHeight="1" spans="1:2">
      <c r="A23" s="158">
        <v>43447</v>
      </c>
      <c r="B23" s="223">
        <v>339.23</v>
      </c>
    </row>
    <row r="24" s="89" customFormat="1" customHeight="1" spans="1:2">
      <c r="A24" s="158">
        <v>43454</v>
      </c>
      <c r="B24" s="223">
        <v>337.01</v>
      </c>
    </row>
    <row r="25" s="89" customFormat="1" customHeight="1" spans="1:2">
      <c r="A25" s="158">
        <v>43461</v>
      </c>
      <c r="B25" s="223">
        <v>329.44</v>
      </c>
    </row>
    <row r="26" s="89" customFormat="1" customHeight="1" spans="1:2">
      <c r="A26" s="158">
        <v>43469</v>
      </c>
      <c r="B26" s="223">
        <v>330.72</v>
      </c>
    </row>
    <row r="27" s="89" customFormat="1" customHeight="1" spans="1:2">
      <c r="A27" s="158">
        <v>43475</v>
      </c>
      <c r="B27" s="223">
        <v>329.78</v>
      </c>
    </row>
    <row r="28" s="89" customFormat="1" customHeight="1" spans="1:2">
      <c r="A28" s="158">
        <v>43482</v>
      </c>
      <c r="B28" s="223">
        <v>345.94</v>
      </c>
    </row>
    <row r="29" s="89" customFormat="1" customHeight="1" spans="1:2">
      <c r="A29" s="158">
        <v>43489</v>
      </c>
      <c r="B29" s="224">
        <v>346.647058823529</v>
      </c>
    </row>
    <row r="30" s="89" customFormat="1" customHeight="1" spans="1:2">
      <c r="A30" s="158">
        <v>43496</v>
      </c>
      <c r="B30" s="224">
        <v>354.705882352941</v>
      </c>
    </row>
    <row r="31" s="89" customFormat="1" customHeight="1" spans="1:2">
      <c r="A31" s="158">
        <v>43503</v>
      </c>
      <c r="B31" s="224">
        <v>354.705882352941</v>
      </c>
    </row>
    <row r="32" s="89" customFormat="1" customHeight="1" spans="1:2">
      <c r="A32" s="158">
        <v>43509</v>
      </c>
      <c r="B32" s="224">
        <v>432.117647058824</v>
      </c>
    </row>
    <row r="33" s="89" customFormat="1" customHeight="1" spans="1:2">
      <c r="A33" s="158">
        <v>43517</v>
      </c>
      <c r="B33" s="224">
        <v>439.411764705882</v>
      </c>
    </row>
    <row r="34" s="89" customFormat="1" customHeight="1" spans="1:2">
      <c r="A34" s="158">
        <v>43524</v>
      </c>
      <c r="B34" s="224">
        <v>448.823529411765</v>
      </c>
    </row>
    <row r="35" s="89" customFormat="1" customHeight="1" spans="1:2">
      <c r="A35" s="158">
        <v>43531</v>
      </c>
      <c r="B35" s="224">
        <v>529.705882352941</v>
      </c>
    </row>
    <row r="36" s="89" customFormat="1" customHeight="1" spans="1:2">
      <c r="A36" s="158">
        <v>43538</v>
      </c>
      <c r="B36" s="224">
        <v>645.882352941176</v>
      </c>
    </row>
    <row r="37" s="89" customFormat="1" customHeight="1" spans="1:2">
      <c r="A37" s="158">
        <v>43545</v>
      </c>
      <c r="B37" s="224">
        <v>665.529411764706</v>
      </c>
    </row>
    <row r="38" s="89" customFormat="1" customHeight="1" spans="1:2">
      <c r="A38" s="158">
        <v>43552</v>
      </c>
      <c r="B38" s="224">
        <v>682.352941176471</v>
      </c>
    </row>
    <row r="39" s="89" customFormat="1" customHeight="1" spans="1:2">
      <c r="A39" s="158">
        <v>43559</v>
      </c>
      <c r="B39" s="223">
        <v>706</v>
      </c>
    </row>
    <row r="40" s="89" customFormat="1" customHeight="1" spans="1:2">
      <c r="A40" s="158">
        <v>43566</v>
      </c>
      <c r="B40" s="223">
        <v>753</v>
      </c>
    </row>
    <row r="41" s="89" customFormat="1" customHeight="1" spans="1:2">
      <c r="A41" s="158">
        <v>43572</v>
      </c>
      <c r="B41" s="223">
        <v>749</v>
      </c>
    </row>
    <row r="42" s="89" customFormat="1" customHeight="1" spans="1:2">
      <c r="A42" s="158">
        <v>43580</v>
      </c>
      <c r="B42" s="223">
        <v>746</v>
      </c>
    </row>
    <row r="43" s="89" customFormat="1" customHeight="1" spans="1:2">
      <c r="A43" s="158">
        <v>43587</v>
      </c>
      <c r="B43" s="223">
        <v>759.4</v>
      </c>
    </row>
    <row r="44" s="89" customFormat="1" customHeight="1" spans="1:2">
      <c r="A44" s="158">
        <v>43594</v>
      </c>
      <c r="B44" s="223">
        <v>759.71</v>
      </c>
    </row>
    <row r="45" s="89" customFormat="1" customHeight="1" spans="1:2">
      <c r="A45" s="158">
        <v>43601</v>
      </c>
      <c r="B45" s="223">
        <v>762.06</v>
      </c>
    </row>
    <row r="46" s="89" customFormat="1" customHeight="1" spans="1:2">
      <c r="A46" s="158">
        <v>43608</v>
      </c>
      <c r="B46" s="223">
        <v>745.35</v>
      </c>
    </row>
    <row r="47" s="89" customFormat="1" customHeight="1" spans="1:2">
      <c r="A47" s="158">
        <v>43615</v>
      </c>
      <c r="B47" s="223">
        <v>746.3</v>
      </c>
    </row>
    <row r="48" s="89" customFormat="1" customHeight="1" spans="1:2">
      <c r="A48" s="158">
        <v>43622</v>
      </c>
      <c r="B48" s="223">
        <v>772.35</v>
      </c>
    </row>
    <row r="49" s="89" customFormat="1" customHeight="1" spans="1:2">
      <c r="A49" s="158">
        <v>43629</v>
      </c>
      <c r="B49" s="223">
        <v>793.24</v>
      </c>
    </row>
    <row r="50" s="89" customFormat="1" customHeight="1" spans="1:2">
      <c r="A50" s="158">
        <v>43636</v>
      </c>
      <c r="B50" s="223">
        <v>830</v>
      </c>
    </row>
    <row r="51" s="89" customFormat="1" customHeight="1" spans="1:2">
      <c r="A51" s="158">
        <v>43643</v>
      </c>
      <c r="B51" s="223">
        <v>838</v>
      </c>
    </row>
    <row r="52" s="89" customFormat="1" customHeight="1" spans="1:2">
      <c r="A52" s="158">
        <v>43650</v>
      </c>
      <c r="B52" s="223">
        <v>821</v>
      </c>
    </row>
    <row r="53" s="89" customFormat="1" customHeight="1" spans="1:2">
      <c r="A53" s="158">
        <v>43657</v>
      </c>
      <c r="B53" s="223">
        <v>845</v>
      </c>
    </row>
    <row r="54" s="89" customFormat="1" customHeight="1" spans="1:2">
      <c r="A54" s="158">
        <v>43664</v>
      </c>
      <c r="B54" s="223">
        <v>878</v>
      </c>
    </row>
    <row r="55" s="89" customFormat="1" customHeight="1" spans="1:2">
      <c r="A55" s="158">
        <v>43671</v>
      </c>
      <c r="B55" s="223">
        <v>940</v>
      </c>
    </row>
    <row r="56" s="89" customFormat="1" customHeight="1" spans="1:2">
      <c r="A56" s="158">
        <v>43678</v>
      </c>
      <c r="B56" s="223">
        <v>952</v>
      </c>
    </row>
    <row r="57" s="89" customFormat="1" customHeight="1" spans="1:2">
      <c r="A57" s="158">
        <v>43685</v>
      </c>
      <c r="B57" s="223">
        <v>954</v>
      </c>
    </row>
    <row r="58" s="89" customFormat="1" customHeight="1" spans="1:2">
      <c r="A58" s="158">
        <v>43692</v>
      </c>
      <c r="B58" s="223">
        <v>999</v>
      </c>
    </row>
    <row r="59" s="89" customFormat="1" customHeight="1" spans="1:2">
      <c r="A59" s="158">
        <v>43699</v>
      </c>
      <c r="B59" s="223">
        <v>1028</v>
      </c>
    </row>
    <row r="60" s="89" customFormat="1" customHeight="1" spans="1:2">
      <c r="A60" s="158">
        <v>43706</v>
      </c>
      <c r="B60" s="223">
        <v>1101</v>
      </c>
    </row>
    <row r="61" s="89" customFormat="1" customHeight="1" spans="1:2">
      <c r="A61" s="158">
        <v>43713</v>
      </c>
      <c r="B61" s="223">
        <v>1235</v>
      </c>
    </row>
    <row r="62" s="89" customFormat="1" customHeight="1" spans="1:2">
      <c r="A62" s="158">
        <v>43720</v>
      </c>
      <c r="B62" s="223">
        <v>1321</v>
      </c>
    </row>
    <row r="63" s="89" customFormat="1" customHeight="1" spans="1:2">
      <c r="A63" s="158">
        <v>43727</v>
      </c>
      <c r="B63" s="223">
        <v>1415</v>
      </c>
    </row>
    <row r="64" s="89" customFormat="1" customHeight="1" spans="1:2">
      <c r="A64" s="158">
        <v>43734</v>
      </c>
      <c r="B64" s="223">
        <v>1619</v>
      </c>
    </row>
    <row r="65" s="89" customFormat="1" customHeight="1" spans="1:2">
      <c r="A65" s="158">
        <v>43745</v>
      </c>
      <c r="B65" s="223">
        <v>1750</v>
      </c>
    </row>
    <row r="66" s="89" customFormat="1" customHeight="1" spans="1:2">
      <c r="A66" s="158">
        <v>43748</v>
      </c>
      <c r="B66" s="223">
        <v>1752</v>
      </c>
    </row>
    <row r="67" s="89" customFormat="1" customHeight="1" spans="1:2">
      <c r="A67" s="158">
        <v>43755</v>
      </c>
      <c r="B67" s="223">
        <v>1795</v>
      </c>
    </row>
    <row r="68" s="89" customFormat="1" customHeight="1" spans="1:2">
      <c r="A68" s="158">
        <v>43762</v>
      </c>
      <c r="B68" s="223">
        <v>1893</v>
      </c>
    </row>
    <row r="69" s="89" customFormat="1" customHeight="1" spans="1:2">
      <c r="A69" s="158">
        <v>43769</v>
      </c>
      <c r="B69" s="223">
        <v>1977</v>
      </c>
    </row>
    <row r="70" s="89" customFormat="1" customHeight="1" spans="1:2">
      <c r="A70" s="158">
        <v>43776</v>
      </c>
      <c r="B70" s="223">
        <v>2028</v>
      </c>
    </row>
    <row r="71" s="89" customFormat="1" customHeight="1" spans="1:2">
      <c r="A71" s="158">
        <v>43783</v>
      </c>
      <c r="B71" s="223">
        <v>1829</v>
      </c>
    </row>
    <row r="72" s="89" customFormat="1" customHeight="1" spans="1:2">
      <c r="A72" s="158">
        <v>43790</v>
      </c>
      <c r="B72" s="224">
        <v>1745</v>
      </c>
    </row>
    <row r="73" s="89" customFormat="1" customHeight="1" spans="1:2">
      <c r="A73" s="158">
        <v>43797</v>
      </c>
      <c r="B73" s="223">
        <v>1721</v>
      </c>
    </row>
    <row r="74" s="89" customFormat="1" customHeight="1" spans="1:2">
      <c r="A74" s="158">
        <v>43804</v>
      </c>
      <c r="B74" s="223">
        <v>1757</v>
      </c>
    </row>
    <row r="75" s="89" customFormat="1" customHeight="1" spans="1:2">
      <c r="A75" s="158">
        <v>43811</v>
      </c>
      <c r="B75" s="223">
        <v>1737</v>
      </c>
    </row>
    <row r="76" s="89" customFormat="1" customHeight="1" spans="1:2">
      <c r="A76" s="158">
        <v>43818</v>
      </c>
      <c r="B76" s="223">
        <v>1723</v>
      </c>
    </row>
    <row r="77" s="89" customFormat="1" customHeight="1" spans="1:2">
      <c r="A77" s="158">
        <v>43825</v>
      </c>
      <c r="B77" s="223">
        <v>1742</v>
      </c>
    </row>
    <row r="78" s="89" customFormat="1" customHeight="1" spans="1:2">
      <c r="A78" s="158">
        <v>43832</v>
      </c>
      <c r="B78" s="223">
        <v>1754</v>
      </c>
    </row>
    <row r="79" s="89" customFormat="1" customHeight="1" spans="1:2">
      <c r="A79" s="158">
        <v>43839</v>
      </c>
      <c r="B79" s="223">
        <v>1827</v>
      </c>
    </row>
    <row r="80" s="89" customFormat="1" customHeight="1" spans="1:2">
      <c r="A80" s="158">
        <v>43846</v>
      </c>
      <c r="B80" s="223">
        <v>1874</v>
      </c>
    </row>
    <row r="81" s="89" customFormat="1" customHeight="1" spans="1:2">
      <c r="A81" s="158">
        <v>43867</v>
      </c>
      <c r="B81" s="223">
        <v>1925</v>
      </c>
    </row>
    <row r="82" s="89" customFormat="1" customHeight="1" spans="1:2">
      <c r="A82" s="158">
        <v>43874</v>
      </c>
      <c r="B82" s="223">
        <v>1955</v>
      </c>
    </row>
    <row r="83" s="89" customFormat="1" customHeight="1" spans="1:2">
      <c r="A83" s="158">
        <v>43881</v>
      </c>
      <c r="B83" s="223">
        <v>1969</v>
      </c>
    </row>
    <row r="84" s="89" customFormat="1" customHeight="1" spans="1:2">
      <c r="A84" s="158">
        <v>43888</v>
      </c>
      <c r="B84" s="223">
        <v>2161</v>
      </c>
    </row>
    <row r="85" s="89" customFormat="1" customHeight="1" spans="1:2">
      <c r="A85" s="158">
        <v>43895</v>
      </c>
      <c r="B85" s="223">
        <v>2266</v>
      </c>
    </row>
    <row r="86" s="89" customFormat="1" customHeight="1" spans="1:2">
      <c r="A86" s="158">
        <v>43902</v>
      </c>
      <c r="B86" s="223">
        <v>2326</v>
      </c>
    </row>
    <row r="87" s="89" customFormat="1" customHeight="1" spans="1:2">
      <c r="A87" s="158">
        <v>43909</v>
      </c>
      <c r="B87" s="223">
        <v>2356</v>
      </c>
    </row>
    <row r="88" s="89" customFormat="1" customHeight="1" spans="1:2">
      <c r="A88" s="158">
        <v>43916</v>
      </c>
      <c r="B88" s="223">
        <v>2349</v>
      </c>
    </row>
    <row r="89" s="89" customFormat="1" customHeight="1" spans="1:2">
      <c r="A89" s="158">
        <v>43923</v>
      </c>
      <c r="B89" s="223">
        <v>2238</v>
      </c>
    </row>
    <row r="90" s="89" customFormat="1" customHeight="1" spans="1:2">
      <c r="A90" s="158">
        <v>43930</v>
      </c>
      <c r="B90" s="223">
        <v>2200</v>
      </c>
    </row>
    <row r="91" s="89" customFormat="1" customHeight="1" spans="1:2">
      <c r="A91" s="158">
        <v>43937</v>
      </c>
      <c r="B91" s="223">
        <v>2135</v>
      </c>
    </row>
    <row r="92" s="89" customFormat="1" customHeight="1" spans="1:2">
      <c r="A92" s="158">
        <v>43944</v>
      </c>
      <c r="B92" s="223">
        <v>2038</v>
      </c>
    </row>
    <row r="93" s="89" customFormat="1" customHeight="1" spans="1:2">
      <c r="A93" s="158">
        <v>43951</v>
      </c>
      <c r="B93" s="223">
        <v>1979</v>
      </c>
    </row>
    <row r="94" s="89" customFormat="1" customHeight="1" spans="1:2">
      <c r="A94" s="158">
        <v>43958</v>
      </c>
      <c r="B94" s="223">
        <v>1894</v>
      </c>
    </row>
    <row r="95" s="89" customFormat="1" customHeight="1" spans="1:2">
      <c r="A95" s="158">
        <v>43965</v>
      </c>
      <c r="B95" s="223">
        <v>1750</v>
      </c>
    </row>
    <row r="96" s="89" customFormat="1" customHeight="1" spans="1:2">
      <c r="A96" s="158">
        <v>43972</v>
      </c>
      <c r="B96" s="223">
        <v>1612</v>
      </c>
    </row>
    <row r="97" s="89" customFormat="1" customHeight="1" spans="1:2">
      <c r="A97" s="158">
        <v>43979</v>
      </c>
      <c r="B97" s="223">
        <v>1591</v>
      </c>
    </row>
    <row r="98" s="89" customFormat="1" customHeight="1" spans="1:2">
      <c r="A98" s="158">
        <v>43986</v>
      </c>
      <c r="B98" s="223">
        <v>1626</v>
      </c>
    </row>
    <row r="99" s="89" customFormat="1" customHeight="1" spans="1:2">
      <c r="A99" s="158">
        <v>43993</v>
      </c>
      <c r="B99" s="223">
        <v>1715</v>
      </c>
    </row>
    <row r="100" s="89" customFormat="1" customHeight="1" spans="1:2">
      <c r="A100" s="158">
        <v>44000</v>
      </c>
      <c r="B100" s="223">
        <v>1771</v>
      </c>
    </row>
    <row r="101" s="89" customFormat="1" customHeight="1" spans="1:2">
      <c r="A101" s="158">
        <v>44007</v>
      </c>
      <c r="B101" s="223">
        <v>1803</v>
      </c>
    </row>
    <row r="102" s="89" customFormat="1" customHeight="1" spans="1:2">
      <c r="A102" s="158">
        <v>44014</v>
      </c>
      <c r="B102" s="223">
        <v>1856</v>
      </c>
    </row>
    <row r="103" s="89" customFormat="1" customHeight="1" spans="1:2">
      <c r="A103" s="158">
        <v>44021</v>
      </c>
      <c r="B103" s="223">
        <v>1885</v>
      </c>
    </row>
    <row r="104" s="89" customFormat="1" customHeight="1" spans="1:2">
      <c r="A104" s="158">
        <v>44028</v>
      </c>
      <c r="B104" s="223">
        <v>1918</v>
      </c>
    </row>
    <row r="105" s="89" customFormat="1" customHeight="1" spans="1:2">
      <c r="A105" s="158">
        <v>44035</v>
      </c>
      <c r="B105" s="223">
        <v>1936</v>
      </c>
    </row>
    <row r="106" s="89" customFormat="1" customHeight="1" spans="1:2">
      <c r="A106" s="158">
        <v>44042</v>
      </c>
      <c r="B106" s="223">
        <v>1938</v>
      </c>
    </row>
    <row r="107" s="89" customFormat="1" customHeight="1" spans="1:2">
      <c r="A107" s="158">
        <v>44049</v>
      </c>
      <c r="B107" s="223">
        <v>1941</v>
      </c>
    </row>
    <row r="108" s="89" customFormat="1" customHeight="1" spans="1:2">
      <c r="A108" s="158">
        <v>44056</v>
      </c>
      <c r="B108" s="223">
        <v>1929</v>
      </c>
    </row>
    <row r="109" s="89" customFormat="1" customHeight="1" spans="1:2">
      <c r="A109" s="158">
        <v>44063</v>
      </c>
      <c r="B109" s="223">
        <v>1906</v>
      </c>
    </row>
    <row r="110" s="89" customFormat="1" customHeight="1" spans="1:2">
      <c r="A110" s="158">
        <v>44070</v>
      </c>
      <c r="B110" s="223">
        <v>1832</v>
      </c>
    </row>
    <row r="111" s="89" customFormat="1" customHeight="1" spans="1:2">
      <c r="A111" s="158">
        <v>44077</v>
      </c>
      <c r="B111" s="223">
        <v>1799</v>
      </c>
    </row>
    <row r="112" s="89" customFormat="1" customHeight="1" spans="1:2">
      <c r="A112" s="158">
        <v>44084</v>
      </c>
      <c r="B112" s="223">
        <v>1758</v>
      </c>
    </row>
    <row r="113" s="89" customFormat="1" customHeight="1" spans="1:2">
      <c r="A113" s="158">
        <v>44091</v>
      </c>
      <c r="B113" s="223">
        <v>1705</v>
      </c>
    </row>
    <row r="114" s="89" customFormat="1" customHeight="1" spans="1:2">
      <c r="A114" s="158">
        <v>44098</v>
      </c>
      <c r="B114" s="223">
        <v>1626</v>
      </c>
    </row>
    <row r="115" s="89" customFormat="1" customHeight="1" spans="1:2">
      <c r="A115" s="158">
        <v>44104</v>
      </c>
      <c r="B115" s="223">
        <v>1561</v>
      </c>
    </row>
    <row r="116" s="89" customFormat="1" customHeight="1" spans="1:2">
      <c r="A116" s="158">
        <v>44112</v>
      </c>
      <c r="B116" s="223">
        <v>1462</v>
      </c>
    </row>
    <row r="117" s="89" customFormat="1" customHeight="1" spans="1:2">
      <c r="A117" s="158">
        <v>44119</v>
      </c>
      <c r="B117" s="223">
        <v>1366</v>
      </c>
    </row>
    <row r="118" s="89" customFormat="1" customHeight="1" spans="1:2">
      <c r="A118" s="158">
        <v>44126</v>
      </c>
      <c r="B118" s="223">
        <v>1255</v>
      </c>
    </row>
    <row r="119" s="89" customFormat="1" customHeight="1" spans="1:2">
      <c r="A119" s="158">
        <v>44133</v>
      </c>
      <c r="B119" s="223">
        <v>1080</v>
      </c>
    </row>
    <row r="120" s="89" customFormat="1" customHeight="1" spans="1:2">
      <c r="A120" s="158">
        <v>44140</v>
      </c>
      <c r="B120" s="223">
        <v>1021</v>
      </c>
    </row>
    <row r="121" s="89" customFormat="1" customHeight="1" spans="1:2">
      <c r="A121" s="158">
        <v>44147</v>
      </c>
      <c r="B121" s="223">
        <v>995</v>
      </c>
    </row>
    <row r="122" s="89" customFormat="1" customHeight="1" spans="1:2">
      <c r="A122" s="158">
        <v>44154</v>
      </c>
      <c r="B122" s="223">
        <v>1003</v>
      </c>
    </row>
    <row r="123" s="89" customFormat="1" customHeight="1" spans="1:2">
      <c r="A123" s="158">
        <v>44161</v>
      </c>
      <c r="B123" s="223">
        <v>1059</v>
      </c>
    </row>
    <row r="124" s="89" customFormat="1" customHeight="1" spans="1:2">
      <c r="A124" s="158">
        <v>44168</v>
      </c>
      <c r="B124" s="223">
        <v>1120</v>
      </c>
    </row>
    <row r="125" s="89" customFormat="1" customHeight="1" spans="1:2">
      <c r="A125" s="158">
        <v>44175</v>
      </c>
      <c r="B125" s="223">
        <v>1166</v>
      </c>
    </row>
    <row r="126" s="89" customFormat="1" customHeight="1" spans="1:2">
      <c r="A126" s="158">
        <v>44182</v>
      </c>
      <c r="B126" s="223">
        <v>1216</v>
      </c>
    </row>
    <row r="127" s="89" customFormat="1" customHeight="1" spans="1:2">
      <c r="A127" s="158">
        <v>44189</v>
      </c>
      <c r="B127" s="223">
        <v>1249</v>
      </c>
    </row>
    <row r="128" s="89" customFormat="1" customHeight="1" spans="1:2">
      <c r="A128" s="158">
        <v>44196</v>
      </c>
      <c r="B128" s="223">
        <v>1346</v>
      </c>
    </row>
    <row r="129" s="89" customFormat="1" customHeight="1" spans="1:2">
      <c r="A129" s="158">
        <v>44203</v>
      </c>
      <c r="B129" s="223">
        <v>1405</v>
      </c>
    </row>
    <row r="130" s="89" customFormat="1" customHeight="1" spans="1:2">
      <c r="A130" s="158">
        <v>44210</v>
      </c>
      <c r="B130" s="223">
        <v>1498</v>
      </c>
    </row>
    <row r="131" s="89" customFormat="1" customHeight="1" spans="1:2">
      <c r="A131" s="158">
        <v>44217</v>
      </c>
      <c r="B131" s="223">
        <v>1615</v>
      </c>
    </row>
    <row r="132" s="89" customFormat="1" customHeight="1" spans="1:2">
      <c r="A132" s="158">
        <v>44224</v>
      </c>
      <c r="B132" s="223">
        <v>1681</v>
      </c>
    </row>
    <row r="133" s="89" customFormat="1" customHeight="1" spans="1:2">
      <c r="A133" s="158">
        <v>44231</v>
      </c>
      <c r="B133" s="223">
        <v>1711</v>
      </c>
    </row>
    <row r="134" s="89" customFormat="1" customHeight="1" spans="1:2">
      <c r="A134" s="158">
        <v>44245</v>
      </c>
      <c r="B134" s="223">
        <v>1829</v>
      </c>
    </row>
    <row r="135" s="89" customFormat="1" customHeight="1" spans="1:2">
      <c r="A135" s="158">
        <v>44252</v>
      </c>
      <c r="B135" s="223">
        <v>1886</v>
      </c>
    </row>
    <row r="136" s="89" customFormat="1" customHeight="1" spans="1:2">
      <c r="A136" s="158">
        <v>44259</v>
      </c>
      <c r="B136" s="223">
        <v>1897</v>
      </c>
    </row>
    <row r="137" s="89" customFormat="1" customHeight="1" spans="1:2">
      <c r="A137" s="158">
        <v>44266</v>
      </c>
      <c r="B137" s="223">
        <v>1864</v>
      </c>
    </row>
    <row r="138" s="89" customFormat="1" customHeight="1" spans="1:2">
      <c r="A138" s="158">
        <v>44273</v>
      </c>
      <c r="B138" s="223">
        <v>1821</v>
      </c>
    </row>
    <row r="139" s="89" customFormat="1" customHeight="1" spans="1:2">
      <c r="A139" s="158">
        <v>44280</v>
      </c>
      <c r="B139" s="223">
        <v>1695</v>
      </c>
    </row>
    <row r="140" s="89" customFormat="1" customHeight="1" spans="1:2">
      <c r="A140" s="158">
        <v>44287</v>
      </c>
      <c r="B140" s="223">
        <v>1597</v>
      </c>
    </row>
    <row r="141" s="89" customFormat="1" customHeight="1" spans="1:2">
      <c r="A141" s="158">
        <v>44294</v>
      </c>
      <c r="B141" s="223">
        <v>1426</v>
      </c>
    </row>
    <row r="142" s="89" customFormat="1" customHeight="1" spans="1:2">
      <c r="A142" s="158">
        <v>44301</v>
      </c>
      <c r="B142" s="223">
        <v>1267</v>
      </c>
    </row>
    <row r="143" s="89" customFormat="1" customHeight="1" spans="1:2">
      <c r="A143" s="158">
        <v>44308</v>
      </c>
      <c r="B143" s="223">
        <v>1235</v>
      </c>
    </row>
    <row r="144" s="89" customFormat="1" customHeight="1" spans="1:2">
      <c r="A144" s="158">
        <v>44315</v>
      </c>
      <c r="B144" s="223">
        <v>1196</v>
      </c>
    </row>
    <row r="145" s="89" customFormat="1" customHeight="1" spans="1:2">
      <c r="A145" s="158">
        <v>44322</v>
      </c>
      <c r="B145" s="223">
        <v>1145</v>
      </c>
    </row>
    <row r="146" s="89" customFormat="1" customHeight="1" spans="1:2">
      <c r="A146" s="158">
        <v>44329</v>
      </c>
      <c r="B146" s="223">
        <v>1062</v>
      </c>
    </row>
    <row r="147" s="89" customFormat="1" customHeight="1" spans="1:2">
      <c r="A147" s="158">
        <v>44336</v>
      </c>
      <c r="B147" s="223">
        <v>935</v>
      </c>
    </row>
    <row r="148" s="89" customFormat="1" customHeight="1" spans="1:2">
      <c r="A148" s="158">
        <v>44343</v>
      </c>
      <c r="B148" s="223">
        <v>855</v>
      </c>
    </row>
    <row r="149" s="89" customFormat="1" customHeight="1" spans="1:2">
      <c r="A149" s="158">
        <v>44350</v>
      </c>
      <c r="B149" s="223">
        <v>739</v>
      </c>
    </row>
    <row r="150" s="89" customFormat="1" customHeight="1" spans="1:2">
      <c r="A150" s="158">
        <v>44357</v>
      </c>
      <c r="B150" s="223">
        <v>674</v>
      </c>
    </row>
    <row r="151" s="89" customFormat="1" customHeight="1" spans="1:2">
      <c r="A151" s="158">
        <v>44364</v>
      </c>
      <c r="B151" s="223">
        <v>575</v>
      </c>
    </row>
    <row r="152" s="89" customFormat="1" customHeight="1" spans="1:2">
      <c r="A152" s="158">
        <v>44371</v>
      </c>
      <c r="B152" s="223">
        <v>475</v>
      </c>
    </row>
    <row r="153" s="89" customFormat="1" customHeight="1" spans="1:2">
      <c r="A153" s="158">
        <v>44378</v>
      </c>
      <c r="B153" s="223">
        <v>460</v>
      </c>
    </row>
    <row r="154" s="89" customFormat="1" customHeight="1" spans="1:2">
      <c r="A154" s="158">
        <v>44385</v>
      </c>
      <c r="B154" s="223">
        <v>461</v>
      </c>
    </row>
    <row r="155" s="89" customFormat="1" customHeight="1" spans="1:2">
      <c r="A155" s="158">
        <v>44392</v>
      </c>
      <c r="B155" s="223">
        <v>461</v>
      </c>
    </row>
    <row r="156" s="89" customFormat="1" customHeight="1" spans="1:2">
      <c r="A156" s="158">
        <v>44399</v>
      </c>
      <c r="B156" s="223">
        <v>461</v>
      </c>
    </row>
    <row r="157" s="89" customFormat="1" customHeight="1" spans="1:2">
      <c r="A157" s="158">
        <v>44406</v>
      </c>
      <c r="B157" s="223">
        <v>461</v>
      </c>
    </row>
    <row r="158" s="89" customFormat="1" customHeight="1" spans="1:2">
      <c r="A158" s="158">
        <v>44413</v>
      </c>
      <c r="B158" s="223">
        <v>462</v>
      </c>
    </row>
    <row r="159" s="89" customFormat="1" customHeight="1" spans="1:2">
      <c r="A159" s="158">
        <v>44420</v>
      </c>
      <c r="B159" s="223">
        <v>416</v>
      </c>
    </row>
    <row r="160" s="89" customFormat="1" customHeight="1" spans="1:2">
      <c r="A160" s="158">
        <v>44427</v>
      </c>
      <c r="B160" s="223">
        <v>403</v>
      </c>
    </row>
    <row r="161" s="89" customFormat="1" customHeight="1" spans="1:2">
      <c r="A161" s="158">
        <v>44434</v>
      </c>
      <c r="B161" s="223">
        <v>394</v>
      </c>
    </row>
    <row r="162" s="89" customFormat="1" customHeight="1" spans="1:2">
      <c r="A162" s="158">
        <v>44441</v>
      </c>
      <c r="B162" s="223">
        <v>380</v>
      </c>
    </row>
    <row r="163" s="89" customFormat="1" customHeight="1" spans="1:2">
      <c r="A163" s="158">
        <v>44448</v>
      </c>
      <c r="B163" s="223">
        <v>311</v>
      </c>
    </row>
    <row r="164" s="89" customFormat="1" customHeight="1" spans="1:2">
      <c r="A164" s="158">
        <v>44455</v>
      </c>
      <c r="B164" s="223">
        <v>264</v>
      </c>
    </row>
    <row r="165" s="89" customFormat="1" customHeight="1" spans="1:2">
      <c r="A165" s="158">
        <v>44462</v>
      </c>
      <c r="B165" s="223">
        <v>231</v>
      </c>
    </row>
    <row r="166" s="89" customFormat="1" customHeight="1" spans="1:2">
      <c r="A166" s="158">
        <v>44469</v>
      </c>
      <c r="B166" s="223">
        <v>181</v>
      </c>
    </row>
    <row r="167" s="89" customFormat="1" customHeight="1" spans="1:2">
      <c r="A167" s="158">
        <v>44477</v>
      </c>
      <c r="B167" s="223">
        <v>155</v>
      </c>
    </row>
    <row r="168" s="89" customFormat="1" customHeight="1" spans="1:2">
      <c r="A168" s="158">
        <v>44483</v>
      </c>
      <c r="B168" s="223">
        <v>155</v>
      </c>
    </row>
    <row r="169" s="89" customFormat="1" customHeight="1" spans="1:2">
      <c r="A169" s="158">
        <v>44490</v>
      </c>
      <c r="B169" s="223">
        <v>158</v>
      </c>
    </row>
    <row r="170" s="89" customFormat="1" customHeight="1" spans="1:2">
      <c r="A170" s="158">
        <v>44497</v>
      </c>
      <c r="B170" s="223">
        <v>310</v>
      </c>
    </row>
    <row r="171" s="89" customFormat="1" customHeight="1" spans="1:2">
      <c r="A171" s="158">
        <v>44504</v>
      </c>
      <c r="B171" s="223">
        <v>339</v>
      </c>
    </row>
    <row r="172" s="89" customFormat="1" customHeight="1" spans="1:2">
      <c r="A172" s="158">
        <v>44511</v>
      </c>
      <c r="B172" s="223">
        <v>354</v>
      </c>
    </row>
    <row r="173" s="89" customFormat="1" customHeight="1" spans="1:2">
      <c r="A173" s="158">
        <v>44518</v>
      </c>
      <c r="B173" s="223">
        <v>373</v>
      </c>
    </row>
    <row r="174" s="89" customFormat="1" customHeight="1" spans="1:2">
      <c r="A174" s="158">
        <v>44525</v>
      </c>
      <c r="B174" s="223">
        <v>388</v>
      </c>
    </row>
    <row r="175" s="89" customFormat="1" customHeight="1" spans="1:2">
      <c r="A175" s="158">
        <v>44532</v>
      </c>
      <c r="B175" s="223">
        <v>397</v>
      </c>
    </row>
    <row r="176" s="89" customFormat="1" customHeight="1" spans="1:2">
      <c r="A176" s="158">
        <v>44539</v>
      </c>
      <c r="B176" s="223">
        <v>404</v>
      </c>
    </row>
    <row r="177" s="89" customFormat="1" customHeight="1" spans="1:2">
      <c r="A177" s="158">
        <v>44546</v>
      </c>
      <c r="B177" s="223">
        <v>404</v>
      </c>
    </row>
    <row r="178" s="89" customFormat="1" customHeight="1" spans="1:2">
      <c r="A178" s="158">
        <v>44553</v>
      </c>
      <c r="B178" s="223">
        <v>403</v>
      </c>
    </row>
    <row r="179" s="89" customFormat="1" customHeight="1" spans="1:2">
      <c r="A179" s="158">
        <v>44560</v>
      </c>
      <c r="B179" s="223">
        <v>403</v>
      </c>
    </row>
    <row r="180" s="89" customFormat="1" customHeight="1" spans="1:2">
      <c r="A180" s="158">
        <v>44567</v>
      </c>
      <c r="B180" s="223">
        <v>408</v>
      </c>
    </row>
    <row r="181" s="89" customFormat="1" customHeight="1" spans="1:2">
      <c r="A181" s="158">
        <v>44574</v>
      </c>
      <c r="B181" s="223">
        <v>402</v>
      </c>
    </row>
    <row r="182" s="89" customFormat="1" customHeight="1" spans="1:2">
      <c r="A182" s="158">
        <v>44581</v>
      </c>
      <c r="B182" s="223">
        <v>399</v>
      </c>
    </row>
    <row r="183" s="124" customFormat="1" customHeight="1" spans="1:2">
      <c r="A183" s="158">
        <v>44587</v>
      </c>
      <c r="B183" s="223">
        <v>399</v>
      </c>
    </row>
    <row r="184" s="124" customFormat="1" customHeight="1" spans="1:2">
      <c r="A184" s="158">
        <v>44602</v>
      </c>
      <c r="B184" s="223">
        <v>398</v>
      </c>
    </row>
    <row r="185" s="89" customFormat="1" customHeight="1" spans="1:2">
      <c r="A185" s="158">
        <v>44609</v>
      </c>
      <c r="B185" s="223">
        <v>398</v>
      </c>
    </row>
    <row r="186" s="110" customFormat="1" customHeight="1" spans="1:2">
      <c r="A186" s="158">
        <v>44616</v>
      </c>
      <c r="B186" s="223">
        <v>398</v>
      </c>
    </row>
    <row r="187" s="110" customFormat="1" customHeight="1" spans="1:2">
      <c r="A187" s="158">
        <v>44623</v>
      </c>
      <c r="B187" s="223">
        <v>399</v>
      </c>
    </row>
    <row r="188" s="110" customFormat="1" customHeight="1" spans="1:2">
      <c r="A188" s="158">
        <v>44630</v>
      </c>
      <c r="B188" s="223">
        <v>399</v>
      </c>
    </row>
    <row r="189" s="110" customFormat="1" customHeight="1" spans="1:2">
      <c r="A189" s="158">
        <v>44637</v>
      </c>
      <c r="B189" s="223">
        <v>403</v>
      </c>
    </row>
    <row r="190" s="110" customFormat="1" customHeight="1" spans="1:2">
      <c r="A190" s="158">
        <v>44644</v>
      </c>
      <c r="B190" s="223">
        <v>407</v>
      </c>
    </row>
    <row r="191" s="91" customFormat="1" customHeight="1" spans="1:2">
      <c r="A191" s="158">
        <v>44651</v>
      </c>
      <c r="B191" s="223">
        <v>407</v>
      </c>
    </row>
    <row r="192" s="91" customFormat="1" customHeight="1" spans="1:2">
      <c r="A192" s="158">
        <v>44658</v>
      </c>
      <c r="B192" s="223">
        <v>410</v>
      </c>
    </row>
    <row r="193" s="91" customFormat="1" customHeight="1" spans="1:2">
      <c r="A193" s="158">
        <v>44665</v>
      </c>
      <c r="B193" s="223">
        <v>443</v>
      </c>
    </row>
    <row r="194" s="91" customFormat="1" customHeight="1" spans="1:2">
      <c r="A194" s="158">
        <v>44672</v>
      </c>
      <c r="B194" s="223">
        <v>506</v>
      </c>
    </row>
    <row r="195" s="91" customFormat="1" customHeight="1" spans="1:2">
      <c r="A195" s="158">
        <v>44679</v>
      </c>
      <c r="B195" s="223">
        <v>577</v>
      </c>
    </row>
    <row r="196" s="91" customFormat="1" customHeight="1" spans="1:2">
      <c r="A196" s="158">
        <v>44686</v>
      </c>
      <c r="B196" s="223">
        <v>625</v>
      </c>
    </row>
    <row r="197" s="91" customFormat="1" customHeight="1" spans="1:2">
      <c r="A197" s="158">
        <v>44693</v>
      </c>
      <c r="B197" s="223">
        <v>663</v>
      </c>
    </row>
    <row r="198" s="91" customFormat="1" customHeight="1" spans="1:2">
      <c r="A198" s="158">
        <v>44700</v>
      </c>
      <c r="B198" s="223">
        <v>683</v>
      </c>
    </row>
    <row r="199" s="91" customFormat="1" customHeight="1" spans="1:2">
      <c r="A199" s="158">
        <v>44707</v>
      </c>
      <c r="B199" s="223">
        <v>689</v>
      </c>
    </row>
    <row r="200" s="91" customFormat="1" customHeight="1" spans="1:2">
      <c r="A200" s="158">
        <v>44714</v>
      </c>
      <c r="B200" s="223">
        <v>686</v>
      </c>
    </row>
    <row r="201" s="91" customFormat="1" customHeight="1" spans="1:2">
      <c r="A201" s="158">
        <v>44721</v>
      </c>
      <c r="B201" s="223">
        <v>651</v>
      </c>
    </row>
    <row r="202" s="91" customFormat="1" customHeight="1" spans="1:2">
      <c r="A202" s="158">
        <v>44728</v>
      </c>
      <c r="B202" s="223">
        <v>634</v>
      </c>
    </row>
    <row r="203" s="91" customFormat="1" customHeight="1" spans="1:2">
      <c r="A203" s="158">
        <v>44735</v>
      </c>
      <c r="B203" s="223">
        <v>627</v>
      </c>
    </row>
    <row r="204" s="91" customFormat="1" customHeight="1" spans="1:2">
      <c r="A204" s="158">
        <v>44742</v>
      </c>
      <c r="B204" s="223">
        <v>644</v>
      </c>
    </row>
    <row r="205" s="91" customFormat="1" customHeight="1" spans="1:2">
      <c r="A205" s="158">
        <v>44749</v>
      </c>
      <c r="B205" s="223">
        <v>743</v>
      </c>
    </row>
    <row r="206" s="91" customFormat="1" customHeight="1" spans="1:2">
      <c r="A206" s="158">
        <v>44756</v>
      </c>
      <c r="B206" s="223">
        <v>776</v>
      </c>
    </row>
    <row r="207" s="91" customFormat="1" customHeight="1" spans="1:2">
      <c r="A207" s="158">
        <v>44763</v>
      </c>
      <c r="B207" s="108">
        <v>829</v>
      </c>
    </row>
    <row r="208" s="91" customFormat="1" customHeight="1" spans="1:2">
      <c r="A208" s="158">
        <v>44770</v>
      </c>
      <c r="B208" s="108">
        <v>852</v>
      </c>
    </row>
    <row r="209" customFormat="1" customHeight="1" spans="1:2">
      <c r="A209" s="158">
        <v>44777</v>
      </c>
      <c r="B209" s="108">
        <v>803</v>
      </c>
    </row>
    <row r="210" customHeight="1" spans="1:2">
      <c r="A210" s="158">
        <v>44784</v>
      </c>
      <c r="B210" s="108">
        <v>728</v>
      </c>
    </row>
    <row r="211" customHeight="1" spans="1:2">
      <c r="A211" s="158">
        <v>44791</v>
      </c>
      <c r="B211" s="108">
        <v>681</v>
      </c>
    </row>
    <row r="212" customHeight="1" spans="1:2">
      <c r="A212" s="158">
        <v>44798</v>
      </c>
      <c r="B212" s="108">
        <v>644</v>
      </c>
    </row>
    <row r="213" customHeight="1" spans="1:2">
      <c r="A213" s="158">
        <v>44805</v>
      </c>
      <c r="B213" s="108">
        <v>639</v>
      </c>
    </row>
    <row r="214" customHeight="1" spans="1:2">
      <c r="A214" s="158">
        <v>44812</v>
      </c>
      <c r="B214" s="108">
        <v>629</v>
      </c>
    </row>
    <row r="215" customHeight="1" spans="1:2">
      <c r="A215" s="158">
        <v>44819</v>
      </c>
      <c r="B215" s="108">
        <v>626</v>
      </c>
    </row>
    <row r="216" customHeight="1" spans="1:2">
      <c r="A216" s="158">
        <v>44826</v>
      </c>
      <c r="B216" s="108">
        <v>626</v>
      </c>
    </row>
    <row r="217" customHeight="1" spans="1:2">
      <c r="A217" s="158">
        <v>44833</v>
      </c>
      <c r="B217" s="108">
        <v>637</v>
      </c>
    </row>
    <row r="218" customHeight="1" spans="1:2">
      <c r="A218" s="158">
        <v>44842</v>
      </c>
      <c r="B218" s="108">
        <v>662</v>
      </c>
    </row>
    <row r="219" customHeight="1" spans="1:2">
      <c r="A219" s="158">
        <v>44847</v>
      </c>
      <c r="B219" s="108">
        <v>728</v>
      </c>
    </row>
    <row r="220" customHeight="1" spans="1:2">
      <c r="A220" s="158">
        <v>44854</v>
      </c>
      <c r="B220" s="108">
        <v>801</v>
      </c>
    </row>
    <row r="221" customHeight="1" spans="1:2">
      <c r="A221" s="158">
        <v>44861</v>
      </c>
      <c r="B221" s="108">
        <v>832</v>
      </c>
    </row>
    <row r="222" customHeight="1" spans="1:2">
      <c r="A222" s="158">
        <v>44868</v>
      </c>
      <c r="B222" s="108">
        <v>834</v>
      </c>
    </row>
    <row r="223" customHeight="1" spans="1:2">
      <c r="A223" s="158">
        <v>44875</v>
      </c>
      <c r="B223" s="108">
        <v>804</v>
      </c>
    </row>
    <row r="224" customHeight="1" spans="1:2">
      <c r="A224" s="158">
        <v>44882</v>
      </c>
      <c r="B224" s="108">
        <v>764</v>
      </c>
    </row>
    <row r="225" customHeight="1" spans="1:2">
      <c r="A225" s="158">
        <v>44889</v>
      </c>
      <c r="B225" s="108">
        <v>726</v>
      </c>
    </row>
    <row r="226" customHeight="1" spans="1:2">
      <c r="A226" s="158">
        <v>44896</v>
      </c>
      <c r="B226" s="108">
        <v>690</v>
      </c>
    </row>
    <row r="227" customHeight="1" spans="1:2">
      <c r="A227" s="158">
        <v>44903</v>
      </c>
      <c r="B227" s="108">
        <v>652</v>
      </c>
    </row>
    <row r="228" customHeight="1" spans="1:2">
      <c r="A228" s="158">
        <v>44910</v>
      </c>
      <c r="B228" s="108">
        <v>602</v>
      </c>
    </row>
    <row r="229" customHeight="1" spans="1:2">
      <c r="A229" s="158">
        <v>44917</v>
      </c>
      <c r="B229" s="108">
        <v>569</v>
      </c>
    </row>
    <row r="230" customHeight="1" spans="1:2">
      <c r="A230" s="158">
        <v>44924</v>
      </c>
      <c r="B230" s="154">
        <v>534</v>
      </c>
    </row>
    <row r="231" customHeight="1" spans="1:2">
      <c r="A231" s="158">
        <v>44931</v>
      </c>
      <c r="B231" s="154">
        <v>508</v>
      </c>
    </row>
    <row r="232" customHeight="1" spans="1:2">
      <c r="A232" s="158">
        <v>44938</v>
      </c>
      <c r="B232" s="154">
        <v>461</v>
      </c>
    </row>
    <row r="233" customHeight="1" spans="1:2">
      <c r="A233" s="158">
        <v>44959</v>
      </c>
      <c r="B233" s="154">
        <v>518</v>
      </c>
    </row>
    <row r="234" customHeight="1" spans="1:2">
      <c r="A234" s="158">
        <v>44966</v>
      </c>
      <c r="B234" s="154">
        <v>555</v>
      </c>
    </row>
    <row r="235" customHeight="1" spans="1:2">
      <c r="A235" s="158">
        <v>44973</v>
      </c>
      <c r="B235" s="154">
        <v>596</v>
      </c>
    </row>
    <row r="236" customHeight="1" spans="1:2">
      <c r="A236" s="158">
        <v>44980</v>
      </c>
      <c r="B236" s="154">
        <v>649</v>
      </c>
    </row>
    <row r="237" customHeight="1" spans="1:2">
      <c r="A237" s="158">
        <v>44987</v>
      </c>
      <c r="B237" s="154">
        <v>703</v>
      </c>
    </row>
    <row r="238" customHeight="1" spans="1:2">
      <c r="A238" s="158">
        <v>44994</v>
      </c>
      <c r="B238" s="154">
        <v>704</v>
      </c>
    </row>
    <row r="239" customHeight="1" spans="1:2">
      <c r="A239" s="158">
        <v>45001</v>
      </c>
      <c r="B239" s="154">
        <v>691</v>
      </c>
    </row>
    <row r="240" customHeight="1" spans="1:2">
      <c r="A240" s="158">
        <v>45008</v>
      </c>
      <c r="B240" s="154">
        <v>674</v>
      </c>
    </row>
    <row r="241" customHeight="1" spans="1:2">
      <c r="A241" s="158">
        <v>45015</v>
      </c>
      <c r="B241" s="154">
        <v>655</v>
      </c>
    </row>
    <row r="242" customHeight="1" spans="1:2">
      <c r="A242" s="158">
        <v>45022</v>
      </c>
      <c r="B242" s="154">
        <v>641</v>
      </c>
    </row>
    <row r="243" customHeight="1" spans="1:2">
      <c r="A243" s="158">
        <v>45029</v>
      </c>
      <c r="B243" s="154">
        <v>618</v>
      </c>
    </row>
    <row r="244" customHeight="1" spans="1:2">
      <c r="A244" s="158">
        <v>45036</v>
      </c>
      <c r="B244" s="154">
        <v>618</v>
      </c>
    </row>
    <row r="245" customHeight="1" spans="1:2">
      <c r="A245" s="158">
        <v>45043</v>
      </c>
      <c r="B245" s="154">
        <v>613</v>
      </c>
    </row>
    <row r="246" customHeight="1" spans="1:2">
      <c r="A246" s="158">
        <v>45050</v>
      </c>
      <c r="B246" s="154">
        <v>622</v>
      </c>
    </row>
    <row r="247" customHeight="1" spans="1:2">
      <c r="A247" s="158">
        <v>45057</v>
      </c>
      <c r="B247" s="154">
        <v>638</v>
      </c>
    </row>
    <row r="248" customHeight="1" spans="1:2">
      <c r="A248" s="158">
        <v>45064</v>
      </c>
      <c r="B248" s="154">
        <v>650</v>
      </c>
    </row>
    <row r="249" customHeight="1" spans="1:2">
      <c r="A249" s="158">
        <v>45071</v>
      </c>
      <c r="B249" s="154">
        <v>650</v>
      </c>
    </row>
    <row r="250" customHeight="1" spans="1:2">
      <c r="A250" s="158">
        <v>45078</v>
      </c>
      <c r="B250" s="154">
        <v>621</v>
      </c>
    </row>
    <row r="251" customHeight="1" spans="1:2">
      <c r="A251" s="158">
        <v>45085</v>
      </c>
      <c r="B251" s="154">
        <v>568</v>
      </c>
    </row>
    <row r="252" customHeight="1" spans="1:2">
      <c r="A252" s="158">
        <v>45092</v>
      </c>
      <c r="B252" s="154">
        <v>507</v>
      </c>
    </row>
    <row r="253" customHeight="1" spans="1:2">
      <c r="A253" s="158">
        <v>45098</v>
      </c>
      <c r="B253" s="154">
        <v>502</v>
      </c>
    </row>
    <row r="254" customHeight="1" spans="1:2">
      <c r="A254" s="158">
        <v>45106</v>
      </c>
      <c r="B254" s="154">
        <v>495</v>
      </c>
    </row>
    <row r="255" customHeight="1" spans="1:2">
      <c r="A255" s="158">
        <v>45113</v>
      </c>
      <c r="B255" s="154">
        <v>474</v>
      </c>
    </row>
    <row r="256" customHeight="1" spans="1:2">
      <c r="A256" s="158">
        <v>45120</v>
      </c>
      <c r="B256" s="154">
        <v>469</v>
      </c>
    </row>
    <row r="257" customHeight="1" spans="1:2">
      <c r="A257" s="158">
        <v>45127</v>
      </c>
      <c r="B257" s="154">
        <v>450</v>
      </c>
    </row>
    <row r="258" customHeight="1" spans="1:2">
      <c r="A258" s="158">
        <v>45134</v>
      </c>
      <c r="B258" s="154">
        <v>458</v>
      </c>
    </row>
    <row r="259" customHeight="1" spans="1:2">
      <c r="A259" s="158">
        <v>45141</v>
      </c>
      <c r="B259" s="154">
        <v>466</v>
      </c>
    </row>
    <row r="260" customHeight="1" spans="1:2">
      <c r="A260" s="158">
        <v>45148</v>
      </c>
      <c r="B260" s="154">
        <v>516</v>
      </c>
    </row>
    <row r="261" customHeight="1" spans="1:2">
      <c r="A261" s="158">
        <v>45155</v>
      </c>
      <c r="B261" s="154">
        <v>540</v>
      </c>
    </row>
    <row r="262" customHeight="1" spans="1:2">
      <c r="A262" s="158">
        <v>45162</v>
      </c>
      <c r="B262" s="154">
        <v>511</v>
      </c>
    </row>
    <row r="263" customHeight="1" spans="1:2">
      <c r="A263" s="158">
        <v>45169</v>
      </c>
      <c r="B263" s="154">
        <v>469</v>
      </c>
    </row>
    <row r="264" customHeight="1" spans="1:2">
      <c r="A264" s="158">
        <v>45176</v>
      </c>
      <c r="B264" s="154">
        <v>436</v>
      </c>
    </row>
    <row r="265" customHeight="1" spans="1:2">
      <c r="A265" s="158">
        <v>45183</v>
      </c>
      <c r="B265" s="154">
        <v>416</v>
      </c>
    </row>
    <row r="266" customHeight="1" spans="1:2">
      <c r="A266" s="158">
        <v>45190</v>
      </c>
      <c r="B266" s="154">
        <v>381</v>
      </c>
    </row>
    <row r="267" customHeight="1" spans="1:2">
      <c r="A267" s="158">
        <v>45197</v>
      </c>
      <c r="B267" s="154">
        <v>306</v>
      </c>
    </row>
    <row r="268" customHeight="1" spans="1:2">
      <c r="A268" s="158">
        <v>45205</v>
      </c>
      <c r="B268" s="154">
        <v>296</v>
      </c>
    </row>
    <row r="269" customHeight="1" spans="1:2">
      <c r="A269" s="158">
        <v>45211</v>
      </c>
      <c r="B269" s="154">
        <v>279</v>
      </c>
    </row>
    <row r="270" customHeight="1" spans="1:2">
      <c r="A270" s="158">
        <v>45218</v>
      </c>
      <c r="B270" s="154">
        <v>214</v>
      </c>
    </row>
    <row r="271" customHeight="1" spans="1:2">
      <c r="A271" s="158">
        <v>45225</v>
      </c>
      <c r="B271" s="154">
        <v>206</v>
      </c>
    </row>
    <row r="272" customHeight="1" spans="1:2">
      <c r="A272" s="158">
        <v>45232</v>
      </c>
      <c r="B272" s="154">
        <v>235</v>
      </c>
    </row>
    <row r="273" customHeight="1" spans="1:2">
      <c r="A273" s="158">
        <v>45239</v>
      </c>
      <c r="B273" s="154">
        <v>254</v>
      </c>
    </row>
    <row r="274" customHeight="1" spans="1:2">
      <c r="A274" s="158">
        <v>45246</v>
      </c>
      <c r="B274" s="154">
        <v>292</v>
      </c>
    </row>
    <row r="275" customHeight="1" spans="1:2">
      <c r="A275" s="158">
        <v>45253</v>
      </c>
      <c r="B275" s="154">
        <v>312</v>
      </c>
    </row>
    <row r="276" customHeight="1" spans="1:2">
      <c r="A276" s="158">
        <v>45260</v>
      </c>
      <c r="B276" s="154">
        <v>319</v>
      </c>
    </row>
    <row r="277" customHeight="1" spans="1:2">
      <c r="A277" s="158">
        <v>45267</v>
      </c>
      <c r="B277" s="154">
        <v>318</v>
      </c>
    </row>
    <row r="278" customHeight="1" spans="1:2">
      <c r="A278" s="158">
        <v>45274</v>
      </c>
      <c r="B278" s="154">
        <v>318</v>
      </c>
    </row>
    <row r="279" customHeight="1" spans="1:2">
      <c r="A279" s="158">
        <v>45281</v>
      </c>
      <c r="B279" s="154">
        <v>308</v>
      </c>
    </row>
    <row r="280" customHeight="1" spans="1:2">
      <c r="A280" s="158">
        <v>45288</v>
      </c>
      <c r="B280" s="154">
        <v>303</v>
      </c>
    </row>
    <row r="281" customHeight="1" spans="1:2">
      <c r="A281" s="158">
        <v>45295</v>
      </c>
      <c r="B281" s="154">
        <v>303</v>
      </c>
    </row>
    <row r="282" customHeight="1" spans="1:2">
      <c r="A282" s="158">
        <v>45302</v>
      </c>
      <c r="B282" s="154">
        <v>306</v>
      </c>
    </row>
    <row r="283" customHeight="1" spans="1:2">
      <c r="A283" s="158">
        <v>45309</v>
      </c>
      <c r="B283" s="154">
        <v>332</v>
      </c>
    </row>
    <row r="284" customHeight="1" spans="1:2">
      <c r="A284" s="158">
        <v>45316</v>
      </c>
      <c r="B284" s="154">
        <v>469</v>
      </c>
    </row>
    <row r="285" customHeight="1" spans="1:2">
      <c r="A285" s="158">
        <v>45323</v>
      </c>
      <c r="B285" s="154">
        <v>506</v>
      </c>
    </row>
    <row r="286" customHeight="1" spans="1:2">
      <c r="A286" s="158">
        <v>45344</v>
      </c>
      <c r="B286" s="154">
        <v>603</v>
      </c>
    </row>
    <row r="287" customHeight="1" spans="1:2">
      <c r="A287" s="158">
        <v>45351</v>
      </c>
      <c r="B287" s="154">
        <v>555</v>
      </c>
    </row>
    <row r="288" customHeight="1" spans="1:2">
      <c r="A288" s="158">
        <v>45358</v>
      </c>
      <c r="B288" s="154">
        <v>530</v>
      </c>
    </row>
    <row r="289" customHeight="1" spans="1:2">
      <c r="A289" s="158">
        <v>45365</v>
      </c>
      <c r="B289" s="154">
        <v>561</v>
      </c>
    </row>
    <row r="290" customHeight="1" spans="1:2">
      <c r="A290" s="158">
        <v>45372</v>
      </c>
      <c r="B290" s="154">
        <v>631</v>
      </c>
    </row>
    <row r="291" customHeight="1" spans="1:2">
      <c r="A291" s="158">
        <v>45379</v>
      </c>
      <c r="B291" s="154">
        <v>711</v>
      </c>
    </row>
    <row r="292" customHeight="1" spans="1:2">
      <c r="A292" s="158">
        <v>45385</v>
      </c>
      <c r="B292" s="154">
        <v>722</v>
      </c>
    </row>
    <row r="293" customHeight="1" spans="1:2">
      <c r="A293" s="158">
        <v>45393</v>
      </c>
      <c r="B293" s="154">
        <v>718</v>
      </c>
    </row>
    <row r="294" customHeight="1" spans="1:2">
      <c r="A294" s="158">
        <v>45400</v>
      </c>
      <c r="B294" s="154">
        <v>717</v>
      </c>
    </row>
    <row r="295" customHeight="1" spans="1:2">
      <c r="A295" s="158">
        <v>45407</v>
      </c>
      <c r="B295" s="154">
        <v>713</v>
      </c>
    </row>
    <row r="296" customHeight="1" spans="1:2">
      <c r="A296" s="158">
        <v>45414</v>
      </c>
      <c r="B296" s="154">
        <v>700</v>
      </c>
    </row>
    <row r="297" customHeight="1" spans="1:2">
      <c r="A297" s="158">
        <v>45421</v>
      </c>
      <c r="B297" s="154">
        <v>689</v>
      </c>
    </row>
    <row r="298" customHeight="1" spans="1:2">
      <c r="A298" s="158">
        <v>45428</v>
      </c>
      <c r="B298" s="154">
        <v>689</v>
      </c>
    </row>
    <row r="299" customHeight="1" spans="1:2">
      <c r="A299" s="158">
        <v>45435</v>
      </c>
      <c r="B299" s="154">
        <v>705</v>
      </c>
    </row>
    <row r="300" customHeight="1" spans="1:2">
      <c r="A300" s="158">
        <v>45442</v>
      </c>
      <c r="B300" s="154">
        <v>746</v>
      </c>
    </row>
    <row r="301" customHeight="1" spans="1:2">
      <c r="A301" s="158">
        <v>45449</v>
      </c>
      <c r="B301" s="154">
        <v>801</v>
      </c>
    </row>
    <row r="302" customHeight="1" spans="1:2">
      <c r="A302" s="158">
        <v>45456</v>
      </c>
      <c r="B302" s="154">
        <v>807</v>
      </c>
    </row>
    <row r="303" customHeight="1" spans="1:2">
      <c r="A303" s="158">
        <v>45463</v>
      </c>
      <c r="B303" s="154">
        <v>796</v>
      </c>
    </row>
    <row r="304" customHeight="1" spans="1:2">
      <c r="A304" s="158">
        <v>45470</v>
      </c>
      <c r="B304" s="154">
        <v>759</v>
      </c>
    </row>
    <row r="305" customHeight="1" spans="1:2">
      <c r="A305" s="158">
        <v>45477</v>
      </c>
      <c r="B305" s="154">
        <v>702</v>
      </c>
    </row>
    <row r="306" customHeight="1" spans="1:2">
      <c r="A306" s="158">
        <v>45484</v>
      </c>
      <c r="B306" s="154">
        <v>666</v>
      </c>
    </row>
    <row r="307" customHeight="1" spans="1:2">
      <c r="A307" s="158">
        <v>45491</v>
      </c>
      <c r="B307" s="154">
        <v>645</v>
      </c>
    </row>
    <row r="308" customHeight="1" spans="1:2">
      <c r="A308" s="158">
        <v>45498</v>
      </c>
      <c r="B308" s="154">
        <v>682</v>
      </c>
    </row>
    <row r="309" customHeight="1" spans="1:2">
      <c r="A309" s="158">
        <v>45505</v>
      </c>
      <c r="B309" s="154">
        <v>679</v>
      </c>
    </row>
    <row r="310" customHeight="1" spans="1:2">
      <c r="A310" s="158">
        <v>45512</v>
      </c>
      <c r="B310" s="154">
        <v>681</v>
      </c>
    </row>
    <row r="311" customHeight="1" spans="1:2">
      <c r="A311" s="158">
        <v>45519</v>
      </c>
      <c r="B311" s="154">
        <v>689</v>
      </c>
    </row>
    <row r="312" customHeight="1" spans="1:2">
      <c r="A312" s="158">
        <v>45526</v>
      </c>
      <c r="B312" s="154">
        <v>686</v>
      </c>
    </row>
    <row r="313" customHeight="1" spans="1:2">
      <c r="A313" s="158">
        <v>45533</v>
      </c>
      <c r="B313" s="154">
        <v>686</v>
      </c>
    </row>
    <row r="314" customHeight="1" spans="1:2">
      <c r="A314" s="158">
        <v>45540</v>
      </c>
      <c r="B314" s="154">
        <v>649</v>
      </c>
    </row>
    <row r="315" customHeight="1" spans="1:2">
      <c r="A315" s="158">
        <v>45547</v>
      </c>
      <c r="B315" s="154">
        <v>613</v>
      </c>
    </row>
    <row r="316" customHeight="1" spans="1:2">
      <c r="A316" s="158">
        <v>45554</v>
      </c>
      <c r="B316" s="154">
        <v>557</v>
      </c>
    </row>
    <row r="317" customHeight="1" spans="1:2">
      <c r="A317" s="158">
        <v>45561</v>
      </c>
      <c r="B317" s="154">
        <v>489</v>
      </c>
    </row>
    <row r="318" customHeight="1" spans="1:2">
      <c r="A318" s="158">
        <v>45575</v>
      </c>
      <c r="B318" s="154">
        <v>438</v>
      </c>
    </row>
    <row r="319" customHeight="1" spans="1:2">
      <c r="A319" s="158">
        <v>45582</v>
      </c>
      <c r="B319" s="154">
        <v>458</v>
      </c>
    </row>
    <row r="320" customHeight="1" spans="1:2">
      <c r="A320" s="158">
        <v>45589</v>
      </c>
      <c r="B320" s="154">
        <v>466</v>
      </c>
    </row>
    <row r="321" customHeight="1" spans="1:2">
      <c r="A321" s="158">
        <v>45596</v>
      </c>
      <c r="B321" s="154">
        <v>500</v>
      </c>
    </row>
    <row r="322" customHeight="1" spans="1:2">
      <c r="A322" s="158">
        <v>45603</v>
      </c>
      <c r="B322" s="154">
        <v>530</v>
      </c>
    </row>
    <row r="323" customHeight="1" spans="1:2">
      <c r="A323" s="158">
        <v>45610</v>
      </c>
      <c r="B323" s="154">
        <v>513</v>
      </c>
    </row>
    <row r="324" customHeight="1" spans="1:2">
      <c r="A324" s="158">
        <v>45617</v>
      </c>
      <c r="B324" s="154">
        <v>492</v>
      </c>
    </row>
    <row r="325" customHeight="1" spans="1:2">
      <c r="A325" s="158">
        <v>45624</v>
      </c>
      <c r="B325" s="154">
        <v>487</v>
      </c>
    </row>
    <row r="326" customHeight="1" spans="1:2">
      <c r="A326" s="158">
        <v>45631</v>
      </c>
      <c r="B326" s="154">
        <v>470</v>
      </c>
    </row>
    <row r="327" customHeight="1" spans="1:2">
      <c r="A327" s="158">
        <v>45638</v>
      </c>
      <c r="B327" s="154">
        <v>458</v>
      </c>
    </row>
    <row r="328" customHeight="1" spans="1:2">
      <c r="A328" s="158">
        <v>45645</v>
      </c>
      <c r="B328" s="154">
        <v>448</v>
      </c>
    </row>
    <row r="329" customHeight="1" spans="1:2">
      <c r="A329" s="158">
        <v>45652</v>
      </c>
      <c r="B329" s="154">
        <v>443</v>
      </c>
    </row>
    <row r="330" customHeight="1" spans="1:2">
      <c r="A330" s="158">
        <v>45659</v>
      </c>
      <c r="B330" s="154">
        <v>491</v>
      </c>
    </row>
    <row r="331" customHeight="1" spans="1:2">
      <c r="A331" s="158">
        <v>45666</v>
      </c>
      <c r="B331" s="154">
        <v>538</v>
      </c>
    </row>
    <row r="332" customHeight="1" spans="1:2">
      <c r="A332" s="158">
        <v>45673</v>
      </c>
      <c r="B332" s="154">
        <v>581</v>
      </c>
    </row>
    <row r="333" customHeight="1" spans="1:2">
      <c r="A333" s="158">
        <v>45680</v>
      </c>
      <c r="B333" s="154">
        <v>632</v>
      </c>
    </row>
    <row r="334" customHeight="1" spans="1:2">
      <c r="A334" s="158">
        <v>45694</v>
      </c>
      <c r="B334" s="154">
        <v>654</v>
      </c>
    </row>
    <row r="335" customHeight="1" spans="1:2">
      <c r="A335" s="158">
        <v>45701</v>
      </c>
      <c r="B335" s="154">
        <v>630</v>
      </c>
    </row>
    <row r="336" customHeight="1" spans="1:2">
      <c r="A336" s="158">
        <v>45708</v>
      </c>
      <c r="B336" s="154">
        <v>592</v>
      </c>
    </row>
    <row r="337" customHeight="1" spans="1:2">
      <c r="A337" s="158">
        <v>45715</v>
      </c>
      <c r="B337" s="154">
        <v>559</v>
      </c>
    </row>
    <row r="338" customHeight="1" spans="1:2">
      <c r="A338" s="158">
        <v>45722</v>
      </c>
      <c r="B338" s="154">
        <v>559</v>
      </c>
    </row>
    <row r="339" customHeight="1" spans="1:2">
      <c r="A339" s="158">
        <v>45729</v>
      </c>
      <c r="B339" s="154">
        <v>605</v>
      </c>
    </row>
    <row r="340" customHeight="1" spans="1:2">
      <c r="A340" s="158">
        <v>45736</v>
      </c>
      <c r="B340" s="154">
        <v>630</v>
      </c>
    </row>
    <row r="341" customHeight="1" spans="1:2">
      <c r="A341" s="158">
        <v>45743</v>
      </c>
      <c r="B341" s="154">
        <v>648</v>
      </c>
    </row>
    <row r="342" customHeight="1" spans="1:2">
      <c r="A342" s="158">
        <v>45750</v>
      </c>
      <c r="B342" s="154">
        <v>659</v>
      </c>
    </row>
    <row r="343" customHeight="1" spans="1:2">
      <c r="A343" s="158">
        <v>45757</v>
      </c>
      <c r="B343" s="154">
        <v>659</v>
      </c>
    </row>
    <row r="344" customHeight="1" spans="1:2">
      <c r="A344" s="158">
        <v>45764</v>
      </c>
      <c r="B344" s="154">
        <v>659</v>
      </c>
    </row>
    <row r="345" customHeight="1" spans="1:2">
      <c r="A345" s="158">
        <v>45771</v>
      </c>
      <c r="B345" s="154">
        <v>650</v>
      </c>
    </row>
    <row r="346" customHeight="1" spans="1:2">
      <c r="A346" s="158">
        <v>45777</v>
      </c>
      <c r="B346" s="154">
        <v>650</v>
      </c>
    </row>
    <row r="347" customHeight="1" spans="1:2">
      <c r="A347" s="158">
        <v>45785</v>
      </c>
      <c r="B347" s="154">
        <v>647</v>
      </c>
    </row>
    <row r="348" customHeight="1" spans="1:2">
      <c r="A348" s="158">
        <v>45792</v>
      </c>
      <c r="B348" s="154">
        <v>630</v>
      </c>
    </row>
    <row r="349" customHeight="1" spans="1:2">
      <c r="A349" s="158">
        <v>45799</v>
      </c>
      <c r="B349" s="154">
        <v>626</v>
      </c>
    </row>
    <row r="350" customHeight="1" spans="1:2">
      <c r="A350" s="158">
        <v>45806</v>
      </c>
      <c r="B350" s="154">
        <v>606</v>
      </c>
    </row>
    <row r="351" customHeight="1" spans="1:2">
      <c r="A351" s="158">
        <v>45813</v>
      </c>
      <c r="B351" s="154">
        <v>583</v>
      </c>
    </row>
    <row r="352" customHeight="1" spans="1:2">
      <c r="A352" s="158">
        <v>45820</v>
      </c>
      <c r="B352" s="154">
        <v>566</v>
      </c>
    </row>
    <row r="353" customHeight="1" spans="1:2">
      <c r="A353" s="158">
        <v>45827</v>
      </c>
      <c r="B353" s="154">
        <v>544</v>
      </c>
    </row>
    <row r="354" customHeight="1" spans="1:2">
      <c r="A354" s="158">
        <v>45834</v>
      </c>
      <c r="B354" s="154">
        <v>529</v>
      </c>
    </row>
    <row r="355" customHeight="1" spans="1:2">
      <c r="A355" s="158">
        <v>45841</v>
      </c>
      <c r="B355" s="154">
        <v>529</v>
      </c>
    </row>
    <row r="356" customHeight="1" spans="1:2">
      <c r="A356" s="158">
        <v>45848</v>
      </c>
      <c r="B356" s="154">
        <v>539</v>
      </c>
    </row>
    <row r="357" customHeight="1" spans="1:2">
      <c r="A357" s="158">
        <v>45855</v>
      </c>
      <c r="B357" s="154">
        <v>540</v>
      </c>
    </row>
    <row r="358" customHeight="1" spans="1:2">
      <c r="A358" s="158">
        <v>45862</v>
      </c>
      <c r="B358" s="154">
        <v>540</v>
      </c>
    </row>
    <row r="359" customHeight="1" spans="1:2">
      <c r="A359" s="158">
        <v>45869</v>
      </c>
      <c r="B359" s="154">
        <v>526</v>
      </c>
    </row>
    <row r="360" customHeight="1" spans="1:2">
      <c r="A360" s="158">
        <v>45876</v>
      </c>
      <c r="B360" s="154">
        <v>516</v>
      </c>
    </row>
    <row r="361" customHeight="1" spans="1:2">
      <c r="A361" s="158">
        <v>45883</v>
      </c>
      <c r="B361" s="154">
        <v>482</v>
      </c>
    </row>
    <row r="362" customHeight="1" spans="1:2">
      <c r="A362" s="158">
        <v>45890</v>
      </c>
      <c r="B362" s="154">
        <v>460</v>
      </c>
    </row>
    <row r="363" customHeight="1" spans="1:2">
      <c r="A363" s="158">
        <v>45897</v>
      </c>
      <c r="B363" s="154">
        <v>444</v>
      </c>
    </row>
    <row r="364" customHeight="1" spans="1:2">
      <c r="A364" s="158">
        <v>45904</v>
      </c>
      <c r="B364" s="154">
        <v>425</v>
      </c>
    </row>
    <row r="365" customHeight="1" spans="1:2">
      <c r="A365" s="158">
        <v>45911</v>
      </c>
      <c r="B365" s="154">
        <v>393</v>
      </c>
    </row>
    <row r="366" customHeight="1" spans="1:2">
      <c r="A366" s="158">
        <v>45918</v>
      </c>
      <c r="B366" s="154">
        <v>359</v>
      </c>
    </row>
    <row r="367" customHeight="1" spans="1:2">
      <c r="A367" s="158">
        <v>45925</v>
      </c>
      <c r="B367" s="154">
        <v>334</v>
      </c>
    </row>
    <row r="368" customHeight="1" spans="1:2">
      <c r="A368" s="158">
        <v>45939</v>
      </c>
      <c r="B368" s="154">
        <v>281</v>
      </c>
    </row>
    <row r="369" customHeight="1" spans="1:2">
      <c r="A369" s="158">
        <v>45946</v>
      </c>
      <c r="B369" s="154">
        <v>266</v>
      </c>
    </row>
    <row r="370" customHeight="1" spans="1:2">
      <c r="A370" s="158">
        <v>45953</v>
      </c>
      <c r="B370" s="154">
        <v>255</v>
      </c>
    </row>
    <row r="371" customHeight="1" spans="1:2">
      <c r="A371" s="158">
        <v>45960</v>
      </c>
      <c r="B371" s="154">
        <v>266</v>
      </c>
    </row>
    <row r="372" customHeight="1" spans="1:2">
      <c r="A372" s="158">
        <v>45967</v>
      </c>
      <c r="B372" s="154">
        <v>288</v>
      </c>
    </row>
    <row r="373" customHeight="1" spans="1:2">
      <c r="A373" s="158">
        <v>45974</v>
      </c>
      <c r="B373" s="154">
        <v>300</v>
      </c>
    </row>
    <row r="374" customHeight="1" spans="1:2">
      <c r="A374" s="158">
        <v>45981</v>
      </c>
      <c r="B374" s="154">
        <v>300</v>
      </c>
    </row>
    <row r="375" customHeight="1" spans="1:2">
      <c r="A375" s="158">
        <v>45988</v>
      </c>
      <c r="B375" s="154">
        <v>300</v>
      </c>
    </row>
    <row r="376" customHeight="1" spans="1:2">
      <c r="A376" s="158">
        <v>45995</v>
      </c>
      <c r="B376" s="154">
        <v>297</v>
      </c>
    </row>
    <row r="377" customHeight="1" spans="1:2">
      <c r="A377" s="158">
        <v>46002</v>
      </c>
      <c r="B377" s="154">
        <v>306</v>
      </c>
    </row>
    <row r="378" customHeight="1" spans="1:2">
      <c r="A378" s="158">
        <v>46009</v>
      </c>
      <c r="B378" s="154">
        <v>307</v>
      </c>
    </row>
    <row r="379" customHeight="1" spans="1:2">
      <c r="A379" s="158">
        <v>46016</v>
      </c>
      <c r="B379" s="154">
        <v>308</v>
      </c>
    </row>
    <row r="380" customHeight="1" spans="1:2">
      <c r="A380" s="158">
        <v>46023</v>
      </c>
      <c r="B380" s="154">
        <v>321</v>
      </c>
    </row>
    <row r="381" customHeight="1" spans="1:2">
      <c r="A381" s="158">
        <v>46030</v>
      </c>
      <c r="B381" s="154">
        <v>366</v>
      </c>
    </row>
    <row r="382" customHeight="1" spans="1:2">
      <c r="A382" s="158">
        <v>46037</v>
      </c>
      <c r="B382" s="154">
        <v>425</v>
      </c>
    </row>
    <row r="383" customHeight="1" spans="1:2">
      <c r="A383" s="158">
        <v>46044</v>
      </c>
      <c r="B383" s="154">
        <v>456</v>
      </c>
    </row>
    <row r="384" customHeight="1" spans="1:2">
      <c r="A384" s="158">
        <v>46051</v>
      </c>
      <c r="B384" s="154">
        <v>471</v>
      </c>
    </row>
    <row r="385" customHeight="1" spans="1:2">
      <c r="A385" s="158">
        <v>46058</v>
      </c>
      <c r="B385" s="154">
        <v>471</v>
      </c>
    </row>
    <row r="386" customHeight="1" spans="1:2">
      <c r="A386" s="158">
        <v>46065</v>
      </c>
      <c r="B386" s="154">
        <v>471</v>
      </c>
    </row>
    <row r="387" customHeight="1" spans="1:2">
      <c r="A387" s="158">
        <v>46079</v>
      </c>
      <c r="B387" s="154">
        <v>464</v>
      </c>
    </row>
    <row r="388" customHeight="1" spans="1:2">
      <c r="A388" s="158">
        <v>46086</v>
      </c>
      <c r="B388" s="154">
        <v>449</v>
      </c>
    </row>
    <row r="389" customHeight="1" spans="1:2">
      <c r="A389" s="158">
        <v>46093</v>
      </c>
      <c r="B389" s="154">
        <v>422</v>
      </c>
    </row>
    <row r="390" customHeight="1" spans="1:2">
      <c r="A390" s="158">
        <v>46100</v>
      </c>
      <c r="B390" s="154">
        <v>379</v>
      </c>
    </row>
    <row r="391" customHeight="1" spans="1:2">
      <c r="A391" s="158">
        <v>46107</v>
      </c>
      <c r="B391" s="154">
        <v>341</v>
      </c>
    </row>
    <row r="392" customHeight="1" spans="1:2">
      <c r="A392" s="158">
        <v>46114</v>
      </c>
      <c r="B392" s="154">
        <v>307</v>
      </c>
    </row>
    <row r="393" customHeight="1" spans="1:2">
      <c r="A393" s="158">
        <v>46121</v>
      </c>
      <c r="B393" s="154">
        <v>307</v>
      </c>
    </row>
    <row r="394" customHeight="1" spans="1:2">
      <c r="A394" s="158">
        <v>46128</v>
      </c>
      <c r="B394" s="154">
        <v>314</v>
      </c>
    </row>
    <row r="395" customHeight="1" spans="1:2">
      <c r="A395" s="158">
        <v>46135</v>
      </c>
      <c r="B395" s="154">
        <v>337</v>
      </c>
    </row>
    <row r="396" customHeight="1" spans="1:2">
      <c r="A396" s="158">
        <v>46142</v>
      </c>
      <c r="B396" s="154">
        <v>347</v>
      </c>
    </row>
    <row r="397" customHeight="1" spans="1:2">
      <c r="A397" s="158">
        <v>46149</v>
      </c>
      <c r="B397" s="154">
        <v>352</v>
      </c>
    </row>
    <row r="398" customHeight="1" spans="1:2">
      <c r="A398" s="158">
        <v>46156</v>
      </c>
      <c r="B398" s="154">
        <v>356</v>
      </c>
    </row>
    <row r="399" customHeight="1" spans="1:2">
      <c r="A399" s="158">
        <v>46163</v>
      </c>
      <c r="B399" s="154">
        <v>362</v>
      </c>
    </row>
    <row r="400" customHeight="1" spans="1:2">
      <c r="A400" s="158">
        <v>46170</v>
      </c>
      <c r="B400" s="154">
        <v>363</v>
      </c>
    </row>
    <row r="401" customHeight="1" spans="1:2">
      <c r="A401" s="158">
        <v>46177</v>
      </c>
      <c r="B401" s="154">
        <v>342</v>
      </c>
    </row>
    <row r="402" customHeight="1" spans="1:2">
      <c r="A402" s="158">
        <v>46184</v>
      </c>
      <c r="B402" s="154">
        <v>295</v>
      </c>
    </row>
    <row r="403" customHeight="1" spans="1:2">
      <c r="A403" s="158">
        <v>46191</v>
      </c>
      <c r="B403" s="154">
        <v>249</v>
      </c>
    </row>
    <row r="404" customHeight="1" spans="1:2">
      <c r="A404" s="158">
        <v>46198</v>
      </c>
      <c r="B404" s="154">
        <v>231</v>
      </c>
    </row>
    <row r="405" customHeight="1" spans="1:2">
      <c r="A405" s="158">
        <v>46205</v>
      </c>
      <c r="B405" s="154">
        <v>292</v>
      </c>
    </row>
    <row r="406" customHeight="1" spans="1:2">
      <c r="A406" s="158">
        <v>46212</v>
      </c>
      <c r="B406" s="154">
        <v>351</v>
      </c>
    </row>
    <row r="407" customHeight="1" spans="1:2">
      <c r="A407" s="158">
        <v>46219</v>
      </c>
      <c r="B407" s="154">
        <v>371</v>
      </c>
    </row>
    <row r="408" customHeight="1" spans="1:2">
      <c r="A408" s="158">
        <v>46226</v>
      </c>
      <c r="B408" s="154">
        <v>380</v>
      </c>
    </row>
    <row r="409" customHeight="1" spans="1:2">
      <c r="A409" s="158">
        <v>46233</v>
      </c>
      <c r="B409" s="154">
        <v>324</v>
      </c>
    </row>
    <row r="410" customHeight="1" spans="1:2">
      <c r="A410" s="158">
        <v>46240</v>
      </c>
      <c r="B410" s="154">
        <v>284</v>
      </c>
    </row>
    <row r="411" customHeight="1" spans="1:2">
      <c r="A411" s="158">
        <v>46247</v>
      </c>
      <c r="B411" s="154">
        <v>269</v>
      </c>
    </row>
    <row r="412" customHeight="1" spans="1:2">
      <c r="A412" s="158">
        <v>46254</v>
      </c>
      <c r="B412" s="154">
        <v>256</v>
      </c>
    </row>
    <row r="413" customHeight="1" spans="1:2">
      <c r="A413" s="158">
        <v>46261</v>
      </c>
      <c r="B413" s="154">
        <v>259</v>
      </c>
    </row>
    <row r="414" customHeight="1" spans="1:2">
      <c r="A414" s="158">
        <v>46268</v>
      </c>
      <c r="B414" s="154">
        <v>258</v>
      </c>
    </row>
    <row r="415" customHeight="1" spans="1:2">
      <c r="A415" s="158">
        <v>46275</v>
      </c>
      <c r="B415" s="154">
        <v>258</v>
      </c>
    </row>
    <row r="416" customHeight="1" spans="1:2">
      <c r="A416" s="158">
        <v>46282</v>
      </c>
      <c r="B416" s="154">
        <v>252</v>
      </c>
    </row>
    <row r="417" customHeight="1" spans="1:2">
      <c r="A417" s="158">
        <v>46289</v>
      </c>
      <c r="B417" s="154">
        <v>234</v>
      </c>
    </row>
  </sheetData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048572"/>
  <sheetViews>
    <sheetView workbookViewId="0">
      <pane ySplit="2" topLeftCell="A360" activePane="bottomLeft" state="frozen"/>
      <selection/>
      <selection pane="bottomLeft" activeCell="B385" sqref="B385"/>
    </sheetView>
  </sheetViews>
  <sheetFormatPr defaultColWidth="9" defaultRowHeight="13.5" outlineLevelCol="1"/>
  <cols>
    <col min="1" max="1" width="14.7583333333333" style="149" customWidth="1"/>
    <col min="2" max="2" width="12" customWidth="1"/>
  </cols>
  <sheetData>
    <row r="2" ht="21" customHeight="1" spans="1:2">
      <c r="A2" s="215" t="s">
        <v>29</v>
      </c>
      <c r="B2" s="216" t="s">
        <v>58</v>
      </c>
    </row>
    <row r="3" ht="21" customHeight="1" spans="1:2">
      <c r="A3" s="217">
        <v>44844</v>
      </c>
      <c r="B3" s="218">
        <v>508</v>
      </c>
    </row>
    <row r="4" ht="21" customHeight="1" spans="1:2">
      <c r="A4" s="217">
        <v>44848</v>
      </c>
      <c r="B4" s="218">
        <v>522</v>
      </c>
    </row>
    <row r="5" ht="21" customHeight="1" spans="1:2">
      <c r="A5" s="217">
        <v>44853</v>
      </c>
      <c r="B5" s="218">
        <v>589</v>
      </c>
    </row>
    <row r="6" ht="21" customHeight="1" spans="1:2">
      <c r="A6" s="217">
        <v>44855</v>
      </c>
      <c r="B6" s="218">
        <v>596</v>
      </c>
    </row>
    <row r="7" ht="21" customHeight="1" spans="1:2">
      <c r="A7" s="217">
        <v>44861</v>
      </c>
      <c r="B7" s="218">
        <v>624</v>
      </c>
    </row>
    <row r="8" ht="21" customHeight="1" spans="1:2">
      <c r="A8" s="217">
        <v>44862</v>
      </c>
      <c r="B8" s="218">
        <v>627</v>
      </c>
    </row>
    <row r="9" ht="21" customHeight="1" spans="1:2">
      <c r="A9" s="217">
        <v>44867</v>
      </c>
      <c r="B9" s="218">
        <v>631</v>
      </c>
    </row>
    <row r="10" ht="21" customHeight="1" spans="1:2">
      <c r="A10" s="217">
        <v>44869</v>
      </c>
      <c r="B10" s="218">
        <v>631</v>
      </c>
    </row>
    <row r="11" ht="21" customHeight="1" spans="1:2">
      <c r="A11" s="217">
        <v>44874</v>
      </c>
      <c r="B11" s="218">
        <v>615</v>
      </c>
    </row>
    <row r="12" ht="21" customHeight="1" spans="1:2">
      <c r="A12" s="217">
        <v>44876</v>
      </c>
      <c r="B12" s="218">
        <v>609</v>
      </c>
    </row>
    <row r="13" ht="21" customHeight="1" spans="1:2">
      <c r="A13" s="217">
        <v>44881</v>
      </c>
      <c r="B13" s="218">
        <v>580</v>
      </c>
    </row>
    <row r="14" ht="21" customHeight="1" spans="1:2">
      <c r="A14" s="217">
        <v>44883</v>
      </c>
      <c r="B14" s="218">
        <v>573</v>
      </c>
    </row>
    <row r="15" ht="21" customHeight="1" spans="1:2">
      <c r="A15" s="217">
        <v>44888</v>
      </c>
      <c r="B15" s="218">
        <v>551</v>
      </c>
    </row>
    <row r="16" ht="21" customHeight="1" spans="1:2">
      <c r="A16" s="217">
        <v>44891</v>
      </c>
      <c r="B16" s="218">
        <v>545</v>
      </c>
    </row>
    <row r="17" ht="21" customHeight="1" spans="1:2">
      <c r="A17" s="217">
        <v>44895</v>
      </c>
      <c r="B17" s="218">
        <v>521</v>
      </c>
    </row>
    <row r="18" ht="21" customHeight="1" spans="1:2">
      <c r="A18" s="217">
        <v>44897</v>
      </c>
      <c r="B18" s="218">
        <v>515</v>
      </c>
    </row>
    <row r="19" ht="21" customHeight="1" spans="1:2">
      <c r="A19" s="217">
        <v>44902</v>
      </c>
      <c r="B19" s="218">
        <v>474</v>
      </c>
    </row>
    <row r="20" ht="21" customHeight="1" spans="1:2">
      <c r="A20" s="217">
        <v>44904</v>
      </c>
      <c r="B20" s="218">
        <v>471</v>
      </c>
    </row>
    <row r="21" ht="21" customHeight="1" spans="1:2">
      <c r="A21" s="217">
        <v>44909</v>
      </c>
      <c r="B21" s="218">
        <v>437</v>
      </c>
    </row>
    <row r="22" ht="21" customHeight="1" spans="1:2">
      <c r="A22" s="217">
        <v>44911</v>
      </c>
      <c r="B22" s="218">
        <v>437</v>
      </c>
    </row>
    <row r="23" ht="21" customHeight="1" spans="1:2">
      <c r="A23" s="217">
        <v>44916</v>
      </c>
      <c r="B23" s="218">
        <v>423</v>
      </c>
    </row>
    <row r="24" ht="21" customHeight="1" spans="1:2">
      <c r="A24" s="217">
        <v>44918</v>
      </c>
      <c r="B24" s="218">
        <v>411</v>
      </c>
    </row>
    <row r="25" ht="21" customHeight="1" spans="1:2">
      <c r="A25" s="217">
        <v>44923</v>
      </c>
      <c r="B25" s="218">
        <v>408</v>
      </c>
    </row>
    <row r="26" ht="21" customHeight="1" spans="1:2">
      <c r="A26" s="217">
        <v>44925</v>
      </c>
      <c r="B26" s="218">
        <v>409</v>
      </c>
    </row>
    <row r="27" ht="21" customHeight="1" spans="1:2">
      <c r="A27" s="217">
        <v>44930</v>
      </c>
      <c r="B27" s="218">
        <v>406</v>
      </c>
    </row>
    <row r="28" ht="21" customHeight="1" spans="1:2">
      <c r="A28" s="217">
        <v>44932</v>
      </c>
      <c r="B28" s="218">
        <v>394</v>
      </c>
    </row>
    <row r="29" ht="21" customHeight="1" spans="1:2">
      <c r="A29" s="217">
        <v>44937</v>
      </c>
      <c r="B29" s="218">
        <v>366</v>
      </c>
    </row>
    <row r="30" ht="21" customHeight="1" spans="1:2">
      <c r="A30" s="217">
        <v>44939</v>
      </c>
      <c r="B30" s="218">
        <v>366</v>
      </c>
    </row>
    <row r="31" ht="21" customHeight="1" spans="1:2">
      <c r="A31" s="217">
        <v>44957</v>
      </c>
      <c r="B31" s="218">
        <v>386</v>
      </c>
    </row>
    <row r="32" ht="21" customHeight="1" spans="1:2">
      <c r="A32" s="217">
        <v>44960</v>
      </c>
      <c r="B32" s="218">
        <v>394</v>
      </c>
    </row>
    <row r="33" ht="21" customHeight="1" spans="1:2">
      <c r="A33" s="217">
        <v>44965</v>
      </c>
      <c r="B33" s="218">
        <v>425</v>
      </c>
    </row>
    <row r="34" ht="21" customHeight="1" spans="1:2">
      <c r="A34" s="217">
        <v>44967</v>
      </c>
      <c r="B34" s="218">
        <v>431</v>
      </c>
    </row>
    <row r="35" ht="21" customHeight="1" spans="1:2">
      <c r="A35" s="217">
        <v>44972</v>
      </c>
      <c r="B35" s="218">
        <v>476</v>
      </c>
    </row>
    <row r="36" ht="21" customHeight="1" spans="1:2">
      <c r="A36" s="217">
        <v>44974</v>
      </c>
      <c r="B36" s="218">
        <v>490</v>
      </c>
    </row>
    <row r="37" ht="21" customHeight="1" spans="1:2">
      <c r="A37" s="217">
        <v>44979</v>
      </c>
      <c r="B37" s="218">
        <v>515</v>
      </c>
    </row>
    <row r="38" ht="21" customHeight="1" spans="1:2">
      <c r="A38" s="217">
        <v>44981</v>
      </c>
      <c r="B38" s="218">
        <v>524</v>
      </c>
    </row>
    <row r="39" ht="21" customHeight="1" spans="1:2">
      <c r="A39" s="217">
        <v>44986</v>
      </c>
      <c r="B39" s="218">
        <v>566</v>
      </c>
    </row>
    <row r="40" ht="21" customHeight="1" spans="1:2">
      <c r="A40" s="217">
        <v>44988</v>
      </c>
      <c r="B40" s="218">
        <v>575</v>
      </c>
    </row>
    <row r="41" ht="21" customHeight="1" spans="1:2">
      <c r="A41" s="217">
        <v>44993</v>
      </c>
      <c r="B41" s="218">
        <v>579</v>
      </c>
    </row>
    <row r="42" ht="21" customHeight="1" spans="1:2">
      <c r="A42" s="217">
        <v>44995</v>
      </c>
      <c r="B42" s="218">
        <v>579</v>
      </c>
    </row>
    <row r="43" ht="21" customHeight="1" spans="1:2">
      <c r="A43" s="217">
        <v>45000</v>
      </c>
      <c r="B43" s="218">
        <v>577</v>
      </c>
    </row>
    <row r="44" ht="21" customHeight="1" spans="1:2">
      <c r="A44" s="217">
        <v>45002</v>
      </c>
      <c r="B44" s="218">
        <v>577</v>
      </c>
    </row>
    <row r="45" ht="21" customHeight="1" spans="1:2">
      <c r="A45" s="217">
        <v>45007</v>
      </c>
      <c r="B45" s="218">
        <v>565</v>
      </c>
    </row>
    <row r="46" ht="21" customHeight="1" spans="1:2">
      <c r="A46" s="217">
        <v>45009</v>
      </c>
      <c r="B46" s="218">
        <v>565</v>
      </c>
    </row>
    <row r="47" ht="21" customHeight="1" spans="1:2">
      <c r="A47" s="217">
        <v>45014</v>
      </c>
      <c r="B47" s="218">
        <v>559</v>
      </c>
    </row>
    <row r="48" ht="21" customHeight="1" spans="1:2">
      <c r="A48" s="217">
        <v>45016</v>
      </c>
      <c r="B48" s="218">
        <v>559</v>
      </c>
    </row>
    <row r="49" ht="21" customHeight="1" spans="1:2">
      <c r="A49" s="217">
        <v>45020</v>
      </c>
      <c r="B49" s="218">
        <v>554</v>
      </c>
    </row>
    <row r="50" ht="21" customHeight="1" spans="1:2">
      <c r="A50" s="217">
        <v>45023</v>
      </c>
      <c r="B50" s="218">
        <v>553</v>
      </c>
    </row>
    <row r="51" ht="21" customHeight="1" spans="1:2">
      <c r="A51" s="217">
        <v>45028</v>
      </c>
      <c r="B51" s="218">
        <v>539</v>
      </c>
    </row>
    <row r="52" ht="21" customHeight="1" spans="1:2">
      <c r="A52" s="217">
        <v>45030</v>
      </c>
      <c r="B52" s="218">
        <v>536</v>
      </c>
    </row>
    <row r="53" ht="21" customHeight="1" spans="1:2">
      <c r="A53" s="217">
        <v>45035</v>
      </c>
      <c r="B53" s="218">
        <v>536</v>
      </c>
    </row>
    <row r="54" ht="21" customHeight="1" spans="1:2">
      <c r="A54" s="217">
        <v>45044</v>
      </c>
      <c r="B54" s="218">
        <v>532</v>
      </c>
    </row>
    <row r="55" ht="21" customHeight="1" spans="1:2">
      <c r="A55" s="217">
        <v>45052</v>
      </c>
      <c r="B55" s="218">
        <v>541</v>
      </c>
    </row>
    <row r="56" ht="21" customHeight="1" spans="1:2">
      <c r="A56" s="219">
        <v>45056</v>
      </c>
      <c r="B56" s="218">
        <v>547</v>
      </c>
    </row>
    <row r="57" ht="21" customHeight="1" spans="1:2">
      <c r="A57" s="219">
        <v>45058</v>
      </c>
      <c r="B57" s="218">
        <v>547</v>
      </c>
    </row>
    <row r="58" ht="21" customHeight="1" spans="1:2">
      <c r="A58" s="219">
        <v>45063</v>
      </c>
      <c r="B58" s="218">
        <v>551</v>
      </c>
    </row>
    <row r="59" ht="21" customHeight="1" spans="1:2">
      <c r="A59" s="219">
        <v>45065</v>
      </c>
      <c r="B59" s="218">
        <v>552</v>
      </c>
    </row>
    <row r="60" ht="21" customHeight="1" spans="1:2">
      <c r="A60" s="219">
        <v>45071</v>
      </c>
      <c r="B60" s="218">
        <v>552</v>
      </c>
    </row>
    <row r="61" ht="21" customHeight="1" spans="1:2">
      <c r="A61" s="219">
        <v>45072</v>
      </c>
      <c r="B61" s="218">
        <v>552</v>
      </c>
    </row>
    <row r="62" ht="21" customHeight="1" spans="1:2">
      <c r="A62" s="219">
        <v>45077</v>
      </c>
      <c r="B62" s="218">
        <v>535</v>
      </c>
    </row>
    <row r="63" ht="21" customHeight="1" spans="1:2">
      <c r="A63" s="219">
        <v>45079</v>
      </c>
      <c r="B63" s="218">
        <v>529</v>
      </c>
    </row>
    <row r="64" ht="21" customHeight="1" spans="1:2">
      <c r="A64" s="219">
        <v>45084</v>
      </c>
      <c r="B64" s="218">
        <v>474</v>
      </c>
    </row>
    <row r="65" ht="21" customHeight="1" spans="1:2">
      <c r="A65" s="219">
        <v>45086</v>
      </c>
      <c r="B65" s="218">
        <v>461</v>
      </c>
    </row>
    <row r="66" ht="21" customHeight="1" spans="1:2">
      <c r="A66" s="219">
        <v>45091</v>
      </c>
      <c r="B66" s="218">
        <v>423</v>
      </c>
    </row>
    <row r="67" ht="21" customHeight="1" spans="1:2">
      <c r="A67" s="219">
        <v>45093</v>
      </c>
      <c r="B67" s="218">
        <v>419</v>
      </c>
    </row>
    <row r="68" ht="21" customHeight="1" spans="1:2">
      <c r="A68" s="219">
        <v>45098</v>
      </c>
      <c r="B68" s="218">
        <v>405</v>
      </c>
    </row>
    <row r="69" ht="21" customHeight="1" spans="1:2">
      <c r="A69" s="219">
        <v>45105</v>
      </c>
      <c r="B69" s="218">
        <v>402</v>
      </c>
    </row>
    <row r="70" ht="21" customHeight="1" spans="1:2">
      <c r="A70" s="219">
        <v>45107</v>
      </c>
      <c r="B70" s="218">
        <v>402</v>
      </c>
    </row>
    <row r="71" ht="21" customHeight="1" spans="1:2">
      <c r="A71" s="219">
        <v>45112</v>
      </c>
      <c r="B71" s="218">
        <v>386</v>
      </c>
    </row>
    <row r="72" ht="21" customHeight="1" spans="1:2">
      <c r="A72" s="219">
        <v>45114</v>
      </c>
      <c r="B72" s="218">
        <v>385</v>
      </c>
    </row>
    <row r="73" ht="21" customHeight="1" spans="1:2">
      <c r="A73" s="219">
        <v>45119</v>
      </c>
      <c r="B73" s="218">
        <v>371</v>
      </c>
    </row>
    <row r="74" ht="21" customHeight="1" spans="1:2">
      <c r="A74" s="219">
        <v>45121</v>
      </c>
      <c r="B74" s="218">
        <v>371</v>
      </c>
    </row>
    <row r="75" ht="21" customHeight="1" spans="1:2">
      <c r="A75" s="217">
        <v>45126</v>
      </c>
      <c r="B75" s="218">
        <v>356</v>
      </c>
    </row>
    <row r="76" ht="21" customHeight="1" spans="1:2">
      <c r="A76" s="217">
        <v>45128</v>
      </c>
      <c r="B76" s="218">
        <v>353</v>
      </c>
    </row>
    <row r="77" ht="21" customHeight="1" spans="1:2">
      <c r="A77" s="217">
        <v>45133</v>
      </c>
      <c r="B77" s="218">
        <v>345</v>
      </c>
    </row>
    <row r="78" ht="21" customHeight="1" spans="1:2">
      <c r="A78" s="217">
        <v>45135</v>
      </c>
      <c r="B78" s="218">
        <v>346</v>
      </c>
    </row>
    <row r="79" ht="21" customHeight="1" spans="1:2">
      <c r="A79" s="217">
        <v>45140</v>
      </c>
      <c r="B79" s="218">
        <v>349</v>
      </c>
    </row>
    <row r="80" ht="21" customHeight="1" spans="1:2">
      <c r="A80" s="217">
        <v>45142</v>
      </c>
      <c r="B80" s="218">
        <v>353</v>
      </c>
    </row>
    <row r="81" ht="21" customHeight="1" spans="1:2">
      <c r="A81" s="217">
        <v>45146</v>
      </c>
      <c r="B81" s="218">
        <v>371</v>
      </c>
    </row>
    <row r="82" ht="21" customHeight="1" spans="1:2">
      <c r="A82" s="217">
        <v>45149</v>
      </c>
      <c r="B82" s="218">
        <v>372</v>
      </c>
    </row>
    <row r="83" ht="21" customHeight="1" spans="1:2">
      <c r="A83" s="217">
        <v>45153</v>
      </c>
      <c r="B83" s="218">
        <v>374</v>
      </c>
    </row>
    <row r="84" ht="21" customHeight="1" spans="1:2">
      <c r="A84" s="217">
        <v>45156</v>
      </c>
      <c r="B84" s="218">
        <v>374</v>
      </c>
    </row>
    <row r="85" ht="21" customHeight="1" spans="1:2">
      <c r="A85" s="217">
        <v>45160</v>
      </c>
      <c r="B85" s="218">
        <v>352</v>
      </c>
    </row>
    <row r="86" ht="21" customHeight="1" spans="1:2">
      <c r="A86" s="217">
        <v>45163</v>
      </c>
      <c r="B86" s="218">
        <v>350</v>
      </c>
    </row>
    <row r="87" ht="21" customHeight="1" spans="1:2">
      <c r="A87" s="217">
        <v>45167</v>
      </c>
      <c r="B87" s="218">
        <v>336</v>
      </c>
    </row>
    <row r="88" ht="21" customHeight="1" spans="1:2">
      <c r="A88" s="217">
        <v>45170</v>
      </c>
      <c r="B88" s="218">
        <v>331</v>
      </c>
    </row>
    <row r="89" ht="21" customHeight="1" spans="1:2">
      <c r="A89" s="217">
        <v>45174</v>
      </c>
      <c r="B89" s="218">
        <v>287</v>
      </c>
    </row>
    <row r="90" ht="21" customHeight="1" spans="1:2">
      <c r="A90" s="217">
        <v>45177</v>
      </c>
      <c r="B90" s="218">
        <v>285</v>
      </c>
    </row>
    <row r="91" ht="21" customHeight="1" spans="1:2">
      <c r="A91" s="217">
        <v>45181</v>
      </c>
      <c r="B91" s="218">
        <v>271</v>
      </c>
    </row>
    <row r="92" ht="21" customHeight="1" spans="1:2">
      <c r="A92" s="217">
        <v>45183</v>
      </c>
      <c r="B92" s="218">
        <v>270</v>
      </c>
    </row>
    <row r="93" ht="21" customHeight="1" spans="1:2">
      <c r="A93" s="217">
        <v>45188</v>
      </c>
      <c r="B93" s="218">
        <v>232</v>
      </c>
    </row>
    <row r="94" ht="21" customHeight="1" spans="1:2">
      <c r="A94" s="217">
        <v>45191</v>
      </c>
      <c r="B94" s="218">
        <v>231</v>
      </c>
    </row>
    <row r="95" ht="21" customHeight="1" spans="1:2">
      <c r="A95" s="217">
        <v>45195</v>
      </c>
      <c r="B95" s="218">
        <v>184</v>
      </c>
    </row>
    <row r="96" ht="21" customHeight="1" spans="1:2">
      <c r="A96" s="217">
        <v>45209</v>
      </c>
      <c r="B96" s="218">
        <v>161</v>
      </c>
    </row>
    <row r="97" ht="21" customHeight="1" spans="1:2">
      <c r="A97" s="217">
        <v>45216</v>
      </c>
      <c r="B97" s="218">
        <v>133</v>
      </c>
    </row>
    <row r="98" ht="21" customHeight="1" spans="1:2">
      <c r="A98" s="217">
        <v>45219</v>
      </c>
      <c r="B98" s="218">
        <v>130</v>
      </c>
    </row>
    <row r="99" ht="21" customHeight="1" spans="1:2">
      <c r="A99" s="217">
        <v>45223</v>
      </c>
      <c r="B99" s="218">
        <v>131</v>
      </c>
    </row>
    <row r="100" ht="21" customHeight="1" spans="1:2">
      <c r="A100" s="217">
        <v>45226</v>
      </c>
      <c r="B100" s="218">
        <v>131</v>
      </c>
    </row>
    <row r="101" ht="21" customHeight="1" spans="1:2">
      <c r="A101" s="217">
        <v>45230</v>
      </c>
      <c r="B101" s="218">
        <v>147</v>
      </c>
    </row>
    <row r="102" ht="21" customHeight="1" spans="1:2">
      <c r="A102" s="217">
        <v>45233</v>
      </c>
      <c r="B102" s="218">
        <v>151</v>
      </c>
    </row>
    <row r="103" ht="21" customHeight="1" spans="1:2">
      <c r="A103" s="217">
        <v>45237</v>
      </c>
      <c r="B103" s="218">
        <v>172</v>
      </c>
    </row>
    <row r="104" ht="21" customHeight="1" spans="1:2">
      <c r="A104" s="217">
        <v>45240</v>
      </c>
      <c r="B104" s="218">
        <v>174</v>
      </c>
    </row>
    <row r="105" ht="21" customHeight="1" spans="1:2">
      <c r="A105" s="217">
        <v>45244</v>
      </c>
      <c r="B105" s="218">
        <v>195</v>
      </c>
    </row>
    <row r="106" ht="21" customHeight="1" spans="1:2">
      <c r="A106" s="217">
        <v>45247</v>
      </c>
      <c r="B106" s="218">
        <v>203</v>
      </c>
    </row>
    <row r="107" ht="21" customHeight="1" spans="1:2">
      <c r="A107" s="217">
        <v>45251</v>
      </c>
      <c r="B107" s="218">
        <v>216</v>
      </c>
    </row>
    <row r="108" ht="21" customHeight="1" spans="1:2">
      <c r="A108" s="217">
        <v>45254</v>
      </c>
      <c r="B108" s="218">
        <v>216</v>
      </c>
    </row>
    <row r="109" ht="21" customHeight="1" spans="1:2">
      <c r="A109" s="217">
        <v>45258</v>
      </c>
      <c r="B109" s="218">
        <v>218</v>
      </c>
    </row>
    <row r="110" ht="21" customHeight="1" spans="1:2">
      <c r="A110" s="217">
        <v>45261</v>
      </c>
      <c r="B110" s="218">
        <v>221</v>
      </c>
    </row>
    <row r="111" ht="21" customHeight="1" spans="1:2">
      <c r="A111" s="217">
        <v>45265</v>
      </c>
      <c r="B111" s="218">
        <v>223</v>
      </c>
    </row>
    <row r="112" ht="21" customHeight="1" spans="1:2">
      <c r="A112" s="217">
        <v>45268</v>
      </c>
      <c r="B112" s="218">
        <v>223</v>
      </c>
    </row>
    <row r="113" ht="21" customHeight="1" spans="1:2">
      <c r="A113" s="217">
        <v>45272</v>
      </c>
      <c r="B113" s="218">
        <v>223</v>
      </c>
    </row>
    <row r="114" ht="21" customHeight="1" spans="1:2">
      <c r="A114" s="217">
        <v>45275</v>
      </c>
      <c r="B114" s="218">
        <v>223</v>
      </c>
    </row>
    <row r="115" ht="21" customHeight="1" spans="1:2">
      <c r="A115" s="217">
        <v>45279</v>
      </c>
      <c r="B115" s="218">
        <v>210</v>
      </c>
    </row>
    <row r="116" ht="21" customHeight="1" spans="1:2">
      <c r="A116" s="217">
        <v>45282</v>
      </c>
      <c r="B116" s="218">
        <v>206</v>
      </c>
    </row>
    <row r="117" ht="21" customHeight="1" spans="1:2">
      <c r="A117" s="217">
        <v>45286</v>
      </c>
      <c r="B117" s="218">
        <v>199</v>
      </c>
    </row>
    <row r="118" ht="21" customHeight="1" spans="1:2">
      <c r="A118" s="217">
        <v>45289</v>
      </c>
      <c r="B118" s="218">
        <v>199</v>
      </c>
    </row>
    <row r="119" ht="21" customHeight="1" spans="1:2">
      <c r="A119" s="217">
        <v>45293</v>
      </c>
      <c r="B119" s="218">
        <v>199</v>
      </c>
    </row>
    <row r="120" ht="21" customHeight="1" spans="1:2">
      <c r="A120" s="217">
        <v>45296</v>
      </c>
      <c r="B120" s="218">
        <v>196</v>
      </c>
    </row>
    <row r="121" ht="21" customHeight="1" spans="1:2">
      <c r="A121" s="217">
        <v>45300</v>
      </c>
      <c r="B121" s="218">
        <v>195</v>
      </c>
    </row>
    <row r="122" ht="21" customHeight="1" spans="1:2">
      <c r="A122" s="217">
        <v>45303</v>
      </c>
      <c r="B122" s="218">
        <v>200</v>
      </c>
    </row>
    <row r="123" ht="21" customHeight="1" spans="1:2">
      <c r="A123" s="217">
        <v>45307</v>
      </c>
      <c r="B123" s="218">
        <v>223</v>
      </c>
    </row>
    <row r="124" ht="21" customHeight="1" spans="1:2">
      <c r="A124" s="217">
        <v>45310</v>
      </c>
      <c r="B124" s="218">
        <v>237</v>
      </c>
    </row>
    <row r="125" ht="21" customHeight="1" spans="1:2">
      <c r="A125" s="217">
        <v>45314</v>
      </c>
      <c r="B125" s="218">
        <v>333</v>
      </c>
    </row>
    <row r="126" ht="21" customHeight="1" spans="1:2">
      <c r="A126" s="217">
        <v>45317</v>
      </c>
      <c r="B126" s="218">
        <v>356</v>
      </c>
    </row>
    <row r="127" ht="21" customHeight="1" spans="1:2">
      <c r="A127" s="217">
        <v>45321</v>
      </c>
      <c r="B127" s="218">
        <v>380</v>
      </c>
    </row>
    <row r="128" ht="21" customHeight="1" spans="1:2">
      <c r="A128" s="217">
        <v>45324</v>
      </c>
      <c r="B128" s="218">
        <v>380</v>
      </c>
    </row>
    <row r="129" ht="21" customHeight="1" spans="1:2">
      <c r="A129" s="217">
        <v>45340</v>
      </c>
      <c r="B129" s="218">
        <v>468</v>
      </c>
    </row>
    <row r="130" ht="21" customHeight="1" spans="1:2">
      <c r="A130" s="217">
        <v>45342</v>
      </c>
      <c r="B130" s="218">
        <v>478</v>
      </c>
    </row>
    <row r="131" ht="21" customHeight="1" spans="1:2">
      <c r="A131" s="217">
        <v>45345</v>
      </c>
      <c r="B131" s="218">
        <v>457</v>
      </c>
    </row>
    <row r="132" ht="21" customHeight="1" spans="1:2">
      <c r="A132" s="217">
        <v>45349</v>
      </c>
      <c r="B132" s="218">
        <v>439</v>
      </c>
    </row>
    <row r="133" ht="21" customHeight="1" spans="1:2">
      <c r="A133" s="217">
        <v>45352</v>
      </c>
      <c r="B133" s="218">
        <v>434</v>
      </c>
    </row>
    <row r="134" ht="21" customHeight="1" spans="1:2">
      <c r="A134" s="217">
        <v>45356</v>
      </c>
      <c r="B134" s="218">
        <v>427</v>
      </c>
    </row>
    <row r="135" ht="21" customHeight="1" spans="1:2">
      <c r="A135" s="217">
        <v>45359</v>
      </c>
      <c r="B135" s="218">
        <v>424</v>
      </c>
    </row>
    <row r="136" ht="21" customHeight="1" spans="1:2">
      <c r="A136" s="217">
        <v>45363</v>
      </c>
      <c r="B136" s="218">
        <v>445</v>
      </c>
    </row>
    <row r="137" ht="21" customHeight="1" spans="1:2">
      <c r="A137" s="217">
        <v>45366</v>
      </c>
      <c r="B137" s="218">
        <v>450</v>
      </c>
    </row>
    <row r="138" ht="21" customHeight="1" spans="1:2">
      <c r="A138" s="217">
        <v>45370</v>
      </c>
      <c r="B138" s="218">
        <v>506</v>
      </c>
    </row>
    <row r="139" ht="21" customHeight="1" spans="1:2">
      <c r="A139" s="217">
        <v>45373</v>
      </c>
      <c r="B139" s="218">
        <v>516</v>
      </c>
    </row>
    <row r="140" ht="21" customHeight="1" spans="1:2">
      <c r="A140" s="217">
        <v>45377</v>
      </c>
      <c r="B140" s="218">
        <v>565</v>
      </c>
    </row>
    <row r="141" ht="21" customHeight="1" spans="1:2">
      <c r="A141" s="217">
        <v>45380</v>
      </c>
      <c r="B141" s="218">
        <v>589</v>
      </c>
    </row>
    <row r="142" ht="21" customHeight="1" spans="1:2">
      <c r="A142" s="217">
        <v>45384</v>
      </c>
      <c r="B142" s="218">
        <v>598</v>
      </c>
    </row>
    <row r="143" ht="21" customHeight="1" spans="1:2">
      <c r="A143" s="217">
        <v>45389</v>
      </c>
      <c r="B143" s="218">
        <v>606</v>
      </c>
    </row>
    <row r="144" ht="21" customHeight="1" spans="1:2">
      <c r="A144" s="217">
        <v>45391</v>
      </c>
      <c r="B144" s="218">
        <v>597</v>
      </c>
    </row>
    <row r="145" ht="21" customHeight="1" spans="1:2">
      <c r="A145" s="217">
        <v>45394</v>
      </c>
      <c r="B145" s="218">
        <v>596</v>
      </c>
    </row>
    <row r="146" ht="21" customHeight="1" spans="1:2">
      <c r="A146" s="217">
        <v>45398</v>
      </c>
      <c r="B146" s="218">
        <v>596</v>
      </c>
    </row>
    <row r="147" ht="21" customHeight="1" spans="1:2">
      <c r="A147" s="217">
        <v>45400</v>
      </c>
      <c r="B147" s="218">
        <v>589</v>
      </c>
    </row>
    <row r="148" ht="21" customHeight="1" spans="1:2">
      <c r="A148" s="217">
        <v>45405</v>
      </c>
      <c r="B148" s="218">
        <v>583</v>
      </c>
    </row>
    <row r="149" ht="21" customHeight="1" spans="1:2">
      <c r="A149" s="217">
        <v>45408</v>
      </c>
      <c r="B149" s="218">
        <v>583</v>
      </c>
    </row>
    <row r="150" ht="21" customHeight="1" spans="1:2">
      <c r="A150" s="217">
        <v>45412</v>
      </c>
      <c r="B150" s="218">
        <v>571</v>
      </c>
    </row>
    <row r="151" ht="21" customHeight="1" spans="1:2">
      <c r="A151" s="217">
        <v>45419</v>
      </c>
      <c r="B151" s="218">
        <v>565</v>
      </c>
    </row>
    <row r="152" ht="21" customHeight="1" spans="1:2">
      <c r="A152" s="217">
        <v>45422</v>
      </c>
      <c r="B152" s="218">
        <v>563</v>
      </c>
    </row>
    <row r="153" ht="21" customHeight="1" spans="1:2">
      <c r="A153" s="217">
        <v>45426</v>
      </c>
      <c r="B153" s="218">
        <v>568</v>
      </c>
    </row>
    <row r="154" ht="21" customHeight="1" spans="1:2">
      <c r="A154" s="217">
        <v>45429</v>
      </c>
      <c r="B154" s="218">
        <v>568</v>
      </c>
    </row>
    <row r="155" ht="21" customHeight="1" spans="1:2">
      <c r="A155" s="217">
        <v>45433</v>
      </c>
      <c r="B155" s="218">
        <v>565</v>
      </c>
    </row>
    <row r="156" ht="21" customHeight="1" spans="1:2">
      <c r="A156" s="217">
        <v>45436</v>
      </c>
      <c r="B156" s="218">
        <v>585</v>
      </c>
    </row>
    <row r="157" ht="21" customHeight="1" spans="1:2">
      <c r="A157" s="217">
        <v>45440</v>
      </c>
      <c r="B157" s="218">
        <v>615</v>
      </c>
    </row>
    <row r="158" ht="21" customHeight="1" spans="1:2">
      <c r="A158" s="217">
        <v>45443</v>
      </c>
      <c r="B158" s="218">
        <v>633</v>
      </c>
    </row>
    <row r="159" ht="21" customHeight="1" spans="1:2">
      <c r="A159" s="217">
        <v>45447</v>
      </c>
      <c r="B159" s="218">
        <v>659</v>
      </c>
    </row>
    <row r="160" ht="21" customHeight="1" spans="1:2">
      <c r="A160" s="217">
        <v>45450</v>
      </c>
      <c r="B160" s="218">
        <v>696</v>
      </c>
    </row>
    <row r="161" ht="21" customHeight="1" spans="1:2">
      <c r="A161" s="217">
        <v>45454</v>
      </c>
      <c r="B161" s="218">
        <v>700</v>
      </c>
    </row>
    <row r="162" ht="21" customHeight="1" spans="1:2">
      <c r="A162" s="217">
        <v>45457</v>
      </c>
      <c r="B162" s="218">
        <v>701</v>
      </c>
    </row>
    <row r="163" ht="21" customHeight="1" spans="1:2">
      <c r="A163" s="217">
        <v>45461</v>
      </c>
      <c r="B163" s="218">
        <v>687</v>
      </c>
    </row>
    <row r="164" ht="21" customHeight="1" spans="1:2">
      <c r="A164" s="217">
        <v>45464</v>
      </c>
      <c r="B164" s="218">
        <v>678</v>
      </c>
    </row>
    <row r="165" ht="21" customHeight="1" spans="1:2">
      <c r="A165" s="217">
        <v>45468</v>
      </c>
      <c r="B165" s="218">
        <v>645</v>
      </c>
    </row>
    <row r="166" ht="21" customHeight="1" spans="1:2">
      <c r="A166" s="217">
        <v>45471</v>
      </c>
      <c r="B166" s="218">
        <v>639</v>
      </c>
    </row>
    <row r="167" ht="21" customHeight="1" spans="1:2">
      <c r="A167" s="217">
        <v>45475</v>
      </c>
      <c r="B167" s="218">
        <v>594</v>
      </c>
    </row>
    <row r="168" ht="21" customHeight="1" spans="1:2">
      <c r="A168" s="217">
        <v>45478</v>
      </c>
      <c r="B168" s="218">
        <v>578</v>
      </c>
    </row>
    <row r="169" ht="21" customHeight="1" spans="1:2">
      <c r="A169" s="217">
        <v>45482</v>
      </c>
      <c r="B169" s="218">
        <v>546</v>
      </c>
    </row>
    <row r="170" ht="21" customHeight="1" spans="1:2">
      <c r="A170" s="217">
        <v>45485</v>
      </c>
      <c r="B170" s="218">
        <v>545</v>
      </c>
    </row>
    <row r="171" ht="21" customHeight="1" spans="1:2">
      <c r="A171" s="217">
        <v>45489</v>
      </c>
      <c r="B171" s="218">
        <v>513</v>
      </c>
    </row>
    <row r="172" ht="21" customHeight="1" spans="1:2">
      <c r="A172" s="217">
        <v>45492</v>
      </c>
      <c r="B172" s="218">
        <v>509</v>
      </c>
    </row>
    <row r="173" ht="21" customHeight="1" spans="1:2">
      <c r="A173" s="217">
        <v>45496</v>
      </c>
      <c r="B173" s="218">
        <v>510</v>
      </c>
    </row>
    <row r="174" ht="21" customHeight="1" spans="1:2">
      <c r="A174" s="217">
        <v>45499</v>
      </c>
      <c r="B174" s="218">
        <v>529</v>
      </c>
    </row>
    <row r="175" ht="21" customHeight="1" spans="1:2">
      <c r="A175" s="217">
        <v>45503</v>
      </c>
      <c r="B175" s="218">
        <v>524</v>
      </c>
    </row>
    <row r="176" ht="21" customHeight="1" spans="1:2">
      <c r="A176" s="217">
        <v>45506</v>
      </c>
      <c r="B176" s="218">
        <v>524</v>
      </c>
    </row>
    <row r="177" ht="21" customHeight="1" spans="1:2">
      <c r="A177" s="217">
        <v>45510</v>
      </c>
      <c r="B177" s="218">
        <v>511</v>
      </c>
    </row>
    <row r="178" ht="21" customHeight="1" spans="1:2">
      <c r="A178" s="217">
        <v>45513</v>
      </c>
      <c r="B178" s="218">
        <v>509</v>
      </c>
    </row>
    <row r="179" ht="21" customHeight="1" spans="1:2">
      <c r="A179" s="217">
        <v>45517</v>
      </c>
      <c r="B179" s="218">
        <v>505</v>
      </c>
    </row>
    <row r="180" ht="21" customHeight="1" spans="1:2">
      <c r="A180" s="217">
        <v>45520</v>
      </c>
      <c r="B180" s="218">
        <v>501</v>
      </c>
    </row>
    <row r="181" ht="21" customHeight="1" spans="1:2">
      <c r="A181" s="217">
        <v>45524</v>
      </c>
      <c r="B181" s="218">
        <v>501</v>
      </c>
    </row>
    <row r="182" ht="21" customHeight="1" spans="1:2">
      <c r="A182" s="217">
        <v>45527</v>
      </c>
      <c r="B182" s="218">
        <v>500</v>
      </c>
    </row>
    <row r="183" ht="21" customHeight="1" spans="1:2">
      <c r="A183" s="217">
        <v>45531</v>
      </c>
      <c r="B183" s="218">
        <v>494</v>
      </c>
    </row>
    <row r="184" ht="21" customHeight="1" spans="1:2">
      <c r="A184" s="217">
        <v>45534</v>
      </c>
      <c r="B184" s="218">
        <v>490</v>
      </c>
    </row>
    <row r="185" ht="21" customHeight="1" spans="1:2">
      <c r="A185" s="217">
        <v>45538</v>
      </c>
      <c r="B185" s="218">
        <v>458</v>
      </c>
    </row>
    <row r="186" ht="21" customHeight="1" spans="1:2">
      <c r="A186" s="217">
        <v>45541</v>
      </c>
      <c r="B186" s="218">
        <v>451</v>
      </c>
    </row>
    <row r="187" ht="21" customHeight="1" spans="1:2">
      <c r="A187" s="217">
        <v>45545</v>
      </c>
      <c r="B187" s="218">
        <v>401</v>
      </c>
    </row>
    <row r="188" ht="21" customHeight="1" spans="1:2">
      <c r="A188" s="217">
        <v>45548</v>
      </c>
      <c r="B188" s="218">
        <v>398</v>
      </c>
    </row>
    <row r="189" ht="21" customHeight="1" spans="1:2">
      <c r="A189" s="217">
        <v>45555</v>
      </c>
      <c r="B189" s="218">
        <v>336</v>
      </c>
    </row>
    <row r="190" ht="21" customHeight="1" spans="1:2">
      <c r="A190" s="217">
        <v>45559</v>
      </c>
      <c r="B190" s="218">
        <v>306</v>
      </c>
    </row>
    <row r="191" ht="21" customHeight="1" spans="1:2">
      <c r="A191" s="217">
        <v>45562</v>
      </c>
      <c r="B191" s="218">
        <v>296</v>
      </c>
    </row>
    <row r="192" ht="21" customHeight="1" spans="1:2">
      <c r="A192" s="217">
        <v>45573</v>
      </c>
      <c r="B192" s="218">
        <v>282</v>
      </c>
    </row>
    <row r="193" ht="21" customHeight="1" spans="1:2">
      <c r="A193" s="217">
        <v>45576</v>
      </c>
      <c r="B193" s="218">
        <v>293</v>
      </c>
    </row>
    <row r="194" ht="21" customHeight="1" spans="1:2">
      <c r="A194" s="217">
        <v>45580</v>
      </c>
      <c r="B194" s="218">
        <v>326</v>
      </c>
    </row>
    <row r="195" ht="21" customHeight="1" spans="1:2">
      <c r="A195" s="217">
        <v>45583</v>
      </c>
      <c r="B195" s="218">
        <v>327</v>
      </c>
    </row>
    <row r="196" ht="21" customHeight="1" spans="1:2">
      <c r="A196" s="217">
        <v>45587</v>
      </c>
      <c r="B196" s="218">
        <v>356</v>
      </c>
    </row>
    <row r="197" ht="21" customHeight="1" spans="1:2">
      <c r="A197" s="217">
        <v>45590</v>
      </c>
      <c r="B197" s="218">
        <v>361</v>
      </c>
    </row>
    <row r="198" ht="21" customHeight="1" spans="1:2">
      <c r="A198" s="217">
        <v>45594</v>
      </c>
      <c r="B198" s="218">
        <v>394</v>
      </c>
    </row>
    <row r="199" ht="21" customHeight="1" spans="1:2">
      <c r="A199" s="217">
        <v>45597</v>
      </c>
      <c r="B199" s="218">
        <v>399</v>
      </c>
    </row>
    <row r="200" ht="21" customHeight="1" spans="1:2">
      <c r="A200" s="217">
        <v>45601</v>
      </c>
      <c r="B200" s="218">
        <v>413</v>
      </c>
    </row>
    <row r="201" ht="21" customHeight="1" spans="1:2">
      <c r="A201" s="217">
        <v>45604</v>
      </c>
      <c r="B201" s="218">
        <v>423</v>
      </c>
    </row>
    <row r="202" ht="21" customHeight="1" spans="1:2">
      <c r="A202" s="217">
        <v>45608</v>
      </c>
      <c r="B202" s="218">
        <v>423</v>
      </c>
    </row>
    <row r="203" ht="21" customHeight="1" spans="1:2">
      <c r="A203" s="217">
        <v>45611</v>
      </c>
      <c r="B203" s="218">
        <v>421</v>
      </c>
    </row>
    <row r="204" ht="21" customHeight="1" spans="1:2">
      <c r="A204" s="217">
        <v>45615</v>
      </c>
      <c r="B204" s="218">
        <v>412</v>
      </c>
    </row>
    <row r="205" ht="21" customHeight="1" spans="1:2">
      <c r="A205" s="217">
        <v>45618</v>
      </c>
      <c r="B205" s="218">
        <v>412</v>
      </c>
    </row>
    <row r="206" ht="21" customHeight="1" spans="1:2">
      <c r="A206" s="217">
        <v>45622</v>
      </c>
      <c r="B206" s="218">
        <v>410</v>
      </c>
    </row>
    <row r="207" ht="21" customHeight="1" spans="1:2">
      <c r="A207" s="217">
        <v>45625</v>
      </c>
      <c r="B207" s="218">
        <v>410</v>
      </c>
    </row>
    <row r="208" ht="21" customHeight="1" spans="1:2">
      <c r="A208" s="217">
        <v>45629</v>
      </c>
      <c r="B208" s="218">
        <v>398</v>
      </c>
    </row>
    <row r="209" ht="21" customHeight="1" spans="1:2">
      <c r="A209" s="217">
        <v>45632</v>
      </c>
      <c r="B209" s="218">
        <v>396</v>
      </c>
    </row>
    <row r="210" ht="21" customHeight="1" spans="1:2">
      <c r="A210" s="217">
        <v>45636</v>
      </c>
      <c r="B210" s="218">
        <v>384</v>
      </c>
    </row>
    <row r="211" ht="21" customHeight="1" spans="1:2">
      <c r="A211" s="217">
        <v>45639</v>
      </c>
      <c r="B211" s="218">
        <v>384</v>
      </c>
    </row>
    <row r="212" ht="21" customHeight="1" spans="1:2">
      <c r="A212" s="217">
        <v>45643</v>
      </c>
      <c r="B212" s="218">
        <v>376</v>
      </c>
    </row>
    <row r="213" ht="21" customHeight="1" spans="1:2">
      <c r="A213" s="217">
        <v>45646</v>
      </c>
      <c r="B213" s="218">
        <v>374</v>
      </c>
    </row>
    <row r="214" ht="21" customHeight="1" spans="1:2">
      <c r="A214" s="217">
        <v>45650</v>
      </c>
      <c r="B214" s="218">
        <v>366</v>
      </c>
    </row>
    <row r="215" ht="21" customHeight="1" spans="1:2">
      <c r="A215" s="217">
        <v>45653</v>
      </c>
      <c r="B215" s="218">
        <v>361</v>
      </c>
    </row>
    <row r="216" ht="21" customHeight="1" spans="1:2">
      <c r="A216" s="217">
        <v>45657</v>
      </c>
      <c r="B216" s="218">
        <v>397</v>
      </c>
    </row>
    <row r="217" ht="21" customHeight="1" spans="1:2">
      <c r="A217" s="217">
        <v>45660</v>
      </c>
      <c r="B217" s="218">
        <v>402</v>
      </c>
    </row>
    <row r="218" ht="21" customHeight="1" spans="1:2">
      <c r="A218" s="217">
        <v>45664</v>
      </c>
      <c r="B218" s="218">
        <v>425</v>
      </c>
    </row>
    <row r="219" ht="21" customHeight="1" spans="1:2">
      <c r="A219" s="217">
        <v>45667</v>
      </c>
      <c r="B219" s="218">
        <v>436</v>
      </c>
    </row>
    <row r="220" ht="21" customHeight="1" spans="1:2">
      <c r="A220" s="217">
        <v>45671</v>
      </c>
      <c r="B220" s="218">
        <v>453</v>
      </c>
    </row>
    <row r="221" ht="21" customHeight="1" spans="1:2">
      <c r="A221" s="217">
        <v>45674</v>
      </c>
      <c r="B221" s="218">
        <v>482</v>
      </c>
    </row>
    <row r="222" ht="21" customHeight="1" spans="1:2">
      <c r="A222" s="217">
        <v>45678</v>
      </c>
      <c r="B222" s="218">
        <v>506</v>
      </c>
    </row>
    <row r="223" ht="21" customHeight="1" spans="1:2">
      <c r="A223" s="217">
        <v>45681</v>
      </c>
      <c r="B223" s="218">
        <v>506</v>
      </c>
    </row>
    <row r="224" ht="21" customHeight="1" spans="1:2">
      <c r="A224" s="217">
        <v>45692</v>
      </c>
      <c r="B224" s="218">
        <v>529</v>
      </c>
    </row>
    <row r="225" ht="21" customHeight="1" spans="1:2">
      <c r="A225" s="217">
        <v>45695</v>
      </c>
      <c r="B225" s="218">
        <v>536</v>
      </c>
    </row>
    <row r="226" ht="21" customHeight="1" spans="1:2">
      <c r="A226" s="217">
        <v>45699</v>
      </c>
      <c r="B226" s="218">
        <v>523</v>
      </c>
    </row>
    <row r="227" ht="21" customHeight="1" spans="1:2">
      <c r="A227" s="217">
        <v>45702</v>
      </c>
      <c r="B227" s="218">
        <v>518</v>
      </c>
    </row>
    <row r="228" ht="21" customHeight="1" spans="1:2">
      <c r="A228" s="217">
        <v>45706</v>
      </c>
      <c r="B228" s="218">
        <v>495</v>
      </c>
    </row>
    <row r="229" ht="21" customHeight="1" spans="1:2">
      <c r="A229" s="217">
        <v>45709</v>
      </c>
      <c r="B229" s="220">
        <v>484</v>
      </c>
    </row>
    <row r="230" ht="21" customHeight="1" spans="1:2">
      <c r="A230" s="217">
        <v>45713</v>
      </c>
      <c r="B230" s="220">
        <v>467</v>
      </c>
    </row>
    <row r="231" ht="21" customHeight="1" spans="1:2">
      <c r="A231" s="217">
        <v>45716</v>
      </c>
      <c r="B231" s="220">
        <v>457</v>
      </c>
    </row>
    <row r="232" ht="21" customHeight="1" spans="1:2">
      <c r="A232" s="217">
        <v>45720</v>
      </c>
      <c r="B232" s="220">
        <v>453</v>
      </c>
    </row>
    <row r="233" ht="21" customHeight="1" spans="1:2">
      <c r="A233" s="217">
        <v>45723</v>
      </c>
      <c r="B233" s="220">
        <v>453</v>
      </c>
    </row>
    <row r="234" ht="21" customHeight="1" spans="1:2">
      <c r="A234" s="217">
        <v>45727</v>
      </c>
      <c r="B234" s="220">
        <v>478</v>
      </c>
    </row>
    <row r="235" ht="21" customHeight="1" spans="1:2">
      <c r="A235" s="217">
        <v>45730</v>
      </c>
      <c r="B235" s="220">
        <v>487</v>
      </c>
    </row>
    <row r="236" ht="21" customHeight="1" spans="1:2">
      <c r="A236" s="217">
        <v>45734</v>
      </c>
      <c r="B236" s="220">
        <v>517</v>
      </c>
    </row>
    <row r="237" ht="21" customHeight="1" spans="1:2">
      <c r="A237" s="217">
        <v>45737</v>
      </c>
      <c r="B237" s="220">
        <v>517</v>
      </c>
    </row>
    <row r="238" ht="21" customHeight="1" spans="1:2">
      <c r="A238" s="217">
        <v>45740</v>
      </c>
      <c r="B238" s="220">
        <v>534</v>
      </c>
    </row>
    <row r="239" ht="21" customHeight="1" spans="1:2">
      <c r="A239" s="221">
        <v>45744</v>
      </c>
      <c r="B239" s="222">
        <v>536</v>
      </c>
    </row>
    <row r="240" ht="21" customHeight="1" spans="1:2">
      <c r="A240" s="221">
        <v>45748</v>
      </c>
      <c r="B240" s="222">
        <v>546</v>
      </c>
    </row>
    <row r="241" ht="21" customHeight="1" spans="1:2">
      <c r="A241" s="221">
        <v>45755</v>
      </c>
      <c r="B241" s="222">
        <v>546</v>
      </c>
    </row>
    <row r="242" ht="21" customHeight="1" spans="1:2">
      <c r="A242" s="221">
        <v>45758</v>
      </c>
      <c r="B242" s="222">
        <v>546</v>
      </c>
    </row>
    <row r="243" ht="21" customHeight="1" spans="1:2">
      <c r="A243" s="221">
        <v>45762</v>
      </c>
      <c r="B243" s="222">
        <v>546</v>
      </c>
    </row>
    <row r="244" ht="21" customHeight="1" spans="1:2">
      <c r="A244" s="221">
        <v>45765</v>
      </c>
      <c r="B244" s="222">
        <v>546</v>
      </c>
    </row>
    <row r="245" ht="21" customHeight="1" spans="1:2">
      <c r="A245" s="221">
        <v>45769</v>
      </c>
      <c r="B245" s="222">
        <v>542</v>
      </c>
    </row>
    <row r="246" ht="21" customHeight="1" spans="1:2">
      <c r="A246" s="221">
        <v>45772</v>
      </c>
      <c r="B246" s="222">
        <v>537</v>
      </c>
    </row>
    <row r="247" ht="21" customHeight="1" spans="1:2">
      <c r="A247" s="221">
        <v>45776</v>
      </c>
      <c r="B247" s="222">
        <v>537</v>
      </c>
    </row>
    <row r="248" ht="21" customHeight="1" spans="1:2">
      <c r="A248" s="221">
        <v>45783</v>
      </c>
      <c r="B248" s="222">
        <v>534</v>
      </c>
    </row>
    <row r="249" ht="21" customHeight="1" spans="1:2">
      <c r="A249" s="221">
        <v>45786</v>
      </c>
      <c r="B249" s="222">
        <v>529</v>
      </c>
    </row>
    <row r="250" ht="21" customHeight="1" spans="1:2">
      <c r="A250" s="221">
        <v>45790</v>
      </c>
      <c r="B250" s="222">
        <v>517</v>
      </c>
    </row>
    <row r="251" ht="21" customHeight="1" spans="1:2">
      <c r="A251" s="221">
        <v>45793</v>
      </c>
      <c r="B251" s="222">
        <v>517</v>
      </c>
    </row>
    <row r="252" ht="21" customHeight="1" spans="1:2">
      <c r="A252" s="221">
        <v>45797</v>
      </c>
      <c r="B252" s="222">
        <v>515</v>
      </c>
    </row>
    <row r="253" ht="21" customHeight="1" spans="1:2">
      <c r="A253" s="158">
        <v>45800</v>
      </c>
      <c r="B253" s="222">
        <v>513</v>
      </c>
    </row>
    <row r="254" ht="21" customHeight="1" spans="1:2">
      <c r="A254" s="158">
        <v>45804</v>
      </c>
      <c r="B254" s="222">
        <v>501</v>
      </c>
    </row>
    <row r="255" ht="21" customHeight="1" spans="1:2">
      <c r="A255" s="158">
        <v>45807</v>
      </c>
      <c r="B255" s="222">
        <v>501</v>
      </c>
    </row>
    <row r="256" ht="21" customHeight="1" spans="1:2">
      <c r="A256" s="158">
        <v>45811</v>
      </c>
      <c r="B256" s="222">
        <v>485</v>
      </c>
    </row>
    <row r="257" ht="21" customHeight="1" spans="1:2">
      <c r="A257" s="158">
        <v>45814</v>
      </c>
      <c r="B257" s="222">
        <v>481</v>
      </c>
    </row>
    <row r="258" ht="21" customHeight="1" spans="1:2">
      <c r="A258" s="158">
        <v>45818</v>
      </c>
      <c r="B258" s="222">
        <v>465</v>
      </c>
    </row>
    <row r="259" ht="21" customHeight="1" spans="1:2">
      <c r="A259" s="158">
        <v>45821</v>
      </c>
      <c r="B259" s="222">
        <v>465</v>
      </c>
    </row>
    <row r="260" ht="21" customHeight="1" spans="1:2">
      <c r="A260" s="158">
        <v>45825</v>
      </c>
      <c r="B260" s="222">
        <v>443</v>
      </c>
    </row>
    <row r="261" ht="21" customHeight="1" spans="1:2">
      <c r="A261" s="158">
        <v>45828</v>
      </c>
      <c r="B261" s="222">
        <v>443</v>
      </c>
    </row>
    <row r="262" ht="21" customHeight="1" spans="1:2">
      <c r="A262" s="158">
        <v>45832</v>
      </c>
      <c r="B262" s="222">
        <v>431</v>
      </c>
    </row>
    <row r="263" ht="21" customHeight="1" spans="1:2">
      <c r="A263" s="158">
        <v>45835</v>
      </c>
      <c r="B263" s="222">
        <v>431</v>
      </c>
    </row>
    <row r="264" ht="21" customHeight="1" spans="1:2">
      <c r="A264" s="158">
        <v>45839</v>
      </c>
      <c r="B264" s="222">
        <v>431</v>
      </c>
    </row>
    <row r="265" ht="21" customHeight="1" spans="1:2">
      <c r="A265" s="158">
        <v>45842</v>
      </c>
      <c r="B265" s="222">
        <v>431</v>
      </c>
    </row>
    <row r="266" ht="21" customHeight="1" spans="1:2">
      <c r="A266" s="158">
        <v>45846</v>
      </c>
      <c r="B266" s="222">
        <v>439</v>
      </c>
    </row>
    <row r="267" ht="21" customHeight="1" spans="1:2">
      <c r="A267" s="158">
        <v>45849</v>
      </c>
      <c r="B267" s="222">
        <v>439</v>
      </c>
    </row>
    <row r="268" ht="21" customHeight="1" spans="1:2">
      <c r="A268" s="158">
        <v>45853</v>
      </c>
      <c r="B268" s="222">
        <v>440</v>
      </c>
    </row>
    <row r="269" ht="21" customHeight="1" spans="1:2">
      <c r="A269" s="158">
        <v>45856</v>
      </c>
      <c r="B269" s="222">
        <v>440</v>
      </c>
    </row>
    <row r="270" ht="21" customHeight="1" spans="1:2">
      <c r="A270" s="158">
        <v>45860</v>
      </c>
      <c r="B270" s="222">
        <v>440</v>
      </c>
    </row>
    <row r="271" ht="21" customHeight="1" spans="1:2">
      <c r="A271" s="158">
        <v>45863</v>
      </c>
      <c r="B271" s="222">
        <v>440</v>
      </c>
    </row>
    <row r="272" ht="21" customHeight="1" spans="1:2">
      <c r="A272" s="158">
        <v>45867</v>
      </c>
      <c r="B272" s="222">
        <v>429</v>
      </c>
    </row>
    <row r="273" ht="21" customHeight="1" spans="1:2">
      <c r="A273" s="158">
        <v>45870</v>
      </c>
      <c r="B273" s="222">
        <v>428</v>
      </c>
    </row>
    <row r="274" ht="21" customHeight="1" spans="1:2">
      <c r="A274" s="158">
        <v>45874</v>
      </c>
      <c r="B274" s="222">
        <v>418</v>
      </c>
    </row>
    <row r="275" ht="21" customHeight="1" spans="1:2">
      <c r="A275" s="158">
        <v>45877</v>
      </c>
      <c r="B275" s="222">
        <v>415</v>
      </c>
    </row>
    <row r="276" ht="21" customHeight="1" spans="1:2">
      <c r="A276" s="158">
        <v>45881</v>
      </c>
      <c r="B276" s="222">
        <v>389</v>
      </c>
    </row>
    <row r="277" ht="21" customHeight="1" spans="1:2">
      <c r="A277" s="158">
        <v>45884</v>
      </c>
      <c r="B277" s="222">
        <v>386</v>
      </c>
    </row>
    <row r="278" ht="21" customHeight="1" spans="1:2">
      <c r="A278" s="158">
        <v>45888</v>
      </c>
      <c r="B278" s="222">
        <v>363</v>
      </c>
    </row>
    <row r="279" ht="21" customHeight="1" spans="1:2">
      <c r="A279" s="158">
        <v>45891</v>
      </c>
      <c r="B279" s="222">
        <v>363</v>
      </c>
    </row>
    <row r="280" ht="21" customHeight="1" spans="1:2">
      <c r="A280" s="158">
        <v>45895</v>
      </c>
      <c r="B280" s="222">
        <v>347</v>
      </c>
    </row>
    <row r="281" ht="21" customHeight="1" spans="1:2">
      <c r="A281" s="158">
        <v>45898</v>
      </c>
      <c r="B281" s="222">
        <v>347</v>
      </c>
    </row>
    <row r="282" ht="21" customHeight="1" spans="1:2">
      <c r="A282" s="158">
        <v>45902</v>
      </c>
      <c r="B282" s="222">
        <v>324</v>
      </c>
    </row>
    <row r="283" ht="21" customHeight="1" spans="1:2">
      <c r="A283" s="158">
        <v>45905</v>
      </c>
      <c r="B283" s="222">
        <v>323</v>
      </c>
    </row>
    <row r="284" ht="21" customHeight="1" spans="1:2">
      <c r="A284" s="158">
        <v>45909</v>
      </c>
      <c r="B284" s="222">
        <v>294</v>
      </c>
    </row>
    <row r="285" ht="21" customHeight="1" spans="1:2">
      <c r="A285" s="158">
        <v>45912</v>
      </c>
      <c r="B285" s="222">
        <v>291</v>
      </c>
    </row>
    <row r="286" ht="21" customHeight="1" spans="1:2">
      <c r="A286" s="158">
        <v>45916</v>
      </c>
      <c r="B286" s="222">
        <v>259</v>
      </c>
    </row>
    <row r="287" ht="21" customHeight="1" spans="1:2">
      <c r="A287" s="158">
        <v>45919</v>
      </c>
      <c r="B287" s="222">
        <v>258</v>
      </c>
    </row>
    <row r="288" ht="21" customHeight="1" spans="1:2">
      <c r="A288" s="158">
        <v>45923</v>
      </c>
      <c r="B288" s="222">
        <v>236</v>
      </c>
    </row>
    <row r="289" ht="21" customHeight="1" spans="1:2">
      <c r="A289" s="158">
        <v>45926</v>
      </c>
      <c r="B289" s="222">
        <v>236</v>
      </c>
    </row>
    <row r="290" ht="21" customHeight="1" spans="1:2">
      <c r="A290" s="158">
        <v>45930</v>
      </c>
      <c r="B290" s="222">
        <v>212</v>
      </c>
    </row>
    <row r="291" ht="21" customHeight="1" spans="1:2">
      <c r="A291" s="158">
        <v>45940</v>
      </c>
      <c r="B291" s="222">
        <v>183</v>
      </c>
    </row>
    <row r="292" ht="21" customHeight="1" spans="1:2">
      <c r="A292" s="158">
        <v>45944</v>
      </c>
      <c r="B292" s="222">
        <v>173</v>
      </c>
    </row>
    <row r="293" ht="21" customHeight="1" spans="1:2">
      <c r="A293" s="158">
        <v>45947</v>
      </c>
      <c r="B293" s="222">
        <v>165</v>
      </c>
    </row>
    <row r="294" ht="21" customHeight="1" spans="1:2">
      <c r="A294" s="158">
        <v>45951</v>
      </c>
      <c r="B294" s="222">
        <v>165</v>
      </c>
    </row>
    <row r="295" ht="21" customHeight="1" spans="1:2">
      <c r="A295" s="158">
        <v>45954</v>
      </c>
      <c r="B295" s="222">
        <v>165</v>
      </c>
    </row>
    <row r="296" ht="21" customHeight="1" spans="1:2">
      <c r="A296" s="158">
        <v>45958</v>
      </c>
      <c r="B296" s="222">
        <v>174</v>
      </c>
    </row>
    <row r="297" ht="21" customHeight="1" spans="1:2">
      <c r="A297" s="158">
        <v>45961</v>
      </c>
      <c r="B297" s="222">
        <v>175</v>
      </c>
    </row>
    <row r="298" ht="21" customHeight="1" spans="1:2">
      <c r="A298" s="158">
        <v>45965</v>
      </c>
      <c r="B298" s="222">
        <v>198</v>
      </c>
    </row>
    <row r="299" ht="21" customHeight="1" spans="1:2">
      <c r="A299" s="158">
        <v>45968</v>
      </c>
      <c r="B299" s="222">
        <v>198</v>
      </c>
    </row>
    <row r="300" ht="21" customHeight="1" spans="1:2">
      <c r="A300" s="158">
        <v>45972</v>
      </c>
      <c r="B300" s="222">
        <v>209</v>
      </c>
    </row>
    <row r="301" ht="21" customHeight="1" spans="1:2">
      <c r="A301" s="158">
        <v>45975</v>
      </c>
      <c r="B301" s="222">
        <v>209</v>
      </c>
    </row>
    <row r="302" ht="21" customHeight="1" spans="1:2">
      <c r="A302" s="158">
        <v>45979</v>
      </c>
      <c r="B302" s="222">
        <v>209</v>
      </c>
    </row>
    <row r="303" ht="21" customHeight="1" spans="1:2">
      <c r="A303" s="158">
        <v>45982</v>
      </c>
      <c r="B303" s="222">
        <v>209</v>
      </c>
    </row>
    <row r="304" ht="21" customHeight="1" spans="1:2">
      <c r="A304" s="158">
        <v>45986</v>
      </c>
      <c r="B304" s="222">
        <v>209</v>
      </c>
    </row>
    <row r="305" ht="21" customHeight="1" spans="1:2">
      <c r="A305" s="158">
        <v>45989</v>
      </c>
      <c r="B305" s="222">
        <v>209</v>
      </c>
    </row>
    <row r="306" ht="21" customHeight="1" spans="1:2">
      <c r="A306" s="158">
        <v>45993</v>
      </c>
      <c r="B306" s="222">
        <v>209</v>
      </c>
    </row>
    <row r="307" ht="21" customHeight="1" spans="1:2">
      <c r="A307" s="158">
        <v>45996</v>
      </c>
      <c r="B307" s="222">
        <v>209</v>
      </c>
    </row>
    <row r="308" ht="21" customHeight="1" spans="1:2">
      <c r="A308" s="158">
        <v>46000</v>
      </c>
      <c r="B308" s="222">
        <v>215</v>
      </c>
    </row>
    <row r="309" ht="21" customHeight="1" spans="1:2">
      <c r="A309" s="158">
        <v>46003</v>
      </c>
      <c r="B309" s="222">
        <v>215</v>
      </c>
    </row>
    <row r="310" ht="21" customHeight="1" spans="1:2">
      <c r="A310" s="158">
        <v>46007</v>
      </c>
      <c r="B310" s="222">
        <v>216</v>
      </c>
    </row>
    <row r="311" ht="21" customHeight="1" spans="1:2">
      <c r="A311" s="158">
        <v>46010</v>
      </c>
      <c r="B311" s="222">
        <v>216</v>
      </c>
    </row>
    <row r="312" ht="21" customHeight="1" spans="1:2">
      <c r="A312" s="158">
        <v>46014</v>
      </c>
      <c r="B312" s="222">
        <v>216</v>
      </c>
    </row>
    <row r="313" ht="21" customHeight="1" spans="1:2">
      <c r="A313" s="158">
        <v>46017</v>
      </c>
      <c r="B313" s="222">
        <v>217</v>
      </c>
    </row>
    <row r="314" ht="21" customHeight="1" spans="1:2">
      <c r="A314" s="158">
        <v>46021</v>
      </c>
      <c r="B314" s="222">
        <v>227</v>
      </c>
    </row>
    <row r="315" ht="21" customHeight="1" spans="1:2">
      <c r="A315" s="158">
        <v>46028</v>
      </c>
      <c r="B315" s="222">
        <v>251</v>
      </c>
    </row>
    <row r="316" ht="21" customHeight="1" spans="1:2">
      <c r="A316" s="158">
        <v>46031</v>
      </c>
      <c r="B316" s="222">
        <v>262</v>
      </c>
    </row>
    <row r="317" ht="21" customHeight="1" spans="1:2">
      <c r="A317" s="158">
        <v>46035</v>
      </c>
      <c r="B317" s="222">
        <v>307</v>
      </c>
    </row>
    <row r="318" ht="21" customHeight="1" spans="1:2">
      <c r="A318" s="158">
        <v>46038</v>
      </c>
      <c r="B318" s="222">
        <v>330</v>
      </c>
    </row>
    <row r="319" ht="21" customHeight="1" spans="1:2">
      <c r="A319" s="158">
        <v>46042</v>
      </c>
      <c r="B319" s="222">
        <v>352</v>
      </c>
    </row>
    <row r="320" ht="21" customHeight="1" spans="1:2">
      <c r="A320" s="158">
        <v>46045</v>
      </c>
      <c r="B320" s="222">
        <v>353</v>
      </c>
    </row>
    <row r="321" ht="21" customHeight="1" spans="1:2">
      <c r="A321" s="158">
        <v>46049</v>
      </c>
      <c r="B321" s="222">
        <v>367</v>
      </c>
    </row>
    <row r="322" ht="21" customHeight="1" spans="1:2">
      <c r="A322" s="158">
        <v>46052</v>
      </c>
      <c r="B322" s="222">
        <v>357</v>
      </c>
    </row>
    <row r="323" ht="21" customHeight="1" spans="1:2">
      <c r="A323" s="158">
        <v>46056</v>
      </c>
      <c r="B323" s="222">
        <v>366</v>
      </c>
    </row>
    <row r="324" ht="21" customHeight="1" spans="1:2">
      <c r="A324" s="158">
        <v>46059</v>
      </c>
      <c r="B324" s="222">
        <v>366</v>
      </c>
    </row>
    <row r="325" ht="21" customHeight="1" spans="1:2">
      <c r="A325" s="158">
        <v>46063</v>
      </c>
      <c r="B325" s="222">
        <v>365</v>
      </c>
    </row>
    <row r="326" ht="21" customHeight="1" spans="1:2">
      <c r="A326" s="158">
        <v>46066</v>
      </c>
      <c r="B326" s="222">
        <v>365</v>
      </c>
    </row>
    <row r="327" ht="21" customHeight="1" spans="1:2">
      <c r="A327" s="158">
        <v>46077</v>
      </c>
      <c r="B327" s="222">
        <v>359</v>
      </c>
    </row>
    <row r="328" ht="21" customHeight="1" spans="1:2">
      <c r="A328" s="158">
        <v>46080</v>
      </c>
      <c r="B328" s="222">
        <v>357</v>
      </c>
    </row>
    <row r="329" ht="21" customHeight="1" spans="1:2">
      <c r="A329" s="158">
        <v>46084</v>
      </c>
      <c r="B329" s="222">
        <v>348</v>
      </c>
    </row>
    <row r="330" ht="21" customHeight="1" spans="1:2">
      <c r="A330" s="158">
        <v>46088</v>
      </c>
      <c r="B330" s="222">
        <v>347</v>
      </c>
    </row>
    <row r="331" ht="21" customHeight="1" spans="1:2">
      <c r="A331" s="158">
        <v>46091</v>
      </c>
      <c r="B331" s="222">
        <v>326</v>
      </c>
    </row>
    <row r="332" ht="21" customHeight="1" spans="1:2">
      <c r="A332" s="158">
        <v>46094</v>
      </c>
      <c r="B332" s="222">
        <v>316</v>
      </c>
    </row>
    <row r="333" ht="21" customHeight="1" spans="1:2">
      <c r="A333" s="158">
        <v>46098</v>
      </c>
      <c r="B333" s="222">
        <v>294</v>
      </c>
    </row>
    <row r="334" ht="21" customHeight="1" spans="1:2">
      <c r="A334" s="158">
        <v>46102</v>
      </c>
      <c r="B334" s="222">
        <v>283</v>
      </c>
    </row>
    <row r="335" ht="21" customHeight="1" spans="1:2">
      <c r="A335" s="158">
        <v>46105</v>
      </c>
      <c r="B335" s="222">
        <v>251</v>
      </c>
    </row>
    <row r="336" ht="21" customHeight="1" spans="1:2">
      <c r="A336" s="158">
        <v>46108</v>
      </c>
      <c r="B336" s="222">
        <v>237</v>
      </c>
    </row>
    <row r="337" ht="21" customHeight="1" spans="1:2">
      <c r="A337" s="158">
        <v>46112</v>
      </c>
      <c r="B337" s="222">
        <v>202</v>
      </c>
    </row>
    <row r="338" ht="21" customHeight="1" spans="1:2">
      <c r="A338" s="158">
        <v>46115</v>
      </c>
      <c r="B338" s="222">
        <v>202</v>
      </c>
    </row>
    <row r="339" ht="21" customHeight="1" spans="1:2">
      <c r="A339" s="158">
        <v>46119</v>
      </c>
      <c r="B339" s="222">
        <v>202</v>
      </c>
    </row>
    <row r="340" ht="21" customHeight="1" spans="1:2">
      <c r="A340" s="158">
        <v>46122</v>
      </c>
      <c r="B340" s="222">
        <v>202</v>
      </c>
    </row>
    <row r="341" ht="21" customHeight="1" spans="1:2">
      <c r="A341" s="158">
        <v>46126</v>
      </c>
      <c r="B341" s="222">
        <v>206</v>
      </c>
    </row>
    <row r="342" ht="21" customHeight="1" spans="1:2">
      <c r="A342" s="158">
        <v>46129</v>
      </c>
      <c r="B342" s="222">
        <v>212</v>
      </c>
    </row>
    <row r="343" ht="21" customHeight="1" spans="1:2">
      <c r="A343" s="158">
        <v>46133</v>
      </c>
      <c r="B343" s="222">
        <v>224</v>
      </c>
    </row>
    <row r="344" ht="21" customHeight="1" spans="1:2">
      <c r="A344" s="158">
        <v>46136</v>
      </c>
      <c r="B344" s="222">
        <v>229</v>
      </c>
    </row>
    <row r="345" ht="21" customHeight="1" spans="1:2">
      <c r="A345" s="158">
        <v>46140</v>
      </c>
      <c r="B345" s="222">
        <v>237</v>
      </c>
    </row>
    <row r="346" ht="21" customHeight="1" spans="1:2">
      <c r="A346" s="158">
        <v>46147</v>
      </c>
      <c r="B346" s="222">
        <v>246</v>
      </c>
    </row>
    <row r="347" ht="21" customHeight="1" spans="1:2">
      <c r="A347" s="158">
        <v>46150</v>
      </c>
      <c r="B347" s="222">
        <v>246</v>
      </c>
    </row>
    <row r="348" ht="21" customHeight="1" spans="1:2">
      <c r="A348" s="158">
        <v>46154</v>
      </c>
      <c r="B348" s="222">
        <v>257</v>
      </c>
    </row>
    <row r="349" ht="21" customHeight="1" spans="1:2">
      <c r="A349" s="158">
        <v>46157</v>
      </c>
      <c r="B349" s="222">
        <v>257</v>
      </c>
    </row>
    <row r="350" ht="21" customHeight="1" spans="1:2">
      <c r="A350" s="158">
        <v>46161</v>
      </c>
      <c r="B350" s="222">
        <v>267</v>
      </c>
    </row>
    <row r="351" ht="21" customHeight="1" spans="1:2">
      <c r="A351" s="158">
        <v>46164</v>
      </c>
      <c r="B351" s="222">
        <v>267</v>
      </c>
    </row>
    <row r="352" ht="21" customHeight="1" spans="1:2">
      <c r="A352" s="158">
        <v>46168</v>
      </c>
      <c r="B352" s="222">
        <v>267</v>
      </c>
    </row>
    <row r="353" ht="21" customHeight="1" spans="1:2">
      <c r="A353" s="158">
        <v>46171</v>
      </c>
      <c r="B353" s="222">
        <v>267</v>
      </c>
    </row>
    <row r="354" ht="21" customHeight="1" spans="1:2">
      <c r="A354" s="158">
        <v>46175</v>
      </c>
      <c r="B354" s="222">
        <v>253</v>
      </c>
    </row>
    <row r="355" ht="21" customHeight="1" spans="1:2">
      <c r="A355" s="158">
        <v>46178</v>
      </c>
      <c r="B355" s="222">
        <v>250</v>
      </c>
    </row>
    <row r="356" ht="21" customHeight="1" spans="1:2">
      <c r="A356" s="158">
        <v>46182</v>
      </c>
      <c r="B356" s="222">
        <v>221</v>
      </c>
    </row>
    <row r="357" ht="21" customHeight="1" spans="1:2">
      <c r="A357" s="158">
        <v>46185</v>
      </c>
      <c r="B357" s="222">
        <v>220</v>
      </c>
    </row>
    <row r="358" ht="21" customHeight="1" spans="1:2">
      <c r="A358" s="158">
        <v>46189</v>
      </c>
      <c r="B358" s="222">
        <v>181</v>
      </c>
    </row>
    <row r="359" ht="21" customHeight="1" spans="1:2">
      <c r="A359" s="158">
        <v>46196</v>
      </c>
      <c r="B359" s="222">
        <v>157</v>
      </c>
    </row>
    <row r="360" ht="21" customHeight="1" spans="1:2">
      <c r="A360" s="158">
        <v>46199</v>
      </c>
      <c r="B360" s="222">
        <v>157</v>
      </c>
    </row>
    <row r="361" ht="21" customHeight="1" spans="1:2">
      <c r="A361" s="158">
        <v>46203</v>
      </c>
      <c r="B361" s="222">
        <v>177</v>
      </c>
    </row>
    <row r="362" ht="21" customHeight="1" spans="1:2">
      <c r="A362" s="158">
        <v>46206</v>
      </c>
      <c r="B362" s="222">
        <v>183</v>
      </c>
    </row>
    <row r="363" ht="21" customHeight="1" spans="1:2">
      <c r="A363" s="158">
        <v>46210</v>
      </c>
      <c r="B363" s="222">
        <v>224</v>
      </c>
    </row>
    <row r="364" ht="21" customHeight="1" spans="1:2">
      <c r="A364" s="158">
        <v>46213</v>
      </c>
      <c r="B364" s="222">
        <v>235</v>
      </c>
    </row>
    <row r="365" ht="21" customHeight="1" spans="1:2">
      <c r="A365" s="158">
        <v>46217</v>
      </c>
      <c r="B365" s="222">
        <v>260</v>
      </c>
    </row>
    <row r="366" ht="21" customHeight="1" spans="1:2">
      <c r="A366" s="158">
        <v>46220</v>
      </c>
      <c r="B366" s="222">
        <v>260</v>
      </c>
    </row>
    <row r="367" ht="21" customHeight="1" spans="1:2">
      <c r="A367" s="158">
        <v>46224</v>
      </c>
      <c r="B367" s="222">
        <v>271</v>
      </c>
    </row>
    <row r="368" ht="21" customHeight="1" spans="1:2">
      <c r="A368" s="158">
        <v>46227</v>
      </c>
      <c r="B368" s="222">
        <v>271</v>
      </c>
    </row>
    <row r="369" ht="21" customHeight="1" spans="1:2">
      <c r="A369" s="158">
        <v>46231</v>
      </c>
      <c r="B369" s="222">
        <v>238</v>
      </c>
    </row>
    <row r="370" ht="21" customHeight="1" spans="1:2">
      <c r="A370" s="158">
        <v>46234</v>
      </c>
      <c r="B370" s="222">
        <v>228</v>
      </c>
    </row>
    <row r="371" ht="21" customHeight="1" spans="1:2">
      <c r="A371" s="158">
        <v>46238</v>
      </c>
      <c r="B371" s="222">
        <v>188</v>
      </c>
    </row>
    <row r="372" ht="21" customHeight="1" spans="1:2">
      <c r="A372" s="158">
        <v>46241</v>
      </c>
      <c r="B372" s="222">
        <v>187</v>
      </c>
    </row>
    <row r="373" ht="21" customHeight="1" spans="1:2">
      <c r="A373" s="158">
        <v>46245</v>
      </c>
      <c r="B373" s="222">
        <v>164</v>
      </c>
    </row>
    <row r="374" ht="21" customHeight="1" spans="1:2">
      <c r="A374" s="158">
        <v>46248</v>
      </c>
      <c r="B374" s="222">
        <v>164</v>
      </c>
    </row>
    <row r="375" ht="21" customHeight="1" spans="1:2">
      <c r="A375" s="158">
        <v>46252</v>
      </c>
      <c r="B375" s="222">
        <v>155</v>
      </c>
    </row>
    <row r="376" ht="21" customHeight="1" spans="1:2">
      <c r="A376" s="158">
        <v>46255</v>
      </c>
      <c r="B376" s="222">
        <v>151</v>
      </c>
    </row>
    <row r="377" ht="21" customHeight="1" spans="1:2">
      <c r="A377" s="158">
        <v>46259</v>
      </c>
      <c r="B377" s="222">
        <v>149</v>
      </c>
    </row>
    <row r="378" ht="21" customHeight="1" spans="1:2">
      <c r="A378" s="158">
        <v>46262</v>
      </c>
      <c r="B378" s="222">
        <v>149</v>
      </c>
    </row>
    <row r="379" ht="21" customHeight="1" spans="1:2">
      <c r="A379" s="158">
        <v>46266</v>
      </c>
      <c r="B379" s="222">
        <v>149</v>
      </c>
    </row>
    <row r="380" ht="21" customHeight="1" spans="1:2">
      <c r="A380" s="158">
        <v>46269</v>
      </c>
      <c r="B380" s="222">
        <v>149</v>
      </c>
    </row>
    <row r="381" ht="21" customHeight="1" spans="1:2">
      <c r="A381" s="158">
        <v>46273</v>
      </c>
      <c r="B381" s="222">
        <v>149</v>
      </c>
    </row>
    <row r="382" ht="21" customHeight="1" spans="1:2">
      <c r="A382" s="158">
        <v>46276</v>
      </c>
      <c r="B382" s="222">
        <v>149</v>
      </c>
    </row>
    <row r="383" ht="21" customHeight="1" spans="1:2">
      <c r="A383" s="158">
        <v>46280</v>
      </c>
      <c r="B383" s="222">
        <v>144</v>
      </c>
    </row>
    <row r="384" ht="21" customHeight="1" spans="1:2">
      <c r="A384" s="158">
        <v>46283</v>
      </c>
      <c r="B384" s="222">
        <v>144</v>
      </c>
    </row>
    <row r="385" ht="21" customHeight="1" spans="1:2">
      <c r="A385" s="158">
        <v>46287</v>
      </c>
      <c r="B385" s="222">
        <v>130</v>
      </c>
    </row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</sheetData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327"/>
  <sheetViews>
    <sheetView workbookViewId="0">
      <pane ySplit="2" topLeftCell="A303" activePane="bottomLeft" state="frozen"/>
      <selection/>
      <selection pane="bottomLeft" activeCell="A327" sqref="A327"/>
    </sheetView>
  </sheetViews>
  <sheetFormatPr defaultColWidth="13.125" defaultRowHeight="20" customHeight="1" outlineLevelCol="3"/>
  <cols>
    <col min="1" max="1" width="13.125" customWidth="1"/>
    <col min="2" max="2" width="17" style="155" customWidth="1"/>
    <col min="3" max="4" width="13.125" style="155" customWidth="1"/>
    <col min="5" max="16384" width="13.125" customWidth="1"/>
  </cols>
  <sheetData>
    <row r="2" ht="30" customHeight="1" spans="1:4">
      <c r="A2" s="208" t="s">
        <v>59</v>
      </c>
      <c r="B2" s="209" t="s">
        <v>60</v>
      </c>
      <c r="C2" s="210" t="s">
        <v>61</v>
      </c>
      <c r="D2" s="210" t="s">
        <v>62</v>
      </c>
    </row>
    <row r="3" customHeight="1" spans="1:4">
      <c r="A3" s="158">
        <v>43951</v>
      </c>
      <c r="B3" s="197">
        <v>41.76</v>
      </c>
      <c r="C3" s="142">
        <v>32.03</v>
      </c>
      <c r="D3" s="142">
        <f t="shared" ref="D3:D66" si="0">B3-C3</f>
        <v>9.73</v>
      </c>
    </row>
    <row r="4" customHeight="1" spans="1:4">
      <c r="A4" s="158">
        <v>43958</v>
      </c>
      <c r="B4" s="197">
        <v>40.26</v>
      </c>
      <c r="C4" s="142">
        <v>31.07</v>
      </c>
      <c r="D4" s="142">
        <f t="shared" si="0"/>
        <v>9.19</v>
      </c>
    </row>
    <row r="5" customHeight="1" spans="1:4">
      <c r="A5" s="158">
        <v>43965</v>
      </c>
      <c r="B5" s="197">
        <v>36.63</v>
      </c>
      <c r="C5" s="142">
        <v>28.87</v>
      </c>
      <c r="D5" s="142">
        <f t="shared" si="0"/>
        <v>7.76</v>
      </c>
    </row>
    <row r="6" customHeight="1" spans="1:4">
      <c r="A6" s="158">
        <v>43972</v>
      </c>
      <c r="B6" s="197">
        <v>36.43</v>
      </c>
      <c r="C6" s="142">
        <v>27.06</v>
      </c>
      <c r="D6" s="142">
        <f t="shared" si="0"/>
        <v>9.37</v>
      </c>
    </row>
    <row r="7" customHeight="1" spans="1:4">
      <c r="A7" s="158">
        <v>43979</v>
      </c>
      <c r="B7" s="142">
        <v>38.21</v>
      </c>
      <c r="C7" s="142">
        <v>29.1</v>
      </c>
      <c r="D7" s="142">
        <f t="shared" si="0"/>
        <v>9.11</v>
      </c>
    </row>
    <row r="8" customHeight="1" spans="1:4">
      <c r="A8" s="158">
        <v>43986</v>
      </c>
      <c r="B8" s="197">
        <v>41.03</v>
      </c>
      <c r="C8" s="142">
        <v>30.16</v>
      </c>
      <c r="D8" s="142">
        <f t="shared" si="0"/>
        <v>10.87</v>
      </c>
    </row>
    <row r="9" customHeight="1" spans="1:4">
      <c r="A9" s="158">
        <v>43993</v>
      </c>
      <c r="B9" s="197">
        <v>41.93</v>
      </c>
      <c r="C9" s="142">
        <v>31.53</v>
      </c>
      <c r="D9" s="142">
        <f t="shared" si="0"/>
        <v>10.4</v>
      </c>
    </row>
    <row r="10" customHeight="1" spans="1:4">
      <c r="A10" s="158">
        <v>44000</v>
      </c>
      <c r="B10" s="197">
        <v>44.32</v>
      </c>
      <c r="C10" s="142">
        <v>33.05</v>
      </c>
      <c r="D10" s="142">
        <f t="shared" si="0"/>
        <v>11.27</v>
      </c>
    </row>
    <row r="11" customHeight="1" spans="1:4">
      <c r="A11" s="158">
        <v>44007</v>
      </c>
      <c r="B11" s="197">
        <v>45.67</v>
      </c>
      <c r="C11" s="142">
        <v>34.29</v>
      </c>
      <c r="D11" s="142">
        <f t="shared" si="0"/>
        <v>11.38</v>
      </c>
    </row>
    <row r="12" customHeight="1" spans="1:4">
      <c r="A12" s="158">
        <v>44014</v>
      </c>
      <c r="B12" s="197">
        <v>46.8</v>
      </c>
      <c r="C12" s="142">
        <v>35.8</v>
      </c>
      <c r="D12" s="142">
        <f t="shared" si="0"/>
        <v>11</v>
      </c>
    </row>
    <row r="13" customHeight="1" spans="1:4">
      <c r="A13" s="158">
        <v>44021</v>
      </c>
      <c r="B13" s="197">
        <v>49.04</v>
      </c>
      <c r="C13" s="142">
        <v>37.49</v>
      </c>
      <c r="D13" s="142">
        <f t="shared" si="0"/>
        <v>11.55</v>
      </c>
    </row>
    <row r="14" customHeight="1" spans="1:4">
      <c r="A14" s="158">
        <v>44028</v>
      </c>
      <c r="B14" s="197">
        <v>49.21</v>
      </c>
      <c r="C14" s="142">
        <v>37.87</v>
      </c>
      <c r="D14" s="142">
        <f t="shared" si="0"/>
        <v>11.34</v>
      </c>
    </row>
    <row r="15" customHeight="1" spans="1:4">
      <c r="A15" s="158">
        <v>44035</v>
      </c>
      <c r="B15" s="197">
        <v>47.98</v>
      </c>
      <c r="C15" s="142">
        <v>37.19</v>
      </c>
      <c r="D15" s="142">
        <f t="shared" si="0"/>
        <v>10.79</v>
      </c>
    </row>
    <row r="16" customHeight="1" spans="1:4">
      <c r="A16" s="158">
        <v>44042</v>
      </c>
      <c r="B16" s="197">
        <v>48.47</v>
      </c>
      <c r="C16" s="142">
        <v>37</v>
      </c>
      <c r="D16" s="142">
        <f t="shared" si="0"/>
        <v>11.47</v>
      </c>
    </row>
    <row r="17" customHeight="1" spans="1:4">
      <c r="A17" s="158">
        <v>44049</v>
      </c>
      <c r="B17" s="197">
        <v>48.43</v>
      </c>
      <c r="C17" s="142">
        <v>37.53</v>
      </c>
      <c r="D17" s="142">
        <f t="shared" si="0"/>
        <v>10.9</v>
      </c>
    </row>
    <row r="18" customHeight="1" spans="1:4">
      <c r="A18" s="158">
        <v>44056</v>
      </c>
      <c r="B18" s="197">
        <v>47.62</v>
      </c>
      <c r="C18" s="142">
        <v>37.15</v>
      </c>
      <c r="D18" s="142">
        <f t="shared" si="0"/>
        <v>10.47</v>
      </c>
    </row>
    <row r="19" customHeight="1" spans="1:4">
      <c r="A19" s="158">
        <v>44063</v>
      </c>
      <c r="B19" s="197">
        <v>47.74</v>
      </c>
      <c r="C19" s="142">
        <v>36.81</v>
      </c>
      <c r="D19" s="142">
        <f t="shared" si="0"/>
        <v>10.93</v>
      </c>
    </row>
    <row r="20" customHeight="1" spans="1:4">
      <c r="A20" s="158">
        <v>44070</v>
      </c>
      <c r="B20" s="197">
        <v>47.02</v>
      </c>
      <c r="C20" s="142">
        <v>37.14</v>
      </c>
      <c r="D20" s="142">
        <f t="shared" si="0"/>
        <v>9.88</v>
      </c>
    </row>
    <row r="21" customHeight="1" spans="1:4">
      <c r="A21" s="158">
        <v>44077</v>
      </c>
      <c r="B21" s="197">
        <v>46.79</v>
      </c>
      <c r="C21" s="142">
        <v>36.58</v>
      </c>
      <c r="D21" s="142">
        <f t="shared" si="0"/>
        <v>10.21</v>
      </c>
    </row>
    <row r="22" customHeight="1" spans="1:4">
      <c r="A22" s="158">
        <v>44084</v>
      </c>
      <c r="B22" s="197">
        <v>46.12</v>
      </c>
      <c r="C22" s="142">
        <v>36.27</v>
      </c>
      <c r="D22" s="142">
        <f t="shared" si="0"/>
        <v>9.84999999999999</v>
      </c>
    </row>
    <row r="23" customHeight="1" spans="1:4">
      <c r="A23" s="158">
        <v>44091</v>
      </c>
      <c r="B23" s="197">
        <v>44.86</v>
      </c>
      <c r="C23" s="142">
        <v>35.21</v>
      </c>
      <c r="D23" s="142">
        <f t="shared" si="0"/>
        <v>9.65</v>
      </c>
    </row>
    <row r="24" customHeight="1" spans="1:4">
      <c r="A24" s="158">
        <v>44098</v>
      </c>
      <c r="B24" s="197">
        <v>42.73</v>
      </c>
      <c r="C24" s="142">
        <v>33.91</v>
      </c>
      <c r="D24" s="142">
        <f t="shared" si="0"/>
        <v>8.82</v>
      </c>
    </row>
    <row r="25" customHeight="1" spans="1:4">
      <c r="A25" s="158">
        <v>44104</v>
      </c>
      <c r="B25" s="197">
        <v>43.06</v>
      </c>
      <c r="C25" s="142">
        <v>32.84</v>
      </c>
      <c r="D25" s="142">
        <f t="shared" si="0"/>
        <v>10.22</v>
      </c>
    </row>
    <row r="26" customHeight="1" spans="1:4">
      <c r="A26" s="158">
        <v>44112</v>
      </c>
      <c r="B26" s="197">
        <v>41.42</v>
      </c>
      <c r="C26" s="142">
        <v>31.6</v>
      </c>
      <c r="D26" s="142">
        <f t="shared" si="0"/>
        <v>9.82</v>
      </c>
    </row>
    <row r="27" customHeight="1" spans="1:4">
      <c r="A27" s="158">
        <v>44119</v>
      </c>
      <c r="B27" s="197">
        <v>38.41</v>
      </c>
      <c r="C27" s="142">
        <v>30.36</v>
      </c>
      <c r="D27" s="142">
        <f t="shared" si="0"/>
        <v>8.05</v>
      </c>
    </row>
    <row r="28" customHeight="1" spans="1:4">
      <c r="A28" s="158">
        <v>44126</v>
      </c>
      <c r="B28" s="197">
        <v>36.99</v>
      </c>
      <c r="C28" s="142">
        <v>29.44</v>
      </c>
      <c r="D28" s="142">
        <f t="shared" si="0"/>
        <v>7.55</v>
      </c>
    </row>
    <row r="29" customHeight="1" spans="1:4">
      <c r="A29" s="158">
        <v>44133</v>
      </c>
      <c r="B29" s="197">
        <v>35.95</v>
      </c>
      <c r="C29" s="142">
        <v>28.59</v>
      </c>
      <c r="D29" s="142">
        <f t="shared" si="0"/>
        <v>7.36</v>
      </c>
    </row>
    <row r="30" customHeight="1" spans="1:4">
      <c r="A30" s="158">
        <v>44140</v>
      </c>
      <c r="B30" s="197">
        <v>36.38</v>
      </c>
      <c r="C30" s="142">
        <v>29.32</v>
      </c>
      <c r="D30" s="142">
        <f t="shared" si="0"/>
        <v>7.06</v>
      </c>
    </row>
    <row r="31" customHeight="1" spans="1:4">
      <c r="A31" s="158">
        <v>44147</v>
      </c>
      <c r="B31" s="197">
        <v>36.86</v>
      </c>
      <c r="C31" s="142">
        <v>29.23</v>
      </c>
      <c r="D31" s="142">
        <f t="shared" si="0"/>
        <v>7.63</v>
      </c>
    </row>
    <row r="32" customHeight="1" spans="1:4">
      <c r="A32" s="158">
        <v>44154</v>
      </c>
      <c r="B32" s="197">
        <v>37.15</v>
      </c>
      <c r="C32" s="142">
        <v>29.12</v>
      </c>
      <c r="D32" s="142">
        <f t="shared" si="0"/>
        <v>8.03</v>
      </c>
    </row>
    <row r="33" customHeight="1" spans="1:4">
      <c r="A33" s="158">
        <v>44161</v>
      </c>
      <c r="B33" s="197">
        <v>37.97</v>
      </c>
      <c r="C33" s="142">
        <v>29.44</v>
      </c>
      <c r="D33" s="142">
        <f t="shared" si="0"/>
        <v>8.53</v>
      </c>
    </row>
    <row r="34" customHeight="1" spans="1:4">
      <c r="A34" s="158">
        <v>44168</v>
      </c>
      <c r="B34" s="197">
        <v>41.96</v>
      </c>
      <c r="C34" s="142">
        <v>31.88</v>
      </c>
      <c r="D34" s="142">
        <f t="shared" si="0"/>
        <v>10.08</v>
      </c>
    </row>
    <row r="35" customHeight="1" spans="1:4">
      <c r="A35" s="158">
        <v>44175</v>
      </c>
      <c r="B35" s="197">
        <v>41.72</v>
      </c>
      <c r="C35" s="142">
        <v>33.08</v>
      </c>
      <c r="D35" s="142">
        <f t="shared" si="0"/>
        <v>8.64</v>
      </c>
    </row>
    <row r="36" customHeight="1" spans="1:4">
      <c r="A36" s="158">
        <v>44182</v>
      </c>
      <c r="B36" s="197">
        <v>43.09</v>
      </c>
      <c r="C36" s="142">
        <v>33.31</v>
      </c>
      <c r="D36" s="142">
        <f t="shared" si="0"/>
        <v>9.78</v>
      </c>
    </row>
    <row r="37" customHeight="1" spans="1:4">
      <c r="A37" s="158">
        <v>44189</v>
      </c>
      <c r="B37" s="197">
        <v>43.32</v>
      </c>
      <c r="C37" s="142">
        <v>33.79</v>
      </c>
      <c r="D37" s="142">
        <f t="shared" si="0"/>
        <v>9.53</v>
      </c>
    </row>
    <row r="38" customHeight="1" spans="1:4">
      <c r="A38" s="158">
        <v>44196</v>
      </c>
      <c r="B38" s="197">
        <v>45.54</v>
      </c>
      <c r="C38" s="142">
        <v>35.13</v>
      </c>
      <c r="D38" s="142">
        <f t="shared" si="0"/>
        <v>10.41</v>
      </c>
    </row>
    <row r="39" customHeight="1" spans="1:4">
      <c r="A39" s="158">
        <v>44203</v>
      </c>
      <c r="B39" s="197">
        <v>46.18</v>
      </c>
      <c r="C39" s="142">
        <v>36.59</v>
      </c>
      <c r="D39" s="142">
        <f t="shared" si="0"/>
        <v>9.59</v>
      </c>
    </row>
    <row r="40" customHeight="1" spans="1:4">
      <c r="A40" s="158">
        <v>44210</v>
      </c>
      <c r="B40" s="197">
        <v>46.49</v>
      </c>
      <c r="C40" s="142">
        <v>35.84</v>
      </c>
      <c r="D40" s="142">
        <f t="shared" si="0"/>
        <v>10.65</v>
      </c>
    </row>
    <row r="41" customHeight="1" spans="1:4">
      <c r="A41" s="158">
        <v>44217</v>
      </c>
      <c r="B41" s="197">
        <v>44.48</v>
      </c>
      <c r="C41" s="142">
        <v>35.74</v>
      </c>
      <c r="D41" s="142">
        <f t="shared" si="0"/>
        <v>8.73999999999999</v>
      </c>
    </row>
    <row r="42" customHeight="1" spans="1:4">
      <c r="A42" s="158">
        <v>44224</v>
      </c>
      <c r="B42" s="197">
        <v>42.74</v>
      </c>
      <c r="C42" s="142">
        <v>33.98</v>
      </c>
      <c r="D42" s="142">
        <f t="shared" si="0"/>
        <v>8.76000000000001</v>
      </c>
    </row>
    <row r="43" customHeight="1" spans="1:4">
      <c r="A43" s="158">
        <v>44231</v>
      </c>
      <c r="B43" s="197">
        <v>40.07</v>
      </c>
      <c r="C43" s="142">
        <v>32.19</v>
      </c>
      <c r="D43" s="142">
        <f t="shared" si="0"/>
        <v>7.88</v>
      </c>
    </row>
    <row r="44" customHeight="1" spans="1:4">
      <c r="A44" s="158">
        <v>44245</v>
      </c>
      <c r="B44" s="197">
        <v>37.39</v>
      </c>
      <c r="C44" s="142">
        <v>29.88</v>
      </c>
      <c r="D44" s="142">
        <f t="shared" si="0"/>
        <v>7.51</v>
      </c>
    </row>
    <row r="45" customHeight="1" spans="1:4">
      <c r="A45" s="158">
        <v>44252</v>
      </c>
      <c r="B45" s="197">
        <v>33.62</v>
      </c>
      <c r="C45" s="142">
        <v>27.77</v>
      </c>
      <c r="D45" s="142">
        <f t="shared" si="0"/>
        <v>5.85</v>
      </c>
    </row>
    <row r="46" customHeight="1" spans="1:4">
      <c r="A46" s="158">
        <v>44259</v>
      </c>
      <c r="B46" s="197">
        <v>35.29</v>
      </c>
      <c r="C46" s="142">
        <v>28.89</v>
      </c>
      <c r="D46" s="142">
        <f t="shared" si="0"/>
        <v>6.4</v>
      </c>
    </row>
    <row r="47" customHeight="1" spans="1:4">
      <c r="A47" s="158">
        <v>44266</v>
      </c>
      <c r="B47" s="197">
        <v>35</v>
      </c>
      <c r="C47" s="142">
        <v>28.33</v>
      </c>
      <c r="D47" s="142">
        <f t="shared" si="0"/>
        <v>6.67</v>
      </c>
    </row>
    <row r="48" customHeight="1" spans="1:4">
      <c r="A48" s="158">
        <v>44273</v>
      </c>
      <c r="B48" s="197">
        <v>34.27</v>
      </c>
      <c r="C48" s="142">
        <v>27.68</v>
      </c>
      <c r="D48" s="142">
        <f t="shared" si="0"/>
        <v>6.59</v>
      </c>
    </row>
    <row r="49" customHeight="1" spans="1:4">
      <c r="A49" s="158">
        <v>44280</v>
      </c>
      <c r="B49" s="197">
        <v>32.93</v>
      </c>
      <c r="C49" s="142">
        <v>26.52</v>
      </c>
      <c r="D49" s="142">
        <f t="shared" si="0"/>
        <v>6.41</v>
      </c>
    </row>
    <row r="50" customHeight="1" spans="1:4">
      <c r="A50" s="158">
        <v>44287</v>
      </c>
      <c r="B50" s="197">
        <v>30.49</v>
      </c>
      <c r="C50" s="142">
        <v>25.09</v>
      </c>
      <c r="D50" s="142">
        <f t="shared" si="0"/>
        <v>5.4</v>
      </c>
    </row>
    <row r="51" customHeight="1" spans="1:4">
      <c r="A51" s="158">
        <v>44294</v>
      </c>
      <c r="B51" s="197">
        <v>26.42</v>
      </c>
      <c r="C51" s="142">
        <v>22.94</v>
      </c>
      <c r="D51" s="142">
        <f t="shared" si="0"/>
        <v>3.48</v>
      </c>
    </row>
    <row r="52" customHeight="1" spans="1:4">
      <c r="A52" s="158">
        <v>44301</v>
      </c>
      <c r="B52" s="197">
        <v>29.98</v>
      </c>
      <c r="C52" s="142">
        <v>22.36</v>
      </c>
      <c r="D52" s="142">
        <f t="shared" si="0"/>
        <v>7.62</v>
      </c>
    </row>
    <row r="53" customHeight="1" spans="1:4">
      <c r="A53" s="158">
        <v>44308</v>
      </c>
      <c r="B53" s="197">
        <v>28.87</v>
      </c>
      <c r="C53" s="142">
        <v>23.32</v>
      </c>
      <c r="D53" s="142">
        <f t="shared" si="0"/>
        <v>5.55</v>
      </c>
    </row>
    <row r="54" customHeight="1" spans="1:4">
      <c r="A54" s="158">
        <v>44315</v>
      </c>
      <c r="B54" s="197">
        <v>27.11</v>
      </c>
      <c r="C54" s="142">
        <v>22.61</v>
      </c>
      <c r="D54" s="142">
        <f t="shared" si="0"/>
        <v>4.5</v>
      </c>
    </row>
    <row r="55" customHeight="1" spans="1:4">
      <c r="A55" s="158">
        <v>44322</v>
      </c>
      <c r="B55" s="197">
        <v>26.18</v>
      </c>
      <c r="C55" s="142">
        <v>21.09</v>
      </c>
      <c r="D55" s="142">
        <f t="shared" si="0"/>
        <v>5.09</v>
      </c>
    </row>
    <row r="56" customHeight="1" spans="1:4">
      <c r="A56" s="158">
        <v>44329</v>
      </c>
      <c r="B56" s="197">
        <v>23.94</v>
      </c>
      <c r="C56" s="142">
        <v>19.19</v>
      </c>
      <c r="D56" s="142">
        <f t="shared" si="0"/>
        <v>4.75</v>
      </c>
    </row>
    <row r="57" customHeight="1" spans="1:4">
      <c r="A57" s="158">
        <v>44336</v>
      </c>
      <c r="B57" s="197">
        <v>23.15</v>
      </c>
      <c r="C57" s="142">
        <v>18.23</v>
      </c>
      <c r="D57" s="142">
        <f t="shared" si="0"/>
        <v>4.92</v>
      </c>
    </row>
    <row r="58" customHeight="1" spans="1:4">
      <c r="A58" s="158">
        <v>44343</v>
      </c>
      <c r="B58" s="197">
        <v>22.37</v>
      </c>
      <c r="C58" s="142">
        <v>17.82</v>
      </c>
      <c r="D58" s="142">
        <f t="shared" si="0"/>
        <v>4.55</v>
      </c>
    </row>
    <row r="59" customHeight="1" spans="1:4">
      <c r="A59" s="158">
        <v>44350</v>
      </c>
      <c r="B59" s="197">
        <v>21.18</v>
      </c>
      <c r="C59" s="142">
        <v>16.78</v>
      </c>
      <c r="D59" s="142">
        <f t="shared" si="0"/>
        <v>4.4</v>
      </c>
    </row>
    <row r="60" customHeight="1" spans="1:4">
      <c r="A60" s="158">
        <v>44357</v>
      </c>
      <c r="B60" s="197">
        <v>19.79</v>
      </c>
      <c r="C60" s="142">
        <v>15.23</v>
      </c>
      <c r="D60" s="142">
        <f t="shared" si="0"/>
        <v>4.56</v>
      </c>
    </row>
    <row r="61" customHeight="1" spans="1:4">
      <c r="A61" s="158">
        <v>44364</v>
      </c>
      <c r="B61" s="197">
        <v>18.62</v>
      </c>
      <c r="C61" s="142">
        <v>14.2</v>
      </c>
      <c r="D61" s="142">
        <f t="shared" si="0"/>
        <v>4.42</v>
      </c>
    </row>
    <row r="62" customHeight="1" spans="1:4">
      <c r="A62" s="158">
        <v>44371</v>
      </c>
      <c r="B62" s="197">
        <v>16.67</v>
      </c>
      <c r="C62" s="142">
        <v>12.72</v>
      </c>
      <c r="D62" s="142">
        <f t="shared" si="0"/>
        <v>3.95</v>
      </c>
    </row>
    <row r="63" customHeight="1" spans="1:4">
      <c r="A63" s="158">
        <v>44378</v>
      </c>
      <c r="B63" s="197">
        <v>21.71</v>
      </c>
      <c r="C63" s="142">
        <v>15.87</v>
      </c>
      <c r="D63" s="142">
        <f t="shared" si="0"/>
        <v>5.84</v>
      </c>
    </row>
    <row r="64" customHeight="1" spans="1:4">
      <c r="A64" s="158">
        <v>44385</v>
      </c>
      <c r="B64" s="197">
        <v>20.83</v>
      </c>
      <c r="C64" s="142">
        <v>15.96</v>
      </c>
      <c r="D64" s="142">
        <f t="shared" si="0"/>
        <v>4.87</v>
      </c>
    </row>
    <row r="65" customHeight="1" spans="1:4">
      <c r="A65" s="158">
        <v>44392</v>
      </c>
      <c r="B65" s="197">
        <v>19.91</v>
      </c>
      <c r="C65" s="142">
        <v>15.83</v>
      </c>
      <c r="D65" s="142">
        <f t="shared" si="0"/>
        <v>4.08</v>
      </c>
    </row>
    <row r="66" customHeight="1" spans="1:4">
      <c r="A66" s="158">
        <v>44399</v>
      </c>
      <c r="B66" s="197">
        <v>20.77</v>
      </c>
      <c r="C66" s="142">
        <v>15.56</v>
      </c>
      <c r="D66" s="142">
        <f t="shared" si="0"/>
        <v>5.21</v>
      </c>
    </row>
    <row r="67" customHeight="1" spans="1:4">
      <c r="A67" s="158">
        <v>44406</v>
      </c>
      <c r="B67" s="197">
        <v>20.13</v>
      </c>
      <c r="C67" s="142">
        <v>15.17</v>
      </c>
      <c r="D67" s="142">
        <f t="shared" ref="D67:D118" si="1">B67-C67</f>
        <v>4.96</v>
      </c>
    </row>
    <row r="68" customHeight="1" spans="1:4">
      <c r="A68" s="158">
        <v>44413</v>
      </c>
      <c r="B68" s="197">
        <v>19.64</v>
      </c>
      <c r="C68" s="142">
        <v>15.36</v>
      </c>
      <c r="D68" s="142">
        <f t="shared" si="1"/>
        <v>4.28</v>
      </c>
    </row>
    <row r="69" customHeight="1" spans="1:4">
      <c r="A69" s="158">
        <v>44420</v>
      </c>
      <c r="B69" s="197">
        <v>19.03</v>
      </c>
      <c r="C69" s="142">
        <v>15.09</v>
      </c>
      <c r="D69" s="142">
        <f t="shared" si="1"/>
        <v>3.94</v>
      </c>
    </row>
    <row r="70" customHeight="1" spans="1:4">
      <c r="A70" s="158">
        <v>44427</v>
      </c>
      <c r="B70" s="197">
        <v>18.9</v>
      </c>
      <c r="C70" s="142">
        <v>14.63</v>
      </c>
      <c r="D70" s="142">
        <f t="shared" si="1"/>
        <v>4.27</v>
      </c>
    </row>
    <row r="71" customHeight="1" spans="1:4">
      <c r="A71" s="158">
        <v>44434</v>
      </c>
      <c r="B71" s="197">
        <v>18.39</v>
      </c>
      <c r="C71" s="142">
        <v>14.13</v>
      </c>
      <c r="D71" s="142">
        <f t="shared" si="1"/>
        <v>4.26</v>
      </c>
    </row>
    <row r="72" customHeight="1" spans="1:4">
      <c r="A72" s="158">
        <v>44441</v>
      </c>
      <c r="B72" s="197">
        <v>18.14</v>
      </c>
      <c r="C72" s="142">
        <v>13.75</v>
      </c>
      <c r="D72" s="142">
        <f t="shared" si="1"/>
        <v>4.39</v>
      </c>
    </row>
    <row r="73" customHeight="1" spans="1:4">
      <c r="A73" s="158">
        <v>44448</v>
      </c>
      <c r="B73" s="197">
        <v>17.52</v>
      </c>
      <c r="C73" s="142">
        <v>13.43</v>
      </c>
      <c r="D73" s="142">
        <f t="shared" si="1"/>
        <v>4.09</v>
      </c>
    </row>
    <row r="74" customHeight="1" spans="1:4">
      <c r="A74" s="158">
        <v>44455</v>
      </c>
      <c r="B74" s="197">
        <v>16.61</v>
      </c>
      <c r="C74" s="142">
        <v>12.34</v>
      </c>
      <c r="D74" s="142">
        <f t="shared" si="1"/>
        <v>4.27</v>
      </c>
    </row>
    <row r="75" customHeight="1" spans="1:4">
      <c r="A75" s="158">
        <v>44462</v>
      </c>
      <c r="B75" s="197">
        <v>15.7</v>
      </c>
      <c r="C75" s="142">
        <v>11.97</v>
      </c>
      <c r="D75" s="142">
        <f t="shared" si="1"/>
        <v>3.73</v>
      </c>
    </row>
    <row r="76" customHeight="1" spans="1:4">
      <c r="A76" s="158">
        <v>44469</v>
      </c>
      <c r="B76" s="197">
        <v>14.23</v>
      </c>
      <c r="C76" s="142">
        <v>10.83</v>
      </c>
      <c r="D76" s="142">
        <f t="shared" si="1"/>
        <v>3.4</v>
      </c>
    </row>
    <row r="77" customHeight="1" spans="1:4">
      <c r="A77" s="158">
        <v>44477</v>
      </c>
      <c r="B77" s="197">
        <v>14.04</v>
      </c>
      <c r="C77" s="142">
        <v>10.18</v>
      </c>
      <c r="D77" s="142">
        <f t="shared" si="1"/>
        <v>3.86</v>
      </c>
    </row>
    <row r="78" customHeight="1" spans="1:4">
      <c r="A78" s="158">
        <v>44483</v>
      </c>
      <c r="B78" s="197">
        <v>17.88</v>
      </c>
      <c r="C78" s="142">
        <v>11.36</v>
      </c>
      <c r="D78" s="142">
        <f t="shared" si="1"/>
        <v>6.52</v>
      </c>
    </row>
    <row r="79" customHeight="1" spans="1:4">
      <c r="A79" s="158">
        <v>44490</v>
      </c>
      <c r="B79" s="197">
        <v>19.1</v>
      </c>
      <c r="C79" s="142">
        <v>13.36</v>
      </c>
      <c r="D79" s="142">
        <f t="shared" si="1"/>
        <v>5.74</v>
      </c>
    </row>
    <row r="80" customHeight="1" spans="1:4">
      <c r="A80" s="158">
        <v>44497</v>
      </c>
      <c r="B80" s="197">
        <v>21.88</v>
      </c>
      <c r="C80" s="142">
        <v>15.76</v>
      </c>
      <c r="D80" s="142">
        <f t="shared" si="1"/>
        <v>6.12</v>
      </c>
    </row>
    <row r="81" customHeight="1" spans="1:4">
      <c r="A81" s="158">
        <v>44504</v>
      </c>
      <c r="B81" s="197">
        <v>21.68</v>
      </c>
      <c r="C81" s="142">
        <v>16</v>
      </c>
      <c r="D81" s="142">
        <f t="shared" si="1"/>
        <v>5.68</v>
      </c>
    </row>
    <row r="82" customHeight="1" spans="1:4">
      <c r="A82" s="158">
        <v>44511</v>
      </c>
      <c r="B82" s="197">
        <v>22.97</v>
      </c>
      <c r="C82" s="142">
        <v>16.91</v>
      </c>
      <c r="D82" s="142">
        <f t="shared" si="1"/>
        <v>6.06</v>
      </c>
    </row>
    <row r="83" customHeight="1" spans="1:4">
      <c r="A83" s="158">
        <v>44518</v>
      </c>
      <c r="B83" s="197">
        <v>23.26</v>
      </c>
      <c r="C83" s="142">
        <v>17.51</v>
      </c>
      <c r="D83" s="142">
        <f t="shared" si="1"/>
        <v>5.75</v>
      </c>
    </row>
    <row r="84" customHeight="1" spans="1:4">
      <c r="A84" s="158">
        <v>44525</v>
      </c>
      <c r="B84" s="197">
        <v>24.17</v>
      </c>
      <c r="C84" s="142">
        <v>17.82</v>
      </c>
      <c r="D84" s="142">
        <f t="shared" si="1"/>
        <v>6.35</v>
      </c>
    </row>
    <row r="85" customHeight="1" spans="1:4">
      <c r="A85" s="158">
        <v>44532</v>
      </c>
      <c r="B85" s="197">
        <v>23.92</v>
      </c>
      <c r="C85" s="142">
        <v>17.83</v>
      </c>
      <c r="D85" s="142">
        <f t="shared" si="1"/>
        <v>6.09</v>
      </c>
    </row>
    <row r="86" customHeight="1" spans="1:4">
      <c r="A86" s="158">
        <v>44539</v>
      </c>
      <c r="B86" s="197">
        <v>22.78</v>
      </c>
      <c r="C86" s="142">
        <v>17.38</v>
      </c>
      <c r="D86" s="142">
        <f t="shared" si="1"/>
        <v>5.4</v>
      </c>
    </row>
    <row r="87" customHeight="1" spans="1:4">
      <c r="A87" s="158">
        <v>44546</v>
      </c>
      <c r="B87" s="197">
        <v>21.57</v>
      </c>
      <c r="C87" s="142">
        <v>16.06</v>
      </c>
      <c r="D87" s="142">
        <f t="shared" si="1"/>
        <v>5.51</v>
      </c>
    </row>
    <row r="88" customHeight="1" spans="1:4">
      <c r="A88" s="158">
        <v>44553</v>
      </c>
      <c r="B88" s="197">
        <v>20.73</v>
      </c>
      <c r="C88" s="142">
        <v>15.85</v>
      </c>
      <c r="D88" s="142">
        <f t="shared" si="1"/>
        <v>4.88</v>
      </c>
    </row>
    <row r="89" customHeight="1" spans="1:4">
      <c r="A89" s="158">
        <v>44560</v>
      </c>
      <c r="B89" s="197">
        <v>21.49</v>
      </c>
      <c r="C89" s="142">
        <v>15.98</v>
      </c>
      <c r="D89" s="142">
        <f t="shared" si="1"/>
        <v>5.51</v>
      </c>
    </row>
    <row r="90" customHeight="1" spans="1:4">
      <c r="A90" s="158">
        <v>44567</v>
      </c>
      <c r="B90" s="197">
        <v>20.01</v>
      </c>
      <c r="C90" s="142">
        <v>15.55</v>
      </c>
      <c r="D90" s="142">
        <f t="shared" si="1"/>
        <v>4.46</v>
      </c>
    </row>
    <row r="91" customHeight="1" spans="1:4">
      <c r="A91" s="158">
        <v>44574</v>
      </c>
      <c r="B91" s="197">
        <v>19.01</v>
      </c>
      <c r="C91" s="142">
        <v>14.15</v>
      </c>
      <c r="D91" s="142">
        <f t="shared" si="1"/>
        <v>4.86</v>
      </c>
    </row>
    <row r="92" customHeight="1" spans="1:4">
      <c r="A92" s="158">
        <v>44581</v>
      </c>
      <c r="B92" s="197">
        <v>18.9</v>
      </c>
      <c r="C92" s="142">
        <v>13.83</v>
      </c>
      <c r="D92" s="142">
        <f t="shared" si="1"/>
        <v>5.07</v>
      </c>
    </row>
    <row r="93" customHeight="1" spans="1:4">
      <c r="A93" s="158">
        <v>44587</v>
      </c>
      <c r="B93" s="197">
        <v>18.79</v>
      </c>
      <c r="C93" s="142">
        <v>13.9</v>
      </c>
      <c r="D93" s="142">
        <f t="shared" si="1"/>
        <v>4.89</v>
      </c>
    </row>
    <row r="94" customHeight="1" spans="1:4">
      <c r="A94" s="158">
        <v>44602</v>
      </c>
      <c r="B94" s="197">
        <v>17.02</v>
      </c>
      <c r="C94" s="142">
        <v>13.18</v>
      </c>
      <c r="D94" s="142">
        <f t="shared" si="1"/>
        <v>3.84</v>
      </c>
    </row>
    <row r="95" customHeight="1" spans="1:4">
      <c r="A95" s="158">
        <v>44609</v>
      </c>
      <c r="B95" s="197">
        <v>15.81</v>
      </c>
      <c r="C95" s="142">
        <v>12.09</v>
      </c>
      <c r="D95" s="142">
        <f t="shared" si="1"/>
        <v>3.72</v>
      </c>
    </row>
    <row r="96" customHeight="1" spans="1:4">
      <c r="A96" s="158">
        <v>44616</v>
      </c>
      <c r="B96" s="197">
        <v>15.99</v>
      </c>
      <c r="C96" s="142">
        <v>12.28</v>
      </c>
      <c r="D96" s="142">
        <f t="shared" si="1"/>
        <v>3.71</v>
      </c>
    </row>
    <row r="97" customHeight="1" spans="1:4">
      <c r="A97" s="158">
        <v>44623</v>
      </c>
      <c r="B97" s="197">
        <v>15.94</v>
      </c>
      <c r="C97" s="142">
        <v>12.39</v>
      </c>
      <c r="D97" s="142">
        <f t="shared" si="1"/>
        <v>3.55</v>
      </c>
    </row>
    <row r="98" customHeight="1" spans="1:4">
      <c r="A98" s="158">
        <v>44630</v>
      </c>
      <c r="B98" s="197">
        <v>15.74</v>
      </c>
      <c r="C98" s="142">
        <v>12.02</v>
      </c>
      <c r="D98" s="142">
        <f t="shared" si="1"/>
        <v>3.72</v>
      </c>
    </row>
    <row r="99" customHeight="1" spans="1:4">
      <c r="A99" s="158">
        <v>44637</v>
      </c>
      <c r="B99" s="197">
        <v>15.48</v>
      </c>
      <c r="C99" s="142">
        <v>11.78</v>
      </c>
      <c r="D99" s="142">
        <f t="shared" si="1"/>
        <v>3.7</v>
      </c>
    </row>
    <row r="100" customHeight="1" spans="1:4">
      <c r="A100" s="158">
        <v>44644</v>
      </c>
      <c r="B100" s="197">
        <v>16.19</v>
      </c>
      <c r="C100" s="142">
        <v>11.73</v>
      </c>
      <c r="D100" s="142">
        <f t="shared" si="1"/>
        <v>4.46</v>
      </c>
    </row>
    <row r="101" customHeight="1" spans="1:4">
      <c r="A101" s="158">
        <v>44651</v>
      </c>
      <c r="B101" s="197">
        <v>16.62</v>
      </c>
      <c r="C101" s="142">
        <v>12.08</v>
      </c>
      <c r="D101" s="142">
        <f t="shared" si="1"/>
        <v>4.54</v>
      </c>
    </row>
    <row r="102" customHeight="1" spans="1:4">
      <c r="A102" s="158">
        <v>44658</v>
      </c>
      <c r="B102" s="197">
        <v>16.93</v>
      </c>
      <c r="C102" s="142">
        <v>12.36</v>
      </c>
      <c r="D102" s="142">
        <f t="shared" si="1"/>
        <v>4.57</v>
      </c>
    </row>
    <row r="103" s="91" customFormat="1" customHeight="1" spans="1:4">
      <c r="A103" s="158">
        <v>44665</v>
      </c>
      <c r="B103" s="197">
        <v>16.72</v>
      </c>
      <c r="C103" s="142">
        <v>12.14</v>
      </c>
      <c r="D103" s="142">
        <f t="shared" si="1"/>
        <v>4.58</v>
      </c>
    </row>
    <row r="104" s="91" customFormat="1" customHeight="1" spans="1:4">
      <c r="A104" s="158">
        <v>44672</v>
      </c>
      <c r="B104" s="197">
        <v>18.45</v>
      </c>
      <c r="C104" s="142">
        <v>13.37</v>
      </c>
      <c r="D104" s="142">
        <f t="shared" si="1"/>
        <v>5.08</v>
      </c>
    </row>
    <row r="105" customFormat="1" customHeight="1" spans="1:4">
      <c r="A105" s="158">
        <v>44679</v>
      </c>
      <c r="B105" s="197">
        <v>19.38</v>
      </c>
      <c r="C105" s="197">
        <v>14.41</v>
      </c>
      <c r="D105" s="197">
        <f t="shared" si="1"/>
        <v>4.97</v>
      </c>
    </row>
    <row r="106" customHeight="1" spans="1:4">
      <c r="A106" s="158">
        <v>44686</v>
      </c>
      <c r="B106" s="197">
        <v>19.79</v>
      </c>
      <c r="C106" s="197">
        <v>14.81</v>
      </c>
      <c r="D106" s="197">
        <f t="shared" si="1"/>
        <v>4.98</v>
      </c>
    </row>
    <row r="107" customHeight="1" spans="1:4">
      <c r="A107" s="158">
        <v>44693</v>
      </c>
      <c r="B107" s="197">
        <v>20.12</v>
      </c>
      <c r="C107" s="197">
        <v>14.96</v>
      </c>
      <c r="D107" s="197">
        <f t="shared" si="1"/>
        <v>5.16</v>
      </c>
    </row>
    <row r="108" s="91" customFormat="1" customHeight="1" spans="1:4">
      <c r="A108" s="158">
        <v>44700</v>
      </c>
      <c r="B108" s="197">
        <v>20.57</v>
      </c>
      <c r="C108" s="197">
        <v>15.41</v>
      </c>
      <c r="D108" s="197">
        <f t="shared" si="1"/>
        <v>5.16</v>
      </c>
    </row>
    <row r="109" customFormat="1" customHeight="1" spans="1:4">
      <c r="A109" s="158">
        <v>44707</v>
      </c>
      <c r="B109" s="197">
        <v>20.6</v>
      </c>
      <c r="C109" s="197">
        <v>15.66</v>
      </c>
      <c r="D109" s="197">
        <f t="shared" si="1"/>
        <v>4.94</v>
      </c>
    </row>
    <row r="110" customHeight="1" spans="1:4">
      <c r="A110" s="158">
        <v>44714</v>
      </c>
      <c r="B110" s="197">
        <v>20.71</v>
      </c>
      <c r="C110" s="197">
        <v>15.68</v>
      </c>
      <c r="D110" s="197">
        <f t="shared" si="1"/>
        <v>5.03</v>
      </c>
    </row>
    <row r="111" s="91" customFormat="1" customHeight="1" spans="1:4">
      <c r="A111" s="158">
        <v>44721</v>
      </c>
      <c r="B111" s="197">
        <v>20.61</v>
      </c>
      <c r="C111" s="197">
        <v>15.7</v>
      </c>
      <c r="D111" s="197">
        <f t="shared" si="1"/>
        <v>4.91</v>
      </c>
    </row>
    <row r="112" customHeight="1" spans="1:4">
      <c r="A112" s="158">
        <v>44728</v>
      </c>
      <c r="B112" s="197">
        <v>21.22</v>
      </c>
      <c r="C112" s="197">
        <v>16.09</v>
      </c>
      <c r="D112" s="197">
        <f t="shared" si="1"/>
        <v>5.13</v>
      </c>
    </row>
    <row r="113" customHeight="1" spans="1:4">
      <c r="A113" s="158">
        <v>44735</v>
      </c>
      <c r="B113" s="197">
        <v>22.63</v>
      </c>
      <c r="C113" s="197">
        <v>16.88</v>
      </c>
      <c r="D113" s="197">
        <f t="shared" si="1"/>
        <v>5.75</v>
      </c>
    </row>
    <row r="114" customHeight="1" spans="1:4">
      <c r="A114" s="158">
        <v>44742</v>
      </c>
      <c r="B114" s="197">
        <v>25.07</v>
      </c>
      <c r="C114" s="197">
        <v>19.05</v>
      </c>
      <c r="D114" s="197">
        <f t="shared" si="1"/>
        <v>6.02</v>
      </c>
    </row>
    <row r="115" s="91" customFormat="1" customHeight="1" spans="1:4">
      <c r="A115" s="211">
        <v>44749</v>
      </c>
      <c r="B115" s="212">
        <v>28.86</v>
      </c>
      <c r="C115" s="212">
        <v>22.23</v>
      </c>
      <c r="D115" s="197">
        <f t="shared" ref="D115:D124" si="2">B115-C115</f>
        <v>6.63</v>
      </c>
    </row>
    <row r="116" customHeight="1" spans="1:4">
      <c r="A116" s="211">
        <v>44756</v>
      </c>
      <c r="B116" s="212">
        <v>30.33</v>
      </c>
      <c r="C116" s="212">
        <v>22.7</v>
      </c>
      <c r="D116" s="197">
        <f t="shared" si="2"/>
        <v>7.63</v>
      </c>
    </row>
    <row r="117" customHeight="1" spans="1:4">
      <c r="A117" s="158">
        <v>44763</v>
      </c>
      <c r="B117" s="197">
        <v>29.27</v>
      </c>
      <c r="C117" s="197">
        <v>22.35</v>
      </c>
      <c r="D117" s="197">
        <f t="shared" si="2"/>
        <v>6.92</v>
      </c>
    </row>
    <row r="118" customHeight="1" spans="1:4">
      <c r="A118" s="158">
        <v>44770</v>
      </c>
      <c r="B118" s="197">
        <v>27.72</v>
      </c>
      <c r="C118" s="197">
        <v>21.13</v>
      </c>
      <c r="D118" s="197">
        <f t="shared" si="2"/>
        <v>6.59</v>
      </c>
    </row>
    <row r="119" customHeight="1" spans="1:4">
      <c r="A119" s="158">
        <v>44777</v>
      </c>
      <c r="B119" s="197">
        <v>27.83</v>
      </c>
      <c r="C119" s="197">
        <v>21.33</v>
      </c>
      <c r="D119" s="197">
        <f t="shared" si="2"/>
        <v>6.5</v>
      </c>
    </row>
    <row r="120" customHeight="1" spans="1:4">
      <c r="A120" s="158">
        <v>44784</v>
      </c>
      <c r="B120" s="197">
        <v>27.42</v>
      </c>
      <c r="C120" s="197">
        <v>21.17</v>
      </c>
      <c r="D120" s="197">
        <f t="shared" si="2"/>
        <v>6.25</v>
      </c>
    </row>
    <row r="121" customHeight="1" spans="1:4">
      <c r="A121" s="158">
        <v>44791</v>
      </c>
      <c r="B121" s="197">
        <v>27.13</v>
      </c>
      <c r="C121" s="197">
        <v>21.18</v>
      </c>
      <c r="D121" s="197">
        <f t="shared" si="2"/>
        <v>5.95</v>
      </c>
    </row>
    <row r="122" customHeight="1" spans="1:4">
      <c r="A122" s="158">
        <v>44798</v>
      </c>
      <c r="B122" s="197">
        <v>28.24</v>
      </c>
      <c r="C122" s="197">
        <v>21.79</v>
      </c>
      <c r="D122" s="197">
        <f t="shared" si="2"/>
        <v>6.45</v>
      </c>
    </row>
    <row r="123" customHeight="1" spans="1:4">
      <c r="A123" s="158">
        <v>44805</v>
      </c>
      <c r="B123" s="197">
        <v>30.37</v>
      </c>
      <c r="C123" s="197">
        <v>23.05</v>
      </c>
      <c r="D123" s="197">
        <f t="shared" si="2"/>
        <v>7.32</v>
      </c>
    </row>
    <row r="124" customHeight="1" spans="1:4">
      <c r="A124" s="158">
        <v>44812</v>
      </c>
      <c r="B124" s="197">
        <v>30.31</v>
      </c>
      <c r="C124" s="197">
        <v>23.42</v>
      </c>
      <c r="D124" s="197">
        <f t="shared" si="2"/>
        <v>6.89</v>
      </c>
    </row>
    <row r="125" customHeight="1" spans="1:4">
      <c r="A125" s="158">
        <v>44819</v>
      </c>
      <c r="B125" s="197">
        <v>30.23</v>
      </c>
      <c r="C125" s="197">
        <v>23.31</v>
      </c>
      <c r="D125" s="197">
        <v>6.92</v>
      </c>
    </row>
    <row r="126" customHeight="1" spans="1:4">
      <c r="A126" s="158">
        <v>44826</v>
      </c>
      <c r="B126" s="197">
        <v>30.62</v>
      </c>
      <c r="C126" s="197">
        <v>23.76</v>
      </c>
      <c r="D126" s="197">
        <f>B126-C126</f>
        <v>6.86</v>
      </c>
    </row>
    <row r="127" customHeight="1" spans="1:4">
      <c r="A127" s="158">
        <v>44833</v>
      </c>
      <c r="B127" s="197">
        <v>30.88</v>
      </c>
      <c r="C127" s="197">
        <v>24.12</v>
      </c>
      <c r="D127" s="197">
        <f>B127-C127</f>
        <v>6.76</v>
      </c>
    </row>
    <row r="128" customHeight="1" spans="1:4">
      <c r="A128" s="158">
        <v>44842</v>
      </c>
      <c r="B128" s="197">
        <v>32.82</v>
      </c>
      <c r="C128" s="197">
        <v>25.69</v>
      </c>
      <c r="D128" s="197">
        <v>7.13</v>
      </c>
    </row>
    <row r="129" customHeight="1" spans="1:4">
      <c r="A129" s="158">
        <v>44847</v>
      </c>
      <c r="B129" s="197">
        <v>34.36</v>
      </c>
      <c r="C129" s="197">
        <v>26.75</v>
      </c>
      <c r="D129" s="197">
        <v>7.61</v>
      </c>
    </row>
    <row r="130" customHeight="1" spans="1:4">
      <c r="A130" s="158">
        <v>44854</v>
      </c>
      <c r="B130" s="197">
        <v>36.09</v>
      </c>
      <c r="C130" s="197">
        <v>28.02</v>
      </c>
      <c r="D130" s="197">
        <f>B130-C130</f>
        <v>8.07</v>
      </c>
    </row>
    <row r="131" customHeight="1" spans="1:4">
      <c r="A131" s="158">
        <v>44861</v>
      </c>
      <c r="B131" s="197">
        <v>35.13</v>
      </c>
      <c r="C131" s="197">
        <v>27.52</v>
      </c>
      <c r="D131" s="197">
        <v>7.61</v>
      </c>
    </row>
    <row r="132" customHeight="1" spans="1:4">
      <c r="A132" s="158">
        <v>44868</v>
      </c>
      <c r="B132" s="197">
        <v>33.7</v>
      </c>
      <c r="C132" s="197">
        <v>26.05</v>
      </c>
      <c r="D132" s="197">
        <v>7.65</v>
      </c>
    </row>
    <row r="133" customHeight="1" spans="1:4">
      <c r="A133" s="158">
        <v>44875</v>
      </c>
      <c r="B133" s="197">
        <v>32.05</v>
      </c>
      <c r="C133" s="197">
        <v>25.18</v>
      </c>
      <c r="D133" s="197">
        <v>6.87</v>
      </c>
    </row>
    <row r="134" customHeight="1" spans="1:4">
      <c r="A134" s="158">
        <v>44882</v>
      </c>
      <c r="B134" s="197">
        <v>31.02</v>
      </c>
      <c r="C134" s="197">
        <v>24.36</v>
      </c>
      <c r="D134" s="197">
        <v>6.66</v>
      </c>
    </row>
    <row r="135" customHeight="1" spans="1:4">
      <c r="A135" s="158">
        <v>44889</v>
      </c>
      <c r="B135" s="197">
        <v>29.46</v>
      </c>
      <c r="C135" s="197">
        <v>23.36</v>
      </c>
      <c r="D135" s="197">
        <v>6.1</v>
      </c>
    </row>
    <row r="136" customHeight="1" spans="1:4">
      <c r="A136" s="158">
        <v>44896</v>
      </c>
      <c r="B136" s="197">
        <v>28.6</v>
      </c>
      <c r="C136" s="197">
        <v>21.91</v>
      </c>
      <c r="D136" s="197">
        <v>6.69</v>
      </c>
    </row>
    <row r="137" customHeight="1" spans="1:4">
      <c r="A137" s="158">
        <v>44903</v>
      </c>
      <c r="B137" s="197">
        <v>29.06</v>
      </c>
      <c r="C137" s="197">
        <v>22.33</v>
      </c>
      <c r="D137" s="197">
        <v>6.73</v>
      </c>
    </row>
    <row r="138" customHeight="1" spans="1:4">
      <c r="A138" s="158">
        <v>44910</v>
      </c>
      <c r="B138" s="197">
        <v>26.21</v>
      </c>
      <c r="C138" s="197">
        <v>19.35</v>
      </c>
      <c r="D138" s="197">
        <v>6.86</v>
      </c>
    </row>
    <row r="139" customHeight="1" spans="1:4">
      <c r="A139" s="158">
        <v>44917</v>
      </c>
      <c r="B139" s="197">
        <v>22.82</v>
      </c>
      <c r="C139" s="197">
        <v>16.73</v>
      </c>
      <c r="D139" s="197">
        <v>6.09</v>
      </c>
    </row>
    <row r="140" customHeight="1" spans="1:4">
      <c r="A140" s="158">
        <v>44924</v>
      </c>
      <c r="B140" s="197">
        <v>23.1</v>
      </c>
      <c r="C140" s="197">
        <v>17.14</v>
      </c>
      <c r="D140" s="197">
        <v>5.96</v>
      </c>
    </row>
    <row r="141" customHeight="1" spans="1:4">
      <c r="A141" s="158">
        <v>44931</v>
      </c>
      <c r="B141" s="142">
        <v>21.42</v>
      </c>
      <c r="C141" s="197">
        <v>15.47</v>
      </c>
      <c r="D141" s="197">
        <v>5.95</v>
      </c>
    </row>
    <row r="142" customHeight="1" spans="1:4">
      <c r="A142" s="158">
        <v>44938</v>
      </c>
      <c r="B142" s="142">
        <v>19.95</v>
      </c>
      <c r="C142" s="197">
        <v>14.76</v>
      </c>
      <c r="D142" s="197">
        <v>5.19</v>
      </c>
    </row>
    <row r="143" customHeight="1" spans="1:4">
      <c r="A143" s="158">
        <v>44959</v>
      </c>
      <c r="B143" s="142">
        <v>18.98</v>
      </c>
      <c r="C143" s="197">
        <v>14.28</v>
      </c>
      <c r="D143" s="197">
        <v>4.7</v>
      </c>
    </row>
    <row r="144" customHeight="1" spans="1:4">
      <c r="A144" s="158">
        <v>44966</v>
      </c>
      <c r="B144" s="142">
        <v>18.23</v>
      </c>
      <c r="C144" s="197">
        <v>14.07</v>
      </c>
      <c r="D144" s="197">
        <v>4.16</v>
      </c>
    </row>
    <row r="145" customHeight="1" spans="1:4">
      <c r="A145" s="158">
        <v>44973</v>
      </c>
      <c r="B145" s="142">
        <v>18.69</v>
      </c>
      <c r="C145" s="197">
        <v>14.55</v>
      </c>
      <c r="D145" s="197">
        <v>4.14</v>
      </c>
    </row>
    <row r="146" customHeight="1" spans="1:4">
      <c r="A146" s="158">
        <v>44980</v>
      </c>
      <c r="B146" s="142">
        <v>19.73</v>
      </c>
      <c r="C146" s="142">
        <v>15.49</v>
      </c>
      <c r="D146" s="197">
        <v>4.24</v>
      </c>
    </row>
    <row r="147" customHeight="1" spans="1:4">
      <c r="A147" s="158">
        <v>44987</v>
      </c>
      <c r="B147" s="142">
        <v>20.13</v>
      </c>
      <c r="C147" s="142">
        <v>15.83</v>
      </c>
      <c r="D147" s="197">
        <v>4.3</v>
      </c>
    </row>
    <row r="148" customHeight="1" spans="1:4">
      <c r="A148" s="158">
        <v>44994</v>
      </c>
      <c r="B148" s="142">
        <v>19.94</v>
      </c>
      <c r="C148" s="142">
        <v>15.7</v>
      </c>
      <c r="D148" s="197">
        <v>4.24</v>
      </c>
    </row>
    <row r="149" customHeight="1" spans="1:4">
      <c r="A149" s="158">
        <v>45001</v>
      </c>
      <c r="B149" s="142">
        <v>19.39</v>
      </c>
      <c r="C149" s="142">
        <v>15.14</v>
      </c>
      <c r="D149" s="197">
        <v>4.25</v>
      </c>
    </row>
    <row r="150" customHeight="1" spans="1:4">
      <c r="A150" s="158">
        <v>45008</v>
      </c>
      <c r="B150" s="142">
        <v>19.22</v>
      </c>
      <c r="C150" s="142">
        <v>15.12</v>
      </c>
      <c r="D150" s="197">
        <v>4.1</v>
      </c>
    </row>
    <row r="151" customHeight="1" spans="1:4">
      <c r="A151" s="158">
        <v>45015</v>
      </c>
      <c r="B151" s="142">
        <v>18.84</v>
      </c>
      <c r="C151" s="142">
        <v>14.88</v>
      </c>
      <c r="D151" s="197">
        <v>3.96</v>
      </c>
    </row>
    <row r="152" customHeight="1" spans="1:4">
      <c r="A152" s="158">
        <v>45022</v>
      </c>
      <c r="B152" s="142">
        <v>18.44</v>
      </c>
      <c r="C152" s="142">
        <v>14.55</v>
      </c>
      <c r="D152" s="197">
        <v>3.89</v>
      </c>
    </row>
    <row r="153" customHeight="1" spans="1:4">
      <c r="A153" s="158">
        <v>45029</v>
      </c>
      <c r="B153" s="142">
        <v>18</v>
      </c>
      <c r="C153" s="142">
        <v>14.28</v>
      </c>
      <c r="D153" s="197">
        <v>3.72</v>
      </c>
    </row>
    <row r="154" customHeight="1" spans="1:4">
      <c r="A154" s="158">
        <v>45036</v>
      </c>
      <c r="B154" s="142">
        <v>17.77</v>
      </c>
      <c r="C154" s="142">
        <v>14.05</v>
      </c>
      <c r="D154" s="197">
        <v>3.72</v>
      </c>
    </row>
    <row r="155" customHeight="1" spans="1:4">
      <c r="A155" s="158">
        <v>45043</v>
      </c>
      <c r="B155" s="142">
        <v>18.49</v>
      </c>
      <c r="C155" s="142">
        <v>14.74</v>
      </c>
      <c r="D155" s="197">
        <v>3.75</v>
      </c>
    </row>
    <row r="156" customHeight="1" spans="1:4">
      <c r="A156" s="158">
        <v>45050</v>
      </c>
      <c r="B156" s="142">
        <v>18.46</v>
      </c>
      <c r="C156" s="142">
        <v>14.62</v>
      </c>
      <c r="D156" s="197">
        <v>3.84</v>
      </c>
    </row>
    <row r="157" customHeight="1" spans="1:4">
      <c r="A157" s="158">
        <v>45057</v>
      </c>
      <c r="B157" s="142">
        <v>18.28</v>
      </c>
      <c r="C157" s="142">
        <v>14.34</v>
      </c>
      <c r="D157" s="197">
        <v>3.94</v>
      </c>
    </row>
    <row r="158" customHeight="1" spans="1:4">
      <c r="A158" s="158">
        <v>45064</v>
      </c>
      <c r="B158" s="142">
        <v>18.05</v>
      </c>
      <c r="C158" s="142">
        <v>14.21</v>
      </c>
      <c r="D158" s="197">
        <v>3.84</v>
      </c>
    </row>
    <row r="159" customHeight="1" spans="1:4">
      <c r="A159" s="158">
        <v>45071</v>
      </c>
      <c r="B159" s="142">
        <v>18.38</v>
      </c>
      <c r="C159" s="142">
        <v>14.18</v>
      </c>
      <c r="D159" s="197">
        <v>4.2</v>
      </c>
    </row>
    <row r="160" customHeight="1" spans="1:4">
      <c r="A160" s="158">
        <v>45078</v>
      </c>
      <c r="B160" s="142">
        <v>18.44</v>
      </c>
      <c r="C160" s="142">
        <v>14.44</v>
      </c>
      <c r="D160" s="197">
        <v>4</v>
      </c>
    </row>
    <row r="161" customHeight="1" spans="1:4">
      <c r="A161" s="158">
        <v>45085</v>
      </c>
      <c r="B161" s="159">
        <v>18.32</v>
      </c>
      <c r="C161" s="142">
        <v>14.33</v>
      </c>
      <c r="D161" s="197">
        <v>3.99</v>
      </c>
    </row>
    <row r="162" customHeight="1" spans="1:4">
      <c r="A162" s="158">
        <v>45092</v>
      </c>
      <c r="B162" s="142">
        <v>18.25</v>
      </c>
      <c r="C162" s="142">
        <v>14.27</v>
      </c>
      <c r="D162" s="197">
        <v>3.98</v>
      </c>
    </row>
    <row r="163" customHeight="1" spans="1:4">
      <c r="A163" s="158">
        <v>45098</v>
      </c>
      <c r="B163" s="159">
        <v>18.44</v>
      </c>
      <c r="C163" s="142">
        <v>14.37</v>
      </c>
      <c r="D163" s="197">
        <v>4.07</v>
      </c>
    </row>
    <row r="164" customHeight="1" spans="1:4">
      <c r="A164" s="158">
        <v>45106</v>
      </c>
      <c r="B164" s="159">
        <v>17.96</v>
      </c>
      <c r="C164" s="142">
        <v>13.92</v>
      </c>
      <c r="D164" s="197">
        <v>4.04</v>
      </c>
    </row>
    <row r="165" customHeight="1" spans="1:4">
      <c r="A165" s="158">
        <v>45113</v>
      </c>
      <c r="B165" s="159">
        <v>18.13</v>
      </c>
      <c r="C165" s="142">
        <v>13.94</v>
      </c>
      <c r="D165" s="197">
        <v>4.19</v>
      </c>
    </row>
    <row r="166" customHeight="1" spans="1:4">
      <c r="A166" s="158">
        <v>45120</v>
      </c>
      <c r="B166" s="159">
        <v>18.04</v>
      </c>
      <c r="C166" s="142">
        <v>14.03</v>
      </c>
      <c r="D166" s="197">
        <v>4.01</v>
      </c>
    </row>
    <row r="167" customHeight="1" spans="1:4">
      <c r="A167" s="158">
        <v>45127</v>
      </c>
      <c r="B167" s="159">
        <v>18.01</v>
      </c>
      <c r="C167" s="142">
        <v>13.98</v>
      </c>
      <c r="D167" s="197">
        <v>4.03</v>
      </c>
    </row>
    <row r="168" customHeight="1" spans="1:4">
      <c r="A168" s="158">
        <v>45134</v>
      </c>
      <c r="B168" s="159">
        <v>18.99</v>
      </c>
      <c r="C168" s="142">
        <v>14.68</v>
      </c>
      <c r="D168" s="197">
        <v>4.31</v>
      </c>
    </row>
    <row r="169" customHeight="1" spans="1:4">
      <c r="A169" s="158">
        <v>45141</v>
      </c>
      <c r="B169" s="159">
        <v>21.17</v>
      </c>
      <c r="C169" s="142">
        <v>16.48</v>
      </c>
      <c r="D169" s="142">
        <v>4.69</v>
      </c>
    </row>
    <row r="170" customHeight="1" spans="1:4">
      <c r="A170" s="158">
        <v>45148</v>
      </c>
      <c r="B170" s="159">
        <v>22.23</v>
      </c>
      <c r="C170" s="142">
        <v>17.37</v>
      </c>
      <c r="D170" s="142">
        <v>4.75</v>
      </c>
    </row>
    <row r="171" customHeight="1" spans="1:4">
      <c r="A171" s="158">
        <v>45155</v>
      </c>
      <c r="B171" s="159">
        <v>22.08</v>
      </c>
      <c r="C171" s="142">
        <v>17.1</v>
      </c>
      <c r="D171" s="142">
        <v>4.98</v>
      </c>
    </row>
    <row r="172" customHeight="1" spans="1:4">
      <c r="A172" s="158">
        <v>45162</v>
      </c>
      <c r="B172" s="159">
        <v>21.79</v>
      </c>
      <c r="C172" s="142">
        <v>17.03</v>
      </c>
      <c r="D172" s="142">
        <v>4.76</v>
      </c>
    </row>
    <row r="173" customHeight="1" spans="1:4">
      <c r="A173" s="158">
        <v>45169</v>
      </c>
      <c r="B173" s="159">
        <v>21.76</v>
      </c>
      <c r="C173" s="142">
        <v>17.12</v>
      </c>
      <c r="D173" s="142">
        <v>4.64</v>
      </c>
    </row>
    <row r="174" customHeight="1" spans="1:4">
      <c r="A174" s="158">
        <v>45176</v>
      </c>
      <c r="B174" s="159">
        <v>21.54</v>
      </c>
      <c r="C174" s="142">
        <v>16.76</v>
      </c>
      <c r="D174" s="142">
        <v>4.78</v>
      </c>
    </row>
    <row r="175" customHeight="1" spans="1:4">
      <c r="A175" s="158">
        <v>45183</v>
      </c>
      <c r="B175" s="159">
        <v>21.27</v>
      </c>
      <c r="C175" s="142">
        <v>16.49</v>
      </c>
      <c r="D175" s="142">
        <v>4.78</v>
      </c>
    </row>
    <row r="176" customHeight="1" spans="1:4">
      <c r="A176" s="158">
        <v>45190</v>
      </c>
      <c r="B176" s="159">
        <v>21.06</v>
      </c>
      <c r="C176" s="142">
        <v>16.37</v>
      </c>
      <c r="D176" s="142">
        <v>4.69</v>
      </c>
    </row>
    <row r="177" customHeight="1" spans="1:4">
      <c r="A177" s="158">
        <v>45197</v>
      </c>
      <c r="B177" s="159">
        <v>20.76</v>
      </c>
      <c r="C177" s="142">
        <v>16.07</v>
      </c>
      <c r="D177" s="142">
        <v>4.69</v>
      </c>
    </row>
    <row r="178" customHeight="1" spans="1:4">
      <c r="A178" s="158">
        <v>45205</v>
      </c>
      <c r="B178" s="159">
        <v>20.47</v>
      </c>
      <c r="C178" s="142">
        <v>15.86</v>
      </c>
      <c r="D178" s="142">
        <v>4.61</v>
      </c>
    </row>
    <row r="179" customHeight="1" spans="1:4">
      <c r="A179" s="158">
        <v>45211</v>
      </c>
      <c r="B179" s="159">
        <v>20.03</v>
      </c>
      <c r="C179" s="142">
        <v>15.45</v>
      </c>
      <c r="D179" s="142">
        <v>4.58</v>
      </c>
    </row>
    <row r="180" customHeight="1" spans="1:4">
      <c r="A180" s="158">
        <v>45218</v>
      </c>
      <c r="B180" s="159">
        <v>19.86</v>
      </c>
      <c r="C180" s="142">
        <v>15.46</v>
      </c>
      <c r="D180" s="142">
        <v>4.4</v>
      </c>
    </row>
    <row r="181" customHeight="1" spans="1:4">
      <c r="A181" s="158">
        <v>45225</v>
      </c>
      <c r="B181" s="159">
        <v>19.42</v>
      </c>
      <c r="C181" s="142">
        <v>15.11</v>
      </c>
      <c r="D181" s="142">
        <v>4.31</v>
      </c>
    </row>
    <row r="182" customHeight="1" spans="1:4">
      <c r="A182" s="158">
        <v>45232</v>
      </c>
      <c r="B182" s="203">
        <v>18.83</v>
      </c>
      <c r="C182" s="213">
        <v>14.5</v>
      </c>
      <c r="D182" s="213">
        <v>4.33</v>
      </c>
    </row>
    <row r="183" customHeight="1" spans="1:4">
      <c r="A183" s="158">
        <v>45239</v>
      </c>
      <c r="B183" s="203">
        <v>18.86</v>
      </c>
      <c r="C183" s="213">
        <v>14.74</v>
      </c>
      <c r="D183" s="213">
        <v>4.12</v>
      </c>
    </row>
    <row r="184" customHeight="1" spans="1:4">
      <c r="A184" s="158">
        <v>45246</v>
      </c>
      <c r="B184" s="203">
        <v>18.52</v>
      </c>
      <c r="C184" s="213">
        <v>14.37</v>
      </c>
      <c r="D184" s="213">
        <v>4.15</v>
      </c>
    </row>
    <row r="185" customHeight="1" spans="1:4">
      <c r="A185" s="158">
        <v>45253</v>
      </c>
      <c r="B185" s="203">
        <v>18.87</v>
      </c>
      <c r="C185" s="213">
        <v>14.83</v>
      </c>
      <c r="D185" s="213">
        <v>4.04</v>
      </c>
    </row>
    <row r="186" customHeight="1" spans="1:4">
      <c r="A186" s="158">
        <v>45260</v>
      </c>
      <c r="B186" s="203">
        <v>18.14</v>
      </c>
      <c r="C186" s="213">
        <v>14.38</v>
      </c>
      <c r="D186" s="213">
        <v>3.76</v>
      </c>
    </row>
    <row r="187" customHeight="1" spans="1:4">
      <c r="A187" s="158">
        <v>45267</v>
      </c>
      <c r="B187" s="203">
        <v>18.26</v>
      </c>
      <c r="C187" s="213">
        <v>14.17</v>
      </c>
      <c r="D187" s="213">
        <v>4.09</v>
      </c>
    </row>
    <row r="188" customHeight="1" spans="1:4">
      <c r="A188" s="158">
        <v>45274</v>
      </c>
      <c r="B188" s="203">
        <v>18.49</v>
      </c>
      <c r="C188" s="213">
        <v>14.12</v>
      </c>
      <c r="D188" s="213">
        <v>4.37</v>
      </c>
    </row>
    <row r="189" customHeight="1" spans="1:4">
      <c r="A189" s="158">
        <v>45281</v>
      </c>
      <c r="B189" s="203">
        <v>19.12</v>
      </c>
      <c r="C189" s="213">
        <v>14.67</v>
      </c>
      <c r="D189" s="213">
        <v>4.45</v>
      </c>
    </row>
    <row r="190" customHeight="1" spans="1:4">
      <c r="A190" s="158">
        <v>45288</v>
      </c>
      <c r="B190" s="203">
        <v>19.03</v>
      </c>
      <c r="C190" s="213">
        <v>14.44</v>
      </c>
      <c r="D190" s="213">
        <v>4.59</v>
      </c>
    </row>
    <row r="191" customHeight="1" spans="1:4">
      <c r="A191" s="158">
        <v>45295</v>
      </c>
      <c r="B191" s="203">
        <v>18.58</v>
      </c>
      <c r="C191" s="213">
        <v>14.23</v>
      </c>
      <c r="D191" s="213">
        <f>B191-C191</f>
        <v>4.35</v>
      </c>
    </row>
    <row r="192" customHeight="1" spans="1:4">
      <c r="A192" s="158">
        <v>45302</v>
      </c>
      <c r="B192" s="203">
        <v>18.2</v>
      </c>
      <c r="C192" s="213">
        <v>13.81</v>
      </c>
      <c r="D192" s="213">
        <v>4.39</v>
      </c>
    </row>
    <row r="193" customHeight="1" spans="1:4">
      <c r="A193" s="158">
        <v>45309</v>
      </c>
      <c r="B193" s="203">
        <v>18.19</v>
      </c>
      <c r="C193" s="203">
        <v>13.69</v>
      </c>
      <c r="D193" s="203">
        <v>4.5</v>
      </c>
    </row>
    <row r="194" customHeight="1" spans="1:4">
      <c r="A194" s="158">
        <v>45316</v>
      </c>
      <c r="B194" s="203">
        <v>18.97</v>
      </c>
      <c r="C194" s="203">
        <v>14.27</v>
      </c>
      <c r="D194" s="203">
        <v>4.7</v>
      </c>
    </row>
    <row r="195" customHeight="1" spans="1:4">
      <c r="A195" s="158">
        <v>45323</v>
      </c>
      <c r="B195" s="203">
        <v>20.93</v>
      </c>
      <c r="C195" s="203">
        <v>15.6</v>
      </c>
      <c r="D195" s="203">
        <v>5.33</v>
      </c>
    </row>
    <row r="196" customHeight="1" spans="1:4">
      <c r="A196" s="158">
        <v>45344</v>
      </c>
      <c r="B196" s="203">
        <v>18.67</v>
      </c>
      <c r="C196" s="203">
        <v>14.22</v>
      </c>
      <c r="D196" s="203">
        <v>4.45</v>
      </c>
    </row>
    <row r="197" customHeight="1" spans="1:4">
      <c r="A197" s="214">
        <v>45351</v>
      </c>
      <c r="B197" s="203">
        <v>18.25</v>
      </c>
      <c r="C197" s="203">
        <v>13.77</v>
      </c>
      <c r="D197" s="203">
        <v>4.48</v>
      </c>
    </row>
    <row r="198" customHeight="1" spans="1:4">
      <c r="A198" s="158">
        <v>45358</v>
      </c>
      <c r="B198" s="159">
        <v>18.4</v>
      </c>
      <c r="C198" s="203">
        <v>14.19</v>
      </c>
      <c r="D198" s="203">
        <v>4.21</v>
      </c>
    </row>
    <row r="199" customHeight="1" spans="1:4">
      <c r="A199" s="214">
        <v>45365</v>
      </c>
      <c r="B199" s="159">
        <v>18.61</v>
      </c>
      <c r="C199" s="203">
        <v>14.46</v>
      </c>
      <c r="D199" s="203">
        <v>4.15</v>
      </c>
    </row>
    <row r="200" customHeight="1" spans="1:4">
      <c r="A200" s="158">
        <v>45372</v>
      </c>
      <c r="B200" s="159">
        <v>19.05</v>
      </c>
      <c r="C200" s="203">
        <v>14.77</v>
      </c>
      <c r="D200" s="203">
        <v>4.28</v>
      </c>
    </row>
    <row r="201" customHeight="1" spans="1:4">
      <c r="A201" s="214">
        <v>45379</v>
      </c>
      <c r="B201" s="159">
        <v>19.62</v>
      </c>
      <c r="C201" s="203">
        <v>15.13</v>
      </c>
      <c r="D201" s="203">
        <v>4.49</v>
      </c>
    </row>
    <row r="202" customHeight="1" spans="1:4">
      <c r="A202" s="158">
        <v>45385</v>
      </c>
      <c r="B202" s="159">
        <v>19.64</v>
      </c>
      <c r="C202" s="203">
        <v>15.19</v>
      </c>
      <c r="D202" s="203">
        <v>4.45</v>
      </c>
    </row>
    <row r="203" customHeight="1" spans="1:4">
      <c r="A203" s="158">
        <v>45393</v>
      </c>
      <c r="B203" s="159">
        <v>19.56</v>
      </c>
      <c r="C203" s="203">
        <v>15.18</v>
      </c>
      <c r="D203" s="203">
        <v>4.38</v>
      </c>
    </row>
    <row r="204" customHeight="1" spans="1:4">
      <c r="A204" s="158">
        <v>45400</v>
      </c>
      <c r="B204" s="159">
        <v>19.46</v>
      </c>
      <c r="C204" s="203">
        <v>15.11</v>
      </c>
      <c r="D204" s="203">
        <v>4.35</v>
      </c>
    </row>
    <row r="205" customHeight="1" spans="1:4">
      <c r="A205" s="158">
        <v>45407</v>
      </c>
      <c r="B205" s="159">
        <v>19.35</v>
      </c>
      <c r="C205" s="142">
        <v>15.05</v>
      </c>
      <c r="D205" s="203">
        <v>4.3</v>
      </c>
    </row>
    <row r="206" customHeight="1" spans="1:4">
      <c r="A206" s="158">
        <v>45414</v>
      </c>
      <c r="B206" s="159">
        <v>19.29</v>
      </c>
      <c r="C206" s="142">
        <v>14.89</v>
      </c>
      <c r="D206" s="203">
        <v>4.4</v>
      </c>
    </row>
    <row r="207" customHeight="1" spans="1:4">
      <c r="A207" s="158">
        <v>45421</v>
      </c>
      <c r="B207" s="159">
        <v>19.39</v>
      </c>
      <c r="C207" s="142">
        <v>14.96</v>
      </c>
      <c r="D207" s="203">
        <v>4.43</v>
      </c>
    </row>
    <row r="208" customHeight="1" spans="1:4">
      <c r="A208" s="158">
        <v>45428</v>
      </c>
      <c r="B208" s="159">
        <v>19.61</v>
      </c>
      <c r="C208" s="142">
        <v>15.19</v>
      </c>
      <c r="D208" s="203">
        <v>4.42</v>
      </c>
    </row>
    <row r="209" customHeight="1" spans="1:4">
      <c r="A209" s="158">
        <v>45435</v>
      </c>
      <c r="B209" s="159">
        <v>20.57</v>
      </c>
      <c r="C209" s="142">
        <v>15.88</v>
      </c>
      <c r="D209" s="203">
        <v>4.69</v>
      </c>
    </row>
    <row r="210" customHeight="1" spans="1:4">
      <c r="A210" s="158">
        <v>45442</v>
      </c>
      <c r="B210" s="159">
        <v>22.44</v>
      </c>
      <c r="C210" s="159">
        <v>17.11</v>
      </c>
      <c r="D210" s="203">
        <v>5.33</v>
      </c>
    </row>
    <row r="211" customHeight="1" spans="1:4">
      <c r="A211" s="158">
        <v>45449</v>
      </c>
      <c r="B211" s="159">
        <v>23.65</v>
      </c>
      <c r="C211" s="159">
        <v>18.16</v>
      </c>
      <c r="D211" s="203">
        <v>5.49</v>
      </c>
    </row>
    <row r="212" customHeight="1" spans="1:4">
      <c r="A212" s="158">
        <v>45456</v>
      </c>
      <c r="B212" s="159">
        <v>24.31</v>
      </c>
      <c r="C212" s="159">
        <v>18.83</v>
      </c>
      <c r="D212" s="203">
        <v>5.48</v>
      </c>
    </row>
    <row r="213" customHeight="1" spans="1:4">
      <c r="A213" s="158">
        <v>45463</v>
      </c>
      <c r="B213" s="159">
        <v>23.82</v>
      </c>
      <c r="C213" s="159">
        <v>18.56</v>
      </c>
      <c r="D213" s="203">
        <v>5.26</v>
      </c>
    </row>
    <row r="214" customHeight="1" spans="1:4">
      <c r="A214" s="158">
        <v>45470</v>
      </c>
      <c r="B214" s="159">
        <v>22.85</v>
      </c>
      <c r="C214" s="159">
        <v>17.68</v>
      </c>
      <c r="D214" s="203">
        <v>5.17</v>
      </c>
    </row>
    <row r="215" customHeight="1" spans="1:4">
      <c r="A215" s="158">
        <v>45477</v>
      </c>
      <c r="B215" s="159">
        <v>23.21</v>
      </c>
      <c r="C215" s="159">
        <v>18.05</v>
      </c>
      <c r="D215" s="203">
        <v>5.16</v>
      </c>
    </row>
    <row r="216" customHeight="1" spans="1:4">
      <c r="A216" s="158">
        <v>45484</v>
      </c>
      <c r="B216" s="159">
        <v>23.92</v>
      </c>
      <c r="C216" s="142">
        <v>18.62</v>
      </c>
      <c r="D216" s="203">
        <v>5.3</v>
      </c>
    </row>
    <row r="217" customHeight="1" spans="1:4">
      <c r="A217" s="158">
        <v>45491</v>
      </c>
      <c r="B217" s="159">
        <v>24.48</v>
      </c>
      <c r="C217" s="142">
        <v>19.02</v>
      </c>
      <c r="D217" s="203">
        <v>5.46</v>
      </c>
    </row>
    <row r="218" customHeight="1" spans="1:4">
      <c r="A218" s="158">
        <v>45498</v>
      </c>
      <c r="B218" s="159">
        <v>24.74</v>
      </c>
      <c r="C218" s="142">
        <v>19.24</v>
      </c>
      <c r="D218" s="203">
        <v>5.5</v>
      </c>
    </row>
    <row r="219" customHeight="1" spans="1:4">
      <c r="A219" s="158">
        <v>45505</v>
      </c>
      <c r="B219" s="159">
        <v>25.09</v>
      </c>
      <c r="C219" s="142">
        <v>19.46</v>
      </c>
      <c r="D219" s="203">
        <v>5.63</v>
      </c>
    </row>
    <row r="220" customHeight="1" spans="1:4">
      <c r="A220" s="158">
        <v>45512</v>
      </c>
      <c r="B220" s="159">
        <v>25.87</v>
      </c>
      <c r="C220" s="142">
        <v>20.33</v>
      </c>
      <c r="D220" s="203">
        <v>5.54</v>
      </c>
    </row>
    <row r="221" customHeight="1" spans="1:4">
      <c r="A221" s="158">
        <v>45519</v>
      </c>
      <c r="B221" s="159">
        <v>27.05</v>
      </c>
      <c r="C221" s="142">
        <v>21.07</v>
      </c>
      <c r="D221" s="203">
        <v>5.98</v>
      </c>
    </row>
    <row r="222" customHeight="1" spans="1:4">
      <c r="A222" s="158">
        <v>45526</v>
      </c>
      <c r="B222" s="159">
        <v>26.74</v>
      </c>
      <c r="C222" s="142">
        <v>20.58</v>
      </c>
      <c r="D222" s="203">
        <v>6.16</v>
      </c>
    </row>
    <row r="223" customHeight="1" spans="1:4">
      <c r="A223" s="158">
        <v>45533</v>
      </c>
      <c r="B223" s="159">
        <v>25.56</v>
      </c>
      <c r="C223" s="142">
        <v>19.72</v>
      </c>
      <c r="D223" s="203">
        <v>5.84</v>
      </c>
    </row>
    <row r="224" customHeight="1" spans="1:4">
      <c r="A224" s="158">
        <v>45540</v>
      </c>
      <c r="B224" s="159">
        <v>25.37</v>
      </c>
      <c r="C224" s="142">
        <v>19.79</v>
      </c>
      <c r="D224" s="203">
        <v>5.58</v>
      </c>
    </row>
    <row r="225" customHeight="1" spans="1:4">
      <c r="A225" s="158">
        <v>45547</v>
      </c>
      <c r="B225" s="159">
        <v>25.34</v>
      </c>
      <c r="C225" s="159">
        <v>19.68</v>
      </c>
      <c r="D225" s="203">
        <v>5.66</v>
      </c>
    </row>
    <row r="226" customHeight="1" spans="1:4">
      <c r="A226" s="158">
        <v>45554</v>
      </c>
      <c r="B226" s="159">
        <v>24.82</v>
      </c>
      <c r="C226" s="159">
        <v>19.01</v>
      </c>
      <c r="D226" s="203">
        <f>B226-C226</f>
        <v>5.81</v>
      </c>
    </row>
    <row r="227" customHeight="1" spans="1:4">
      <c r="A227" s="158">
        <v>45561</v>
      </c>
      <c r="B227" s="159">
        <v>23.95</v>
      </c>
      <c r="C227" s="159">
        <v>18.2</v>
      </c>
      <c r="D227" s="203">
        <v>5.75</v>
      </c>
    </row>
    <row r="228" customHeight="1" spans="1:4">
      <c r="A228" s="158">
        <v>45575</v>
      </c>
      <c r="B228" s="159">
        <v>23.24</v>
      </c>
      <c r="C228" s="159">
        <v>17.64</v>
      </c>
      <c r="D228" s="203">
        <v>5.6</v>
      </c>
    </row>
    <row r="229" customHeight="1" spans="1:4">
      <c r="A229" s="158">
        <v>45582</v>
      </c>
      <c r="B229" s="159">
        <v>22.97</v>
      </c>
      <c r="C229" s="159">
        <v>17.99</v>
      </c>
      <c r="D229" s="203">
        <v>4.98</v>
      </c>
    </row>
    <row r="230" customHeight="1" spans="1:4">
      <c r="A230" s="158">
        <v>45589</v>
      </c>
      <c r="B230" s="159">
        <v>22.47</v>
      </c>
      <c r="C230" s="159">
        <v>17.41</v>
      </c>
      <c r="D230" s="203">
        <v>5.06</v>
      </c>
    </row>
    <row r="231" customHeight="1" spans="1:4">
      <c r="A231" s="158">
        <v>45596</v>
      </c>
      <c r="B231" s="159">
        <v>22.46</v>
      </c>
      <c r="C231" s="159">
        <v>17.35</v>
      </c>
      <c r="D231" s="203">
        <v>5.11</v>
      </c>
    </row>
    <row r="232" customHeight="1" spans="1:4">
      <c r="A232" s="158">
        <v>45603</v>
      </c>
      <c r="B232" s="159">
        <v>22.16</v>
      </c>
      <c r="C232" s="159">
        <v>17.13</v>
      </c>
      <c r="D232" s="203">
        <v>5.03</v>
      </c>
    </row>
    <row r="233" customHeight="1" spans="1:4">
      <c r="A233" s="158">
        <v>45610</v>
      </c>
      <c r="B233" s="159">
        <v>21.65</v>
      </c>
      <c r="C233" s="159">
        <v>16.63</v>
      </c>
      <c r="D233" s="203">
        <v>5.02</v>
      </c>
    </row>
    <row r="234" customHeight="1" spans="1:4">
      <c r="A234" s="158">
        <v>45617</v>
      </c>
      <c r="B234" s="159">
        <v>21.28</v>
      </c>
      <c r="C234" s="159">
        <v>16.15</v>
      </c>
      <c r="D234" s="203">
        <v>5.13</v>
      </c>
    </row>
    <row r="235" customHeight="1" spans="1:4">
      <c r="A235" s="158">
        <v>45624</v>
      </c>
      <c r="B235" s="159">
        <v>21.56</v>
      </c>
      <c r="C235" s="159">
        <v>16.49</v>
      </c>
      <c r="D235" s="203">
        <v>5.07</v>
      </c>
    </row>
    <row r="236" customHeight="1" spans="1:4">
      <c r="A236" s="158">
        <v>45631</v>
      </c>
      <c r="B236" s="159">
        <v>21.26</v>
      </c>
      <c r="C236" s="159">
        <v>16.17</v>
      </c>
      <c r="D236" s="203">
        <v>5.09</v>
      </c>
    </row>
    <row r="237" customHeight="1" spans="1:4">
      <c r="A237" s="158">
        <v>45638</v>
      </c>
      <c r="B237" s="159">
        <v>20.8</v>
      </c>
      <c r="C237" s="142">
        <v>15.69</v>
      </c>
      <c r="D237" s="203">
        <v>5.11</v>
      </c>
    </row>
    <row r="238" customHeight="1" spans="1:4">
      <c r="A238" s="158">
        <v>45645</v>
      </c>
      <c r="B238" s="159">
        <v>20.96</v>
      </c>
      <c r="C238" s="142">
        <v>15.76</v>
      </c>
      <c r="D238" s="203">
        <v>5.2</v>
      </c>
    </row>
    <row r="239" customHeight="1" spans="1:4">
      <c r="A239" s="158">
        <v>45652</v>
      </c>
      <c r="B239" s="159">
        <v>20.73</v>
      </c>
      <c r="C239" s="142">
        <v>15.42</v>
      </c>
      <c r="D239" s="203">
        <v>5.31</v>
      </c>
    </row>
    <row r="240" customHeight="1" spans="1:4">
      <c r="A240" s="158">
        <v>45659</v>
      </c>
      <c r="B240" s="159">
        <v>21.04</v>
      </c>
      <c r="C240" s="142">
        <v>15.8</v>
      </c>
      <c r="D240" s="203">
        <v>5.24</v>
      </c>
    </row>
    <row r="241" customHeight="1" spans="1:4">
      <c r="A241" s="158">
        <v>45666</v>
      </c>
      <c r="B241" s="159">
        <v>21.45</v>
      </c>
      <c r="C241" s="142">
        <v>16.14</v>
      </c>
      <c r="D241" s="203">
        <v>5.31</v>
      </c>
    </row>
    <row r="242" customHeight="1" spans="1:4">
      <c r="A242" s="158">
        <v>45673</v>
      </c>
      <c r="B242" s="159">
        <v>21.06</v>
      </c>
      <c r="C242" s="142">
        <v>15.73</v>
      </c>
      <c r="D242" s="203">
        <v>5.33</v>
      </c>
    </row>
    <row r="243" customHeight="1" spans="1:4">
      <c r="A243" s="158">
        <v>45680</v>
      </c>
      <c r="B243" s="159">
        <v>21.05</v>
      </c>
      <c r="C243" s="142">
        <v>15.4</v>
      </c>
      <c r="D243" s="203">
        <v>5.65</v>
      </c>
    </row>
    <row r="244" customHeight="1" spans="1:4">
      <c r="A244" s="158">
        <v>45694</v>
      </c>
      <c r="B244" s="159">
        <v>21.62</v>
      </c>
      <c r="C244" s="142">
        <v>15.62</v>
      </c>
      <c r="D244" s="203">
        <v>6</v>
      </c>
    </row>
    <row r="245" customHeight="1" spans="1:4">
      <c r="A245" s="158">
        <v>45701</v>
      </c>
      <c r="B245" s="159">
        <v>19.43</v>
      </c>
      <c r="C245" s="142">
        <v>14.61</v>
      </c>
      <c r="D245" s="203">
        <v>4.82</v>
      </c>
    </row>
    <row r="246" customHeight="1" spans="1:4">
      <c r="A246" s="158">
        <v>45708</v>
      </c>
      <c r="B246" s="159">
        <v>19.45</v>
      </c>
      <c r="C246" s="142">
        <v>14.81</v>
      </c>
      <c r="D246" s="203">
        <v>4.64</v>
      </c>
    </row>
    <row r="247" customHeight="1" spans="1:4">
      <c r="A247" s="158">
        <v>45715</v>
      </c>
      <c r="B247" s="159">
        <v>19.21</v>
      </c>
      <c r="C247" s="142">
        <v>14.7</v>
      </c>
      <c r="D247" s="203">
        <v>4.51</v>
      </c>
    </row>
    <row r="248" customHeight="1" spans="1:4">
      <c r="A248" s="158">
        <v>45722</v>
      </c>
      <c r="B248" s="159">
        <v>18.97</v>
      </c>
      <c r="C248" s="142">
        <v>14.56</v>
      </c>
      <c r="D248" s="203">
        <v>4.41</v>
      </c>
    </row>
    <row r="249" customHeight="1" spans="1:4">
      <c r="A249" s="158">
        <v>45729</v>
      </c>
      <c r="B249" s="159">
        <v>19.07</v>
      </c>
      <c r="C249" s="142">
        <v>14.57</v>
      </c>
      <c r="D249" s="203">
        <v>4.5</v>
      </c>
    </row>
    <row r="250" customHeight="1" spans="1:4">
      <c r="A250" s="158">
        <v>45736</v>
      </c>
      <c r="B250" s="159">
        <v>19.15</v>
      </c>
      <c r="C250" s="142">
        <v>14.65</v>
      </c>
      <c r="D250" s="203">
        <v>4.5</v>
      </c>
    </row>
    <row r="251" customHeight="1" spans="1:4">
      <c r="A251" s="158">
        <v>45743</v>
      </c>
      <c r="B251" s="159">
        <v>19.07</v>
      </c>
      <c r="C251" s="142">
        <v>14.66</v>
      </c>
      <c r="D251" s="203">
        <v>4.41</v>
      </c>
    </row>
    <row r="252" customHeight="1" spans="1:4">
      <c r="A252" s="158">
        <v>45750</v>
      </c>
      <c r="B252" s="159">
        <v>19.01</v>
      </c>
      <c r="C252" s="142">
        <v>14.6</v>
      </c>
      <c r="D252" s="203">
        <v>4.41</v>
      </c>
    </row>
    <row r="253" customHeight="1" spans="1:4">
      <c r="A253" s="158">
        <v>45757</v>
      </c>
      <c r="B253" s="159">
        <v>19</v>
      </c>
      <c r="C253" s="142">
        <v>14.6</v>
      </c>
      <c r="D253" s="203">
        <v>4.4</v>
      </c>
    </row>
    <row r="254" customHeight="1" spans="1:4">
      <c r="A254" s="158">
        <v>45764</v>
      </c>
      <c r="B254" s="159">
        <v>19.19</v>
      </c>
      <c r="C254" s="142">
        <v>14.83</v>
      </c>
      <c r="D254" s="203">
        <v>4.36</v>
      </c>
    </row>
    <row r="255" customHeight="1" spans="1:4">
      <c r="A255" s="158">
        <v>45771</v>
      </c>
      <c r="B255" s="159">
        <v>19.29</v>
      </c>
      <c r="C255" s="142">
        <v>14.96</v>
      </c>
      <c r="D255" s="203">
        <v>4.33</v>
      </c>
    </row>
    <row r="256" customHeight="1" spans="1:4">
      <c r="A256" s="158">
        <v>45777</v>
      </c>
      <c r="B256" s="159">
        <v>19.18</v>
      </c>
      <c r="C256" s="142">
        <v>14.79</v>
      </c>
      <c r="D256" s="203">
        <v>4.39</v>
      </c>
    </row>
    <row r="257" customHeight="1" spans="1:4">
      <c r="A257" s="158">
        <v>45785</v>
      </c>
      <c r="B257" s="159">
        <v>19.19</v>
      </c>
      <c r="C257" s="142">
        <v>14.81</v>
      </c>
      <c r="D257" s="203">
        <v>4.38</v>
      </c>
    </row>
    <row r="258" customHeight="1" spans="1:4">
      <c r="A258" s="158">
        <v>45792</v>
      </c>
      <c r="B258" s="159">
        <v>19.12</v>
      </c>
      <c r="C258" s="142">
        <v>14.77</v>
      </c>
      <c r="D258" s="203">
        <v>4.35</v>
      </c>
    </row>
    <row r="259" customHeight="1" spans="1:4">
      <c r="A259" s="158">
        <v>45799</v>
      </c>
      <c r="B259" s="159">
        <v>18.87</v>
      </c>
      <c r="C259" s="142">
        <v>14.51</v>
      </c>
      <c r="D259" s="203">
        <v>4.36</v>
      </c>
    </row>
    <row r="260" customHeight="1" spans="1:4">
      <c r="A260" s="158">
        <v>45806</v>
      </c>
      <c r="B260" s="159">
        <v>18.74</v>
      </c>
      <c r="C260" s="142">
        <v>14.41</v>
      </c>
      <c r="D260" s="203">
        <v>4.33</v>
      </c>
    </row>
    <row r="261" customHeight="1" spans="1:4">
      <c r="A261" s="158">
        <v>45813</v>
      </c>
      <c r="B261" s="159">
        <v>18.65</v>
      </c>
      <c r="C261" s="142">
        <v>14.38</v>
      </c>
      <c r="D261" s="203">
        <v>4.27</v>
      </c>
    </row>
    <row r="262" customHeight="1" spans="1:4">
      <c r="A262" s="158">
        <v>45820</v>
      </c>
      <c r="B262" s="159">
        <v>18.21</v>
      </c>
      <c r="C262" s="142">
        <v>14</v>
      </c>
      <c r="D262" s="203">
        <v>4.21</v>
      </c>
    </row>
    <row r="263" customHeight="1" spans="1:4">
      <c r="A263" s="158">
        <v>45827</v>
      </c>
      <c r="B263" s="159">
        <v>18.43</v>
      </c>
      <c r="C263" s="142">
        <v>14.17</v>
      </c>
      <c r="D263" s="203">
        <v>4.26</v>
      </c>
    </row>
    <row r="264" customHeight="1" spans="1:4">
      <c r="A264" s="158">
        <v>45834</v>
      </c>
      <c r="B264" s="159">
        <v>18.77</v>
      </c>
      <c r="C264" s="142">
        <v>14.4</v>
      </c>
      <c r="D264" s="203">
        <v>4.37</v>
      </c>
    </row>
    <row r="265" customHeight="1" spans="1:4">
      <c r="A265" s="158">
        <v>45841</v>
      </c>
      <c r="B265" s="159">
        <v>19.51</v>
      </c>
      <c r="C265" s="142">
        <v>15</v>
      </c>
      <c r="D265" s="203">
        <v>4.51</v>
      </c>
    </row>
    <row r="266" customHeight="1" spans="1:4">
      <c r="A266" s="158">
        <v>45848</v>
      </c>
      <c r="B266" s="159">
        <v>19.74</v>
      </c>
      <c r="C266" s="142">
        <v>15.02</v>
      </c>
      <c r="D266" s="203">
        <v>4.72</v>
      </c>
    </row>
    <row r="267" customHeight="1" spans="1:4">
      <c r="A267" s="158">
        <v>45855</v>
      </c>
      <c r="B267" s="159">
        <v>19.31</v>
      </c>
      <c r="C267" s="142">
        <v>14.6</v>
      </c>
      <c r="D267" s="203">
        <v>4.71</v>
      </c>
    </row>
    <row r="268" customHeight="1" spans="1:4">
      <c r="A268" s="158">
        <v>45862</v>
      </c>
      <c r="B268" s="159">
        <v>18.96</v>
      </c>
      <c r="C268" s="142">
        <v>14.31</v>
      </c>
      <c r="D268" s="203">
        <v>4.65</v>
      </c>
    </row>
    <row r="269" customHeight="1" spans="1:4">
      <c r="A269" s="158">
        <v>45869</v>
      </c>
      <c r="B269" s="159">
        <v>18.6</v>
      </c>
      <c r="C269" s="142">
        <v>14.08</v>
      </c>
      <c r="D269" s="203">
        <v>4.52</v>
      </c>
    </row>
    <row r="270" customHeight="1" spans="1:4">
      <c r="A270" s="158">
        <v>45876</v>
      </c>
      <c r="B270" s="159">
        <v>18.34</v>
      </c>
      <c r="C270" s="142">
        <v>14.02</v>
      </c>
      <c r="D270" s="203">
        <v>4.32</v>
      </c>
    </row>
    <row r="271" customHeight="1" spans="1:4">
      <c r="A271" s="158">
        <v>45883</v>
      </c>
      <c r="B271" s="159">
        <v>17.96</v>
      </c>
      <c r="C271" s="142">
        <v>13.74</v>
      </c>
      <c r="D271" s="203">
        <v>4.22</v>
      </c>
    </row>
    <row r="272" customHeight="1" spans="1:4">
      <c r="A272" s="158">
        <v>45890</v>
      </c>
      <c r="B272" s="159">
        <v>17.72</v>
      </c>
      <c r="C272" s="142">
        <v>13.71</v>
      </c>
      <c r="D272" s="203">
        <v>4.01</v>
      </c>
    </row>
    <row r="273" customHeight="1" spans="1:4">
      <c r="A273" s="158">
        <v>45897</v>
      </c>
      <c r="B273" s="159">
        <v>17.71</v>
      </c>
      <c r="C273" s="142">
        <v>13.7</v>
      </c>
      <c r="D273" s="203">
        <v>4.01</v>
      </c>
    </row>
    <row r="274" customHeight="1" spans="1:4">
      <c r="A274" s="158">
        <v>45904</v>
      </c>
      <c r="B274" s="159">
        <v>17.97</v>
      </c>
      <c r="C274" s="142">
        <v>13.87</v>
      </c>
      <c r="D274" s="203">
        <v>4.1</v>
      </c>
    </row>
    <row r="275" customHeight="1" spans="1:4">
      <c r="A275" s="158">
        <v>45911</v>
      </c>
      <c r="B275" s="159">
        <v>17.54</v>
      </c>
      <c r="C275" s="142">
        <v>13.52</v>
      </c>
      <c r="D275" s="203">
        <v>4.02</v>
      </c>
    </row>
    <row r="276" customHeight="1" spans="1:4">
      <c r="A276" s="158">
        <v>45918</v>
      </c>
      <c r="B276" s="159">
        <v>17.1</v>
      </c>
      <c r="C276" s="142">
        <v>13.15</v>
      </c>
      <c r="D276" s="203">
        <v>3.95</v>
      </c>
    </row>
    <row r="277" customHeight="1" spans="1:4">
      <c r="A277" s="158">
        <v>45925</v>
      </c>
      <c r="B277" s="159">
        <v>16.68</v>
      </c>
      <c r="C277" s="142">
        <v>12.67</v>
      </c>
      <c r="D277" s="203">
        <v>4.01</v>
      </c>
    </row>
    <row r="278" customHeight="1" spans="1:4">
      <c r="A278" s="158">
        <v>45939</v>
      </c>
      <c r="B278" s="159">
        <v>15.86</v>
      </c>
      <c r="C278" s="142">
        <v>11.89</v>
      </c>
      <c r="D278" s="203">
        <v>3.97</v>
      </c>
    </row>
    <row r="279" customHeight="1" spans="1:4">
      <c r="A279" s="158">
        <v>45946</v>
      </c>
      <c r="B279" s="159">
        <v>14.93</v>
      </c>
      <c r="C279" s="142">
        <v>11.02</v>
      </c>
      <c r="D279" s="203">
        <v>3.91</v>
      </c>
    </row>
    <row r="280" customHeight="1" spans="1:4">
      <c r="A280" s="158">
        <v>45953</v>
      </c>
      <c r="B280" s="159">
        <v>15.2</v>
      </c>
      <c r="C280" s="142">
        <v>11.41</v>
      </c>
      <c r="D280" s="203">
        <v>3.79</v>
      </c>
    </row>
    <row r="281" customHeight="1" spans="1:4">
      <c r="A281" s="158">
        <v>45960</v>
      </c>
      <c r="B281" s="159">
        <v>16.32</v>
      </c>
      <c r="C281" s="142">
        <v>12.22</v>
      </c>
      <c r="D281" s="203">
        <v>4.1</v>
      </c>
    </row>
    <row r="282" customHeight="1" spans="1:4">
      <c r="A282" s="158">
        <v>45967</v>
      </c>
      <c r="B282" s="159">
        <v>16.34</v>
      </c>
      <c r="C282" s="142">
        <v>12.16</v>
      </c>
      <c r="D282" s="203">
        <v>4.18</v>
      </c>
    </row>
    <row r="283" customHeight="1" spans="1:4">
      <c r="A283" s="158">
        <v>45974</v>
      </c>
      <c r="B283" s="159">
        <v>15.92</v>
      </c>
      <c r="C283" s="142">
        <v>11.85</v>
      </c>
      <c r="D283" s="203">
        <v>4.07</v>
      </c>
    </row>
    <row r="284" customHeight="1" spans="1:4">
      <c r="A284" s="158">
        <v>45981</v>
      </c>
      <c r="B284" s="159">
        <v>15.51</v>
      </c>
      <c r="C284" s="142">
        <v>11.6</v>
      </c>
      <c r="D284" s="203">
        <v>3.91</v>
      </c>
    </row>
    <row r="285" customHeight="1" spans="1:4">
      <c r="A285" s="158">
        <v>45988</v>
      </c>
      <c r="B285" s="159">
        <v>15.24</v>
      </c>
      <c r="C285" s="142">
        <v>11.48</v>
      </c>
      <c r="D285" s="203">
        <v>3.76</v>
      </c>
    </row>
    <row r="286" customHeight="1" spans="1:4">
      <c r="A286" s="158">
        <v>45995</v>
      </c>
      <c r="B286" s="159">
        <v>14.99</v>
      </c>
      <c r="C286" s="142">
        <v>11.3</v>
      </c>
      <c r="D286" s="203">
        <v>3.69</v>
      </c>
    </row>
    <row r="287" customHeight="1" spans="1:4">
      <c r="A287" s="158">
        <v>46002</v>
      </c>
      <c r="B287" s="159">
        <v>14.86</v>
      </c>
      <c r="C287" s="142">
        <v>11.27</v>
      </c>
      <c r="D287" s="203">
        <v>3.59</v>
      </c>
    </row>
    <row r="288" customHeight="1" spans="1:4">
      <c r="A288" s="158">
        <v>46009</v>
      </c>
      <c r="B288" s="159">
        <v>15.17</v>
      </c>
      <c r="C288" s="142">
        <v>11.53</v>
      </c>
      <c r="D288" s="203">
        <v>3.64</v>
      </c>
    </row>
    <row r="289" customHeight="1" spans="1:4">
      <c r="A289" s="158">
        <v>46016</v>
      </c>
      <c r="B289" s="159">
        <v>15.22</v>
      </c>
      <c r="C289" s="142">
        <v>11.5</v>
      </c>
      <c r="D289" s="203">
        <v>3.72</v>
      </c>
    </row>
    <row r="290" customHeight="1" spans="1:4">
      <c r="A290" s="158">
        <v>46023</v>
      </c>
      <c r="B290" s="159">
        <v>16.28</v>
      </c>
      <c r="C290" s="142">
        <v>12.3</v>
      </c>
      <c r="D290" s="203">
        <v>3.98</v>
      </c>
    </row>
    <row r="291" customHeight="1" spans="1:4">
      <c r="A291" s="158">
        <v>46030</v>
      </c>
      <c r="B291" s="159">
        <v>16.34</v>
      </c>
      <c r="C291" s="142">
        <v>12.49</v>
      </c>
      <c r="D291" s="203">
        <v>3.85</v>
      </c>
    </row>
    <row r="292" customHeight="1" spans="1:4">
      <c r="A292" s="158">
        <v>46037</v>
      </c>
      <c r="B292" s="159">
        <v>16.65</v>
      </c>
      <c r="C292" s="142">
        <v>12.69</v>
      </c>
      <c r="D292" s="203">
        <v>3.96</v>
      </c>
    </row>
    <row r="293" customHeight="1" spans="1:4">
      <c r="A293" s="158">
        <v>46044</v>
      </c>
      <c r="B293" s="159">
        <v>17.15</v>
      </c>
      <c r="C293" s="142">
        <v>13.06</v>
      </c>
      <c r="D293" s="203">
        <v>4.09</v>
      </c>
    </row>
    <row r="294" customHeight="1" spans="1:4">
      <c r="A294" s="158">
        <v>46051</v>
      </c>
      <c r="B294" s="159">
        <v>16.9</v>
      </c>
      <c r="C294" s="142">
        <v>12.84</v>
      </c>
      <c r="D294" s="203">
        <v>4.06</v>
      </c>
    </row>
    <row r="295" customHeight="1" spans="1:4">
      <c r="A295" s="158">
        <v>46058</v>
      </c>
      <c r="B295" s="159">
        <v>16.37</v>
      </c>
      <c r="C295" s="142">
        <v>12.3</v>
      </c>
      <c r="D295" s="203">
        <v>4.07</v>
      </c>
    </row>
    <row r="296" customHeight="1" spans="1:4">
      <c r="A296" s="158">
        <v>46065</v>
      </c>
      <c r="B296" s="159">
        <v>15.8</v>
      </c>
      <c r="C296" s="142">
        <v>11.76</v>
      </c>
      <c r="D296" s="203">
        <v>4.04</v>
      </c>
    </row>
    <row r="297" customHeight="1" spans="1:4">
      <c r="A297" s="158">
        <v>46079</v>
      </c>
      <c r="B297" s="159">
        <v>15.03</v>
      </c>
      <c r="C297" s="142">
        <v>10.93</v>
      </c>
      <c r="D297" s="203">
        <v>4.1</v>
      </c>
    </row>
    <row r="298" customHeight="1" spans="1:4">
      <c r="A298" s="158">
        <v>46086</v>
      </c>
      <c r="B298" s="159">
        <v>13.77</v>
      </c>
      <c r="C298" s="142">
        <v>10.56</v>
      </c>
      <c r="D298" s="203">
        <v>3.21</v>
      </c>
    </row>
    <row r="299" customHeight="1" spans="1:4">
      <c r="A299" s="158">
        <v>46093</v>
      </c>
      <c r="B299" s="159">
        <v>13.28</v>
      </c>
      <c r="C299" s="142">
        <v>10.18</v>
      </c>
      <c r="D299" s="203">
        <v>3.1</v>
      </c>
    </row>
    <row r="300" customHeight="1" spans="1:4">
      <c r="A300" s="158">
        <v>46100</v>
      </c>
      <c r="B300" s="159">
        <v>13.02</v>
      </c>
      <c r="C300" s="142">
        <v>10.06</v>
      </c>
      <c r="D300" s="203">
        <v>2.96</v>
      </c>
    </row>
    <row r="301" customHeight="1" spans="1:4">
      <c r="A301" s="158">
        <v>46107</v>
      </c>
      <c r="B301" s="159">
        <v>12.69</v>
      </c>
      <c r="C301" s="142">
        <v>9.68</v>
      </c>
      <c r="D301" s="203">
        <v>3.01</v>
      </c>
    </row>
    <row r="302" customHeight="1" spans="1:4">
      <c r="A302" s="158">
        <v>46114</v>
      </c>
      <c r="B302" s="159">
        <v>12.35</v>
      </c>
      <c r="C302" s="142">
        <v>9.38</v>
      </c>
      <c r="D302" s="203">
        <v>2.97</v>
      </c>
    </row>
    <row r="303" customHeight="1" spans="1:4">
      <c r="A303" s="158">
        <v>46121</v>
      </c>
      <c r="B303" s="159">
        <v>11.71</v>
      </c>
      <c r="C303" s="142">
        <v>8.99</v>
      </c>
      <c r="D303" s="203">
        <v>2.72</v>
      </c>
    </row>
    <row r="304" customHeight="1" spans="1:4">
      <c r="A304" s="158">
        <v>46128</v>
      </c>
      <c r="B304" s="159">
        <v>11.57</v>
      </c>
      <c r="C304" s="142">
        <v>8.78</v>
      </c>
      <c r="D304" s="203">
        <v>2.79</v>
      </c>
    </row>
    <row r="305" customHeight="1" spans="1:4">
      <c r="A305" s="158">
        <v>46135</v>
      </c>
      <c r="B305" s="159">
        <v>12.57</v>
      </c>
      <c r="C305" s="142">
        <v>9.69</v>
      </c>
      <c r="D305" s="203">
        <v>2.88</v>
      </c>
    </row>
    <row r="306" customHeight="1" spans="1:4">
      <c r="A306" s="158">
        <v>46142</v>
      </c>
      <c r="B306" s="159">
        <v>12.76</v>
      </c>
      <c r="C306" s="142">
        <v>9.94</v>
      </c>
      <c r="D306" s="203">
        <v>2.82</v>
      </c>
    </row>
    <row r="307" customHeight="1" spans="1:4">
      <c r="A307" s="158">
        <v>46149</v>
      </c>
      <c r="B307" s="159">
        <v>12.58</v>
      </c>
      <c r="C307" s="142">
        <v>9.81</v>
      </c>
      <c r="D307" s="203">
        <v>2.77</v>
      </c>
    </row>
    <row r="308" customHeight="1" spans="1:4">
      <c r="A308" s="158">
        <v>46156</v>
      </c>
      <c r="B308" s="159">
        <v>12.47</v>
      </c>
      <c r="C308" s="142">
        <v>9.64</v>
      </c>
      <c r="D308" s="203">
        <v>2.83</v>
      </c>
    </row>
    <row r="309" customHeight="1" spans="1:4">
      <c r="A309" s="158">
        <v>46163</v>
      </c>
      <c r="B309" s="159">
        <v>12.39</v>
      </c>
      <c r="C309" s="142">
        <v>9.56</v>
      </c>
      <c r="D309" s="203">
        <v>2.83</v>
      </c>
    </row>
    <row r="310" customHeight="1" spans="1:4">
      <c r="A310" s="158">
        <v>46170</v>
      </c>
      <c r="B310" s="159">
        <v>12.48</v>
      </c>
      <c r="C310" s="142">
        <v>9.65</v>
      </c>
      <c r="D310" s="203">
        <v>2.83</v>
      </c>
    </row>
    <row r="311" customHeight="1" spans="1:4">
      <c r="A311" s="158">
        <v>46177</v>
      </c>
      <c r="B311" s="159">
        <v>12.45</v>
      </c>
      <c r="C311" s="142">
        <v>9.6</v>
      </c>
      <c r="D311" s="203">
        <v>2.85</v>
      </c>
    </row>
    <row r="312" customHeight="1" spans="1:4">
      <c r="A312" s="158">
        <v>46184</v>
      </c>
      <c r="B312" s="159">
        <v>12.4</v>
      </c>
      <c r="C312" s="142">
        <v>9.53</v>
      </c>
      <c r="D312" s="203">
        <v>2.87</v>
      </c>
    </row>
    <row r="313" customHeight="1" spans="1:4">
      <c r="A313" s="158">
        <v>46191</v>
      </c>
      <c r="B313" s="159">
        <v>12.45</v>
      </c>
      <c r="C313" s="142">
        <v>9.57</v>
      </c>
      <c r="D313" s="203">
        <v>2.88</v>
      </c>
    </row>
    <row r="314" customHeight="1" spans="1:4">
      <c r="A314" s="158">
        <v>46198</v>
      </c>
      <c r="B314" s="159">
        <v>12.46</v>
      </c>
      <c r="C314" s="142">
        <v>9.57</v>
      </c>
      <c r="D314" s="203">
        <v>2.89</v>
      </c>
    </row>
    <row r="315" customHeight="1" spans="1:4">
      <c r="A315" s="158">
        <v>46205</v>
      </c>
      <c r="B315" s="159">
        <v>12.95</v>
      </c>
      <c r="C315" s="142">
        <v>10</v>
      </c>
      <c r="D315" s="203">
        <v>2.95</v>
      </c>
    </row>
    <row r="316" customHeight="1" spans="1:4">
      <c r="A316" s="158">
        <v>46212</v>
      </c>
      <c r="B316" s="159">
        <v>14.17</v>
      </c>
      <c r="C316" s="142">
        <v>11.18</v>
      </c>
      <c r="D316" s="203">
        <v>2.99</v>
      </c>
    </row>
    <row r="317" customHeight="1" spans="1:4">
      <c r="A317" s="158">
        <v>46219</v>
      </c>
      <c r="B317" s="159">
        <v>14.31</v>
      </c>
      <c r="C317" s="142">
        <v>11.26</v>
      </c>
      <c r="D317" s="203">
        <v>3.05</v>
      </c>
    </row>
    <row r="318" customHeight="1" spans="1:4">
      <c r="A318" s="158">
        <v>46226</v>
      </c>
      <c r="B318" s="159">
        <v>14.01</v>
      </c>
      <c r="C318" s="142">
        <v>10.88</v>
      </c>
      <c r="D318" s="203">
        <v>3.13</v>
      </c>
    </row>
    <row r="319" customHeight="1" spans="1:4">
      <c r="A319" s="158">
        <v>46233</v>
      </c>
      <c r="B319" s="159">
        <v>13.64</v>
      </c>
      <c r="C319" s="142">
        <v>10.43</v>
      </c>
      <c r="D319" s="203">
        <v>3.21</v>
      </c>
    </row>
    <row r="320" customHeight="1" spans="1:4">
      <c r="A320" s="158">
        <v>46240</v>
      </c>
      <c r="B320" s="159">
        <v>13.57</v>
      </c>
      <c r="C320" s="142">
        <v>10.4</v>
      </c>
      <c r="D320" s="203">
        <v>3.17</v>
      </c>
    </row>
    <row r="321" customHeight="1" spans="1:4">
      <c r="A321" s="158">
        <v>46247</v>
      </c>
      <c r="B321" s="159">
        <v>13.85</v>
      </c>
      <c r="C321" s="142">
        <v>10.72</v>
      </c>
      <c r="D321" s="203">
        <v>3.13</v>
      </c>
    </row>
    <row r="322" customHeight="1" spans="1:4">
      <c r="A322" s="158">
        <v>46254</v>
      </c>
      <c r="B322" s="159">
        <v>14.26</v>
      </c>
      <c r="C322" s="142">
        <v>11.09</v>
      </c>
      <c r="D322" s="203">
        <v>3.17</v>
      </c>
    </row>
    <row r="323" customHeight="1" spans="1:4">
      <c r="A323" s="158">
        <v>46261</v>
      </c>
      <c r="B323" s="159">
        <v>14.25</v>
      </c>
      <c r="C323" s="142">
        <v>11.03</v>
      </c>
      <c r="D323" s="203">
        <v>3.22</v>
      </c>
    </row>
    <row r="324" customHeight="1" spans="1:4">
      <c r="A324" s="158">
        <v>46268</v>
      </c>
      <c r="B324" s="159">
        <v>14.24</v>
      </c>
      <c r="C324" s="142">
        <v>10.96</v>
      </c>
      <c r="D324" s="203">
        <v>3.28</v>
      </c>
    </row>
    <row r="325" customHeight="1" spans="1:4">
      <c r="A325" s="158">
        <v>46275</v>
      </c>
      <c r="B325" s="159">
        <v>14.24</v>
      </c>
      <c r="C325" s="142">
        <v>10.97</v>
      </c>
      <c r="D325" s="203">
        <v>3.27</v>
      </c>
    </row>
    <row r="326" customHeight="1" spans="1:4">
      <c r="A326" s="158">
        <v>46282</v>
      </c>
      <c r="B326" s="159">
        <v>14.04</v>
      </c>
      <c r="C326" s="142">
        <v>10.8</v>
      </c>
      <c r="D326" s="203">
        <v>3.24</v>
      </c>
    </row>
    <row r="327" customHeight="1" spans="1:4">
      <c r="A327" s="158">
        <v>46289</v>
      </c>
      <c r="B327" s="159">
        <v>13.91</v>
      </c>
      <c r="C327" s="142">
        <v>10.63</v>
      </c>
      <c r="D327" s="203">
        <v>3.28</v>
      </c>
    </row>
  </sheetData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6"/>
  <sheetViews>
    <sheetView workbookViewId="0">
      <pane xSplit="1" ySplit="2" topLeftCell="B390" activePane="bottomRight" state="frozen"/>
      <selection/>
      <selection pane="topRight"/>
      <selection pane="bottomLeft"/>
      <selection pane="bottomRight" activeCell="B416" sqref="B416"/>
    </sheetView>
  </sheetViews>
  <sheetFormatPr defaultColWidth="13.125" defaultRowHeight="20" customHeight="1" outlineLevelCol="1"/>
  <cols>
    <col min="1" max="1" width="13.125" style="149" customWidth="1"/>
    <col min="2" max="16364" width="13.125" customWidth="1"/>
  </cols>
  <sheetData>
    <row r="1" s="118" customFormat="1" customHeight="1" spans="1:2">
      <c r="A1" s="204"/>
      <c r="B1" s="205"/>
    </row>
    <row r="2" s="118" customFormat="1" ht="30" customHeight="1" spans="1:2">
      <c r="A2" s="156" t="s">
        <v>39</v>
      </c>
      <c r="B2" s="206" t="s">
        <v>58</v>
      </c>
    </row>
    <row r="3" customHeight="1" spans="1:2">
      <c r="A3" s="158">
        <v>43307</v>
      </c>
      <c r="B3" s="197">
        <v>17.04</v>
      </c>
    </row>
    <row r="4" customHeight="1" spans="1:2">
      <c r="A4" s="158">
        <v>43314</v>
      </c>
      <c r="B4" s="197">
        <v>17.71</v>
      </c>
    </row>
    <row r="5" customHeight="1" spans="1:2">
      <c r="A5" s="158">
        <v>43321</v>
      </c>
      <c r="B5" s="197">
        <v>18.24</v>
      </c>
    </row>
    <row r="6" customHeight="1" spans="1:2">
      <c r="A6" s="158">
        <v>43328</v>
      </c>
      <c r="B6" s="197">
        <v>18.2</v>
      </c>
    </row>
    <row r="7" customHeight="1" spans="1:2">
      <c r="A7" s="158">
        <v>43335</v>
      </c>
      <c r="B7" s="197">
        <v>18.13</v>
      </c>
    </row>
    <row r="8" customHeight="1" spans="1:2">
      <c r="A8" s="158">
        <v>43342</v>
      </c>
      <c r="B8" s="197">
        <v>18.12</v>
      </c>
    </row>
    <row r="9" customHeight="1" spans="1:2">
      <c r="A9" s="158">
        <v>43349</v>
      </c>
      <c r="B9" s="197">
        <v>18.7</v>
      </c>
    </row>
    <row r="10" customHeight="1" spans="1:2">
      <c r="A10" s="158">
        <v>43356</v>
      </c>
      <c r="B10" s="197">
        <v>19.11</v>
      </c>
    </row>
    <row r="11" customHeight="1" spans="1:2">
      <c r="A11" s="158">
        <v>43363</v>
      </c>
      <c r="B11" s="197">
        <v>19.49</v>
      </c>
    </row>
    <row r="12" customHeight="1" spans="1:2">
      <c r="A12" s="158">
        <v>43370</v>
      </c>
      <c r="B12" s="197">
        <v>19.46</v>
      </c>
    </row>
    <row r="13" customHeight="1" spans="1:2">
      <c r="A13" s="158">
        <v>43377</v>
      </c>
      <c r="B13" s="197">
        <v>19.52</v>
      </c>
    </row>
    <row r="14" customHeight="1" spans="1:2">
      <c r="A14" s="158">
        <v>43384</v>
      </c>
      <c r="B14" s="197">
        <v>19.57</v>
      </c>
    </row>
    <row r="15" customHeight="1" spans="1:2">
      <c r="A15" s="158">
        <v>43391</v>
      </c>
      <c r="B15" s="197">
        <v>19.52</v>
      </c>
    </row>
    <row r="16" customHeight="1" spans="1:2">
      <c r="A16" s="158">
        <v>43398</v>
      </c>
      <c r="B16" s="197">
        <v>19.53</v>
      </c>
    </row>
    <row r="17" customHeight="1" spans="1:2">
      <c r="A17" s="158">
        <v>43405</v>
      </c>
      <c r="B17" s="197">
        <v>19.43</v>
      </c>
    </row>
    <row r="18" customHeight="1" spans="1:2">
      <c r="A18" s="158">
        <v>43412</v>
      </c>
      <c r="B18" s="197">
        <v>19.48</v>
      </c>
    </row>
    <row r="19" customHeight="1" spans="1:2">
      <c r="A19" s="158">
        <v>43419</v>
      </c>
      <c r="B19" s="197">
        <v>19.5</v>
      </c>
    </row>
    <row r="20" customHeight="1" spans="1:2">
      <c r="A20" s="158">
        <v>43426</v>
      </c>
      <c r="B20" s="197">
        <v>19.24</v>
      </c>
    </row>
    <row r="21" customHeight="1" spans="1:2">
      <c r="A21" s="158">
        <v>43433</v>
      </c>
      <c r="B21" s="197">
        <v>19.27</v>
      </c>
    </row>
    <row r="22" customHeight="1" spans="1:2">
      <c r="A22" s="158">
        <v>43440</v>
      </c>
      <c r="B22" s="197">
        <v>19.43</v>
      </c>
    </row>
    <row r="23" customHeight="1" spans="1:2">
      <c r="A23" s="158">
        <v>43447</v>
      </c>
      <c r="B23" s="197">
        <v>19.02</v>
      </c>
    </row>
    <row r="24" customHeight="1" spans="1:2">
      <c r="A24" s="158">
        <v>43454</v>
      </c>
      <c r="B24" s="197">
        <v>18.95</v>
      </c>
    </row>
    <row r="25" customHeight="1" spans="1:2">
      <c r="A25" s="158">
        <v>43461</v>
      </c>
      <c r="B25" s="197">
        <v>18.95</v>
      </c>
    </row>
    <row r="26" customHeight="1" spans="1:2">
      <c r="A26" s="158">
        <v>43469</v>
      </c>
      <c r="B26" s="197">
        <v>18.85</v>
      </c>
    </row>
    <row r="27" customHeight="1" spans="1:2">
      <c r="A27" s="158">
        <v>43475</v>
      </c>
      <c r="B27" s="197">
        <v>18.76</v>
      </c>
    </row>
    <row r="28" customHeight="1" spans="1:2">
      <c r="A28" s="158">
        <v>43482</v>
      </c>
      <c r="B28" s="197">
        <v>16.61</v>
      </c>
    </row>
    <row r="29" customHeight="1" spans="1:2">
      <c r="A29" s="158">
        <v>43489</v>
      </c>
      <c r="B29" s="197">
        <v>15.8</v>
      </c>
    </row>
    <row r="30" customHeight="1" spans="1:2">
      <c r="A30" s="158">
        <v>43496</v>
      </c>
      <c r="B30" s="197">
        <v>15.86</v>
      </c>
    </row>
    <row r="31" customHeight="1" spans="1:2">
      <c r="A31" s="158">
        <v>43503</v>
      </c>
      <c r="B31" s="197">
        <v>16.21</v>
      </c>
    </row>
    <row r="32" customHeight="1" spans="1:2">
      <c r="A32" s="158">
        <v>43509</v>
      </c>
      <c r="B32" s="197">
        <v>16.36</v>
      </c>
    </row>
    <row r="33" customHeight="1" spans="1:2">
      <c r="A33" s="158">
        <v>43517</v>
      </c>
      <c r="B33" s="197">
        <v>16.43</v>
      </c>
    </row>
    <row r="34" customHeight="1" spans="1:2">
      <c r="A34" s="158">
        <v>43524</v>
      </c>
      <c r="B34" s="202">
        <v>15.94</v>
      </c>
    </row>
    <row r="35" customHeight="1" spans="1:2">
      <c r="A35" s="158">
        <v>43531</v>
      </c>
      <c r="B35" s="202">
        <v>17.28</v>
      </c>
    </row>
    <row r="36" customHeight="1" spans="1:2">
      <c r="A36" s="158">
        <v>43538</v>
      </c>
      <c r="B36" s="202">
        <v>18.59</v>
      </c>
    </row>
    <row r="37" customHeight="1" spans="1:2">
      <c r="A37" s="158">
        <v>43545</v>
      </c>
      <c r="B37" s="202">
        <v>19.75</v>
      </c>
    </row>
    <row r="38" customHeight="1" spans="1:2">
      <c r="A38" s="158">
        <v>43552</v>
      </c>
      <c r="B38" s="202">
        <v>19.92</v>
      </c>
    </row>
    <row r="39" customHeight="1" spans="1:2">
      <c r="A39" s="158">
        <v>43559</v>
      </c>
      <c r="B39" s="202">
        <v>20.28</v>
      </c>
    </row>
    <row r="40" customHeight="1" spans="1:2">
      <c r="A40" s="158">
        <v>43566</v>
      </c>
      <c r="B40" s="202">
        <v>20.23</v>
      </c>
    </row>
    <row r="41" customHeight="1" spans="1:2">
      <c r="A41" s="158">
        <v>43572</v>
      </c>
      <c r="B41" s="202">
        <v>20.23</v>
      </c>
    </row>
    <row r="42" customHeight="1" spans="1:2">
      <c r="A42" s="158">
        <v>43580</v>
      </c>
      <c r="B42" s="202">
        <v>20.28</v>
      </c>
    </row>
    <row r="43" customHeight="1" spans="1:2">
      <c r="A43" s="158">
        <v>43587</v>
      </c>
      <c r="B43" s="202">
        <v>20.28</v>
      </c>
    </row>
    <row r="44" customHeight="1" spans="1:2">
      <c r="A44" s="158">
        <v>43594</v>
      </c>
      <c r="B44" s="202">
        <v>20.27</v>
      </c>
    </row>
    <row r="45" customHeight="1" spans="1:2">
      <c r="A45" s="158">
        <v>43601</v>
      </c>
      <c r="B45" s="202">
        <v>19.79</v>
      </c>
    </row>
    <row r="46" customHeight="1" spans="1:2">
      <c r="A46" s="158">
        <v>43608</v>
      </c>
      <c r="B46" s="202">
        <v>19.79</v>
      </c>
    </row>
    <row r="47" customHeight="1" spans="1:2">
      <c r="A47" s="158">
        <v>43615</v>
      </c>
      <c r="B47" s="202">
        <v>19.82</v>
      </c>
    </row>
    <row r="48" customHeight="1" spans="1:2">
      <c r="A48" s="158">
        <v>43622</v>
      </c>
      <c r="B48" s="202">
        <v>19.9</v>
      </c>
    </row>
    <row r="49" customHeight="1" spans="1:2">
      <c r="A49" s="158">
        <v>43629</v>
      </c>
      <c r="B49" s="202">
        <v>19.95</v>
      </c>
    </row>
    <row r="50" customHeight="1" spans="1:2">
      <c r="A50" s="158">
        <v>43636</v>
      </c>
      <c r="B50" s="197">
        <v>20.16</v>
      </c>
    </row>
    <row r="51" customHeight="1" spans="1:2">
      <c r="A51" s="158">
        <v>43643</v>
      </c>
      <c r="B51" s="197">
        <v>22.92</v>
      </c>
    </row>
    <row r="52" customHeight="1" spans="1:2">
      <c r="A52" s="158">
        <v>43650</v>
      </c>
      <c r="B52" s="197">
        <v>23.21</v>
      </c>
    </row>
    <row r="53" customHeight="1" spans="1:2">
      <c r="A53" s="158">
        <v>43657</v>
      </c>
      <c r="B53" s="197">
        <v>24.15</v>
      </c>
    </row>
    <row r="54" customHeight="1" spans="1:2">
      <c r="A54" s="158">
        <v>43664</v>
      </c>
      <c r="B54" s="197">
        <v>25.21</v>
      </c>
    </row>
    <row r="55" customHeight="1" spans="1:2">
      <c r="A55" s="158">
        <v>43671</v>
      </c>
      <c r="B55" s="197">
        <v>25.25</v>
      </c>
    </row>
    <row r="56" customHeight="1" spans="1:2">
      <c r="A56" s="158">
        <v>43678</v>
      </c>
      <c r="B56" s="197">
        <v>25.63</v>
      </c>
    </row>
    <row r="57" customHeight="1" spans="1:2">
      <c r="A57" s="158">
        <v>43685</v>
      </c>
      <c r="B57" s="197">
        <v>27.32</v>
      </c>
    </row>
    <row r="58" customHeight="1" spans="1:2">
      <c r="A58" s="158">
        <v>43692</v>
      </c>
      <c r="B58" s="197">
        <v>29.06</v>
      </c>
    </row>
    <row r="59" customHeight="1" spans="1:2">
      <c r="A59" s="158">
        <v>43699</v>
      </c>
      <c r="B59" s="197">
        <v>33.57</v>
      </c>
    </row>
    <row r="60" customHeight="1" spans="1:2">
      <c r="A60" s="158">
        <v>43706</v>
      </c>
      <c r="B60" s="197">
        <v>36.03</v>
      </c>
    </row>
    <row r="61" customHeight="1" spans="1:2">
      <c r="A61" s="158">
        <v>43713</v>
      </c>
      <c r="B61" s="197">
        <v>36.18</v>
      </c>
    </row>
    <row r="62" customHeight="1" spans="1:2">
      <c r="A62" s="158">
        <v>43720</v>
      </c>
      <c r="B62" s="197">
        <v>36.67</v>
      </c>
    </row>
    <row r="63" customHeight="1" spans="1:2">
      <c r="A63" s="158">
        <v>43727</v>
      </c>
      <c r="B63" s="197">
        <v>37.22</v>
      </c>
    </row>
    <row r="64" customHeight="1" spans="1:2">
      <c r="A64" s="158">
        <v>43734</v>
      </c>
      <c r="B64" s="197">
        <v>37.44</v>
      </c>
    </row>
    <row r="65" customHeight="1" spans="1:2">
      <c r="A65" s="158">
        <v>43748</v>
      </c>
      <c r="B65" s="197">
        <v>45.06</v>
      </c>
    </row>
    <row r="66" customHeight="1" spans="1:2">
      <c r="A66" s="158">
        <v>43755</v>
      </c>
      <c r="B66" s="197">
        <v>47.07</v>
      </c>
    </row>
    <row r="67" customHeight="1" spans="1:2">
      <c r="A67" s="158">
        <v>43762</v>
      </c>
      <c r="B67" s="197">
        <v>53.21</v>
      </c>
    </row>
    <row r="68" customHeight="1" spans="1:2">
      <c r="A68" s="158">
        <v>43769</v>
      </c>
      <c r="B68" s="197">
        <v>54.38</v>
      </c>
    </row>
    <row r="69" customHeight="1" spans="1:2">
      <c r="A69" s="158">
        <v>43776</v>
      </c>
      <c r="B69" s="197">
        <v>52.72</v>
      </c>
    </row>
    <row r="70" customHeight="1" spans="1:2">
      <c r="A70" s="158">
        <v>43783</v>
      </c>
      <c r="B70" s="197">
        <v>47.15</v>
      </c>
    </row>
    <row r="71" customHeight="1" spans="1:2">
      <c r="A71" s="158">
        <v>43790</v>
      </c>
      <c r="B71" s="197">
        <v>42.61</v>
      </c>
    </row>
    <row r="72" customHeight="1" spans="1:2">
      <c r="A72" s="158">
        <v>43797</v>
      </c>
      <c r="B72" s="197">
        <v>40.96</v>
      </c>
    </row>
    <row r="73" customHeight="1" spans="1:2">
      <c r="A73" s="158">
        <v>43804</v>
      </c>
      <c r="B73" s="197">
        <v>44.47</v>
      </c>
    </row>
    <row r="74" customHeight="1" spans="1:2">
      <c r="A74" s="158">
        <v>43811</v>
      </c>
      <c r="B74" s="197">
        <v>43.22</v>
      </c>
    </row>
    <row r="75" customHeight="1" spans="1:2">
      <c r="A75" s="158">
        <v>43818</v>
      </c>
      <c r="B75" s="197">
        <v>43.44</v>
      </c>
    </row>
    <row r="76" customHeight="1" spans="1:2">
      <c r="A76" s="158">
        <v>43825</v>
      </c>
      <c r="B76" s="197">
        <v>43.92</v>
      </c>
    </row>
    <row r="77" customHeight="1" spans="1:2">
      <c r="A77" s="158">
        <v>43832</v>
      </c>
      <c r="B77" s="197">
        <v>46.16</v>
      </c>
    </row>
    <row r="78" customHeight="1" spans="1:2">
      <c r="A78" s="158">
        <v>43839</v>
      </c>
      <c r="B78" s="197">
        <v>46.52</v>
      </c>
    </row>
    <row r="79" customHeight="1" spans="1:2">
      <c r="A79" s="158">
        <v>43846</v>
      </c>
      <c r="B79" s="197">
        <v>46.54</v>
      </c>
    </row>
    <row r="80" customHeight="1" spans="1:2">
      <c r="A80" s="158">
        <v>43867</v>
      </c>
      <c r="B80" s="197">
        <v>52.25</v>
      </c>
    </row>
    <row r="81" customHeight="1" spans="1:2">
      <c r="A81" s="158">
        <v>43874</v>
      </c>
      <c r="B81" s="197">
        <v>52.04</v>
      </c>
    </row>
    <row r="82" customHeight="1" spans="1:2">
      <c r="A82" s="158">
        <v>43881</v>
      </c>
      <c r="B82" s="197">
        <v>51.79</v>
      </c>
    </row>
    <row r="83" customHeight="1" spans="1:2">
      <c r="A83" s="158">
        <v>43888</v>
      </c>
      <c r="B83" s="197">
        <v>49.39</v>
      </c>
    </row>
    <row r="84" customHeight="1" spans="1:2">
      <c r="A84" s="158">
        <v>43895</v>
      </c>
      <c r="B84" s="197">
        <v>49.19</v>
      </c>
    </row>
    <row r="85" customHeight="1" spans="1:2">
      <c r="A85" s="158">
        <v>43902</v>
      </c>
      <c r="B85" s="197">
        <v>47.95</v>
      </c>
    </row>
    <row r="86" customHeight="1" spans="1:2">
      <c r="A86" s="158">
        <v>43909</v>
      </c>
      <c r="B86" s="197">
        <v>47.46</v>
      </c>
    </row>
    <row r="87" customHeight="1" spans="1:2">
      <c r="A87" s="158">
        <v>43916</v>
      </c>
      <c r="B87" s="197">
        <v>46.51</v>
      </c>
    </row>
    <row r="88" customHeight="1" spans="1:2">
      <c r="A88" s="158">
        <v>43923</v>
      </c>
      <c r="B88" s="197">
        <v>45.3</v>
      </c>
    </row>
    <row r="89" customHeight="1" spans="1:2">
      <c r="A89" s="158">
        <v>43930</v>
      </c>
      <c r="B89" s="197">
        <v>43.66</v>
      </c>
    </row>
    <row r="90" customHeight="1" spans="1:2">
      <c r="A90" s="158">
        <v>43937</v>
      </c>
      <c r="B90" s="197">
        <v>43.54</v>
      </c>
    </row>
    <row r="91" customHeight="1" spans="1:2">
      <c r="A91" s="158">
        <v>43944</v>
      </c>
      <c r="B91" s="197">
        <v>42.52</v>
      </c>
    </row>
    <row r="92" customHeight="1" spans="1:2">
      <c r="A92" s="158">
        <v>43951</v>
      </c>
      <c r="B92" s="197">
        <v>41.76</v>
      </c>
    </row>
    <row r="93" customHeight="1" spans="1:2">
      <c r="A93" s="158">
        <v>43958</v>
      </c>
      <c r="B93" s="197">
        <v>40.26</v>
      </c>
    </row>
    <row r="94" customHeight="1" spans="1:2">
      <c r="A94" s="158">
        <v>43965</v>
      </c>
      <c r="B94" s="197">
        <v>36.63</v>
      </c>
    </row>
    <row r="95" customHeight="1" spans="1:2">
      <c r="A95" s="158">
        <v>43972</v>
      </c>
      <c r="B95" s="197">
        <v>36.43</v>
      </c>
    </row>
    <row r="96" customHeight="1" spans="1:2">
      <c r="A96" s="158">
        <v>43979</v>
      </c>
      <c r="B96" s="142">
        <v>38.21</v>
      </c>
    </row>
    <row r="97" customHeight="1" spans="1:2">
      <c r="A97" s="158">
        <v>43986</v>
      </c>
      <c r="B97" s="197">
        <v>41.03</v>
      </c>
    </row>
    <row r="98" customHeight="1" spans="1:2">
      <c r="A98" s="158">
        <v>43993</v>
      </c>
      <c r="B98" s="197">
        <v>41.93</v>
      </c>
    </row>
    <row r="99" customHeight="1" spans="1:2">
      <c r="A99" s="158">
        <v>44000</v>
      </c>
      <c r="B99" s="197">
        <v>44.32</v>
      </c>
    </row>
    <row r="100" customHeight="1" spans="1:2">
      <c r="A100" s="158">
        <v>44007</v>
      </c>
      <c r="B100" s="197">
        <v>45.67</v>
      </c>
    </row>
    <row r="101" customHeight="1" spans="1:2">
      <c r="A101" s="158">
        <v>44014</v>
      </c>
      <c r="B101" s="197">
        <v>46.8</v>
      </c>
    </row>
    <row r="102" customHeight="1" spans="1:2">
      <c r="A102" s="158">
        <v>44021</v>
      </c>
      <c r="B102" s="197">
        <v>49.04</v>
      </c>
    </row>
    <row r="103" customHeight="1" spans="1:2">
      <c r="A103" s="158">
        <v>44028</v>
      </c>
      <c r="B103" s="197">
        <v>49.21</v>
      </c>
    </row>
    <row r="104" customHeight="1" spans="1:2">
      <c r="A104" s="158">
        <v>44035</v>
      </c>
      <c r="B104" s="197">
        <v>47.98</v>
      </c>
    </row>
    <row r="105" customHeight="1" spans="1:2">
      <c r="A105" s="158">
        <v>44042</v>
      </c>
      <c r="B105" s="197">
        <v>48.47</v>
      </c>
    </row>
    <row r="106" customHeight="1" spans="1:2">
      <c r="A106" s="158">
        <v>44049</v>
      </c>
      <c r="B106" s="197">
        <v>48.43</v>
      </c>
    </row>
    <row r="107" customHeight="1" spans="1:2">
      <c r="A107" s="158">
        <v>44056</v>
      </c>
      <c r="B107" s="197">
        <v>47.62</v>
      </c>
    </row>
    <row r="108" customHeight="1" spans="1:2">
      <c r="A108" s="158">
        <v>44063</v>
      </c>
      <c r="B108" s="197">
        <v>47.74</v>
      </c>
    </row>
    <row r="109" customHeight="1" spans="1:2">
      <c r="A109" s="158">
        <v>44070</v>
      </c>
      <c r="B109" s="197">
        <v>47.02</v>
      </c>
    </row>
    <row r="110" customHeight="1" spans="1:2">
      <c r="A110" s="158">
        <v>44077</v>
      </c>
      <c r="B110" s="197">
        <v>46.79</v>
      </c>
    </row>
    <row r="111" customHeight="1" spans="1:2">
      <c r="A111" s="158">
        <v>44084</v>
      </c>
      <c r="B111" s="197">
        <v>46.12</v>
      </c>
    </row>
    <row r="112" customHeight="1" spans="1:2">
      <c r="A112" s="158">
        <v>44091</v>
      </c>
      <c r="B112" s="197">
        <v>44.86</v>
      </c>
    </row>
    <row r="113" customHeight="1" spans="1:2">
      <c r="A113" s="158">
        <v>44098</v>
      </c>
      <c r="B113" s="197">
        <v>42.73</v>
      </c>
    </row>
    <row r="114" customHeight="1" spans="1:2">
      <c r="A114" s="158">
        <v>44104</v>
      </c>
      <c r="B114" s="197">
        <v>43.06</v>
      </c>
    </row>
    <row r="115" customHeight="1" spans="1:2">
      <c r="A115" s="158">
        <v>44112</v>
      </c>
      <c r="B115" s="197">
        <v>41.42</v>
      </c>
    </row>
    <row r="116" customHeight="1" spans="1:2">
      <c r="A116" s="158">
        <v>44119</v>
      </c>
      <c r="B116" s="197">
        <v>38.41</v>
      </c>
    </row>
    <row r="117" customHeight="1" spans="1:2">
      <c r="A117" s="158">
        <v>44126</v>
      </c>
      <c r="B117" s="197">
        <v>36.99</v>
      </c>
    </row>
    <row r="118" customHeight="1" spans="1:2">
      <c r="A118" s="158">
        <v>44133</v>
      </c>
      <c r="B118" s="197">
        <v>35.95</v>
      </c>
    </row>
    <row r="119" customHeight="1" spans="1:2">
      <c r="A119" s="158">
        <v>44140</v>
      </c>
      <c r="B119" s="197">
        <v>36.38</v>
      </c>
    </row>
    <row r="120" customHeight="1" spans="1:2">
      <c r="A120" s="158">
        <v>44147</v>
      </c>
      <c r="B120" s="197">
        <v>36.86</v>
      </c>
    </row>
    <row r="121" customHeight="1" spans="1:2">
      <c r="A121" s="158">
        <v>44154</v>
      </c>
      <c r="B121" s="197">
        <v>37.15</v>
      </c>
    </row>
    <row r="122" customHeight="1" spans="1:2">
      <c r="A122" s="158">
        <v>44161</v>
      </c>
      <c r="B122" s="197">
        <v>37.97</v>
      </c>
    </row>
    <row r="123" customHeight="1" spans="1:2">
      <c r="A123" s="158">
        <v>44168</v>
      </c>
      <c r="B123" s="197">
        <v>41.96</v>
      </c>
    </row>
    <row r="124" customHeight="1" spans="1:2">
      <c r="A124" s="158">
        <v>44175</v>
      </c>
      <c r="B124" s="197">
        <v>41.72</v>
      </c>
    </row>
    <row r="125" customHeight="1" spans="1:2">
      <c r="A125" s="158">
        <v>44182</v>
      </c>
      <c r="B125" s="197">
        <v>43.09</v>
      </c>
    </row>
    <row r="126" customHeight="1" spans="1:2">
      <c r="A126" s="158">
        <v>44189</v>
      </c>
      <c r="B126" s="197">
        <v>43.32</v>
      </c>
    </row>
    <row r="127" customHeight="1" spans="1:2">
      <c r="A127" s="158">
        <v>44196</v>
      </c>
      <c r="B127" s="197">
        <v>45.54</v>
      </c>
    </row>
    <row r="128" customHeight="1" spans="1:2">
      <c r="A128" s="158">
        <v>44203</v>
      </c>
      <c r="B128" s="197">
        <v>46.18</v>
      </c>
    </row>
    <row r="129" customHeight="1" spans="1:2">
      <c r="A129" s="158">
        <v>44210</v>
      </c>
      <c r="B129" s="197">
        <v>46.49</v>
      </c>
    </row>
    <row r="130" customHeight="1" spans="1:2">
      <c r="A130" s="158">
        <v>44217</v>
      </c>
      <c r="B130" s="197">
        <v>44.48</v>
      </c>
    </row>
    <row r="131" customHeight="1" spans="1:2">
      <c r="A131" s="158">
        <v>44224</v>
      </c>
      <c r="B131" s="197">
        <v>42.74</v>
      </c>
    </row>
    <row r="132" customHeight="1" spans="1:2">
      <c r="A132" s="158">
        <v>44231</v>
      </c>
      <c r="B132" s="197">
        <v>40.07</v>
      </c>
    </row>
    <row r="133" customHeight="1" spans="1:2">
      <c r="A133" s="158">
        <v>44245</v>
      </c>
      <c r="B133" s="197">
        <v>37.39</v>
      </c>
    </row>
    <row r="134" customHeight="1" spans="1:2">
      <c r="A134" s="158">
        <v>44252</v>
      </c>
      <c r="B134" s="197">
        <v>33.62</v>
      </c>
    </row>
    <row r="135" customHeight="1" spans="1:2">
      <c r="A135" s="158">
        <v>44259</v>
      </c>
      <c r="B135" s="197">
        <v>35.29</v>
      </c>
    </row>
    <row r="136" customHeight="1" spans="1:2">
      <c r="A136" s="158">
        <v>44266</v>
      </c>
      <c r="B136" s="197">
        <v>35</v>
      </c>
    </row>
    <row r="137" customHeight="1" spans="1:2">
      <c r="A137" s="158">
        <v>44273</v>
      </c>
      <c r="B137" s="197">
        <v>34.27</v>
      </c>
    </row>
    <row r="138" customHeight="1" spans="1:2">
      <c r="A138" s="158">
        <v>44280</v>
      </c>
      <c r="B138" s="197">
        <v>32.93</v>
      </c>
    </row>
    <row r="139" customHeight="1" spans="1:2">
      <c r="A139" s="158">
        <v>44287</v>
      </c>
      <c r="B139" s="197">
        <v>30.49</v>
      </c>
    </row>
    <row r="140" customHeight="1" spans="1:2">
      <c r="A140" s="158">
        <v>44294</v>
      </c>
      <c r="B140" s="197">
        <v>26.42</v>
      </c>
    </row>
    <row r="141" customHeight="1" spans="1:2">
      <c r="A141" s="158">
        <v>44301</v>
      </c>
      <c r="B141" s="197">
        <v>29.98</v>
      </c>
    </row>
    <row r="142" customHeight="1" spans="1:2">
      <c r="A142" s="158">
        <v>44308</v>
      </c>
      <c r="B142" s="197">
        <v>28.87</v>
      </c>
    </row>
    <row r="143" customHeight="1" spans="1:2">
      <c r="A143" s="158">
        <v>44315</v>
      </c>
      <c r="B143" s="197">
        <v>27.11</v>
      </c>
    </row>
    <row r="144" customHeight="1" spans="1:2">
      <c r="A144" s="158">
        <v>44322</v>
      </c>
      <c r="B144" s="197">
        <v>26.18</v>
      </c>
    </row>
    <row r="145" customHeight="1" spans="1:2">
      <c r="A145" s="158">
        <v>44329</v>
      </c>
      <c r="B145" s="197">
        <v>23.94</v>
      </c>
    </row>
    <row r="146" customHeight="1" spans="1:2">
      <c r="A146" s="158">
        <v>44336</v>
      </c>
      <c r="B146" s="197">
        <v>23.15</v>
      </c>
    </row>
    <row r="147" customHeight="1" spans="1:2">
      <c r="A147" s="158">
        <v>44343</v>
      </c>
      <c r="B147" s="197">
        <v>22.37</v>
      </c>
    </row>
    <row r="148" customHeight="1" spans="1:2">
      <c r="A148" s="158">
        <v>44350</v>
      </c>
      <c r="B148" s="197">
        <v>21.18</v>
      </c>
    </row>
    <row r="149" customHeight="1" spans="1:2">
      <c r="A149" s="158">
        <v>44357</v>
      </c>
      <c r="B149" s="197">
        <v>19.79</v>
      </c>
    </row>
    <row r="150" customHeight="1" spans="1:2">
      <c r="A150" s="158">
        <v>44364</v>
      </c>
      <c r="B150" s="197">
        <v>18.62</v>
      </c>
    </row>
    <row r="151" customHeight="1" spans="1:2">
      <c r="A151" s="158">
        <v>44371</v>
      </c>
      <c r="B151" s="197">
        <v>16.67</v>
      </c>
    </row>
    <row r="152" customHeight="1" spans="1:2">
      <c r="A152" s="158">
        <v>44378</v>
      </c>
      <c r="B152" s="197">
        <v>21.71</v>
      </c>
    </row>
    <row r="153" customHeight="1" spans="1:2">
      <c r="A153" s="158">
        <v>44385</v>
      </c>
      <c r="B153" s="197">
        <v>20.83</v>
      </c>
    </row>
    <row r="154" customHeight="1" spans="1:2">
      <c r="A154" s="158">
        <v>44392</v>
      </c>
      <c r="B154" s="197">
        <v>19.91</v>
      </c>
    </row>
    <row r="155" customHeight="1" spans="1:2">
      <c r="A155" s="158">
        <v>44399</v>
      </c>
      <c r="B155" s="197">
        <v>20.77</v>
      </c>
    </row>
    <row r="156" customHeight="1" spans="1:2">
      <c r="A156" s="158">
        <v>44406</v>
      </c>
      <c r="B156" s="197">
        <v>20.13</v>
      </c>
    </row>
    <row r="157" customHeight="1" spans="1:2">
      <c r="A157" s="158">
        <v>44413</v>
      </c>
      <c r="B157" s="197">
        <v>19.64</v>
      </c>
    </row>
    <row r="158" customHeight="1" spans="1:2">
      <c r="A158" s="158">
        <v>44420</v>
      </c>
      <c r="B158" s="197">
        <v>19.03</v>
      </c>
    </row>
    <row r="159" customHeight="1" spans="1:2">
      <c r="A159" s="158">
        <v>44427</v>
      </c>
      <c r="B159" s="197">
        <v>18.9</v>
      </c>
    </row>
    <row r="160" customHeight="1" spans="1:2">
      <c r="A160" s="158">
        <v>44434</v>
      </c>
      <c r="B160" s="197">
        <v>18.39</v>
      </c>
    </row>
    <row r="161" customHeight="1" spans="1:2">
      <c r="A161" s="158">
        <v>44441</v>
      </c>
      <c r="B161" s="197">
        <v>18.14</v>
      </c>
    </row>
    <row r="162" customHeight="1" spans="1:2">
      <c r="A162" s="158">
        <v>44448</v>
      </c>
      <c r="B162" s="197">
        <v>17.52</v>
      </c>
    </row>
    <row r="163" customHeight="1" spans="1:2">
      <c r="A163" s="158">
        <v>44455</v>
      </c>
      <c r="B163" s="197">
        <v>16.61</v>
      </c>
    </row>
    <row r="164" customHeight="1" spans="1:2">
      <c r="A164" s="158">
        <v>44462</v>
      </c>
      <c r="B164" s="197">
        <v>15.7</v>
      </c>
    </row>
    <row r="165" customHeight="1" spans="1:2">
      <c r="A165" s="158">
        <v>44469</v>
      </c>
      <c r="B165" s="197">
        <v>14.23</v>
      </c>
    </row>
    <row r="166" customHeight="1" spans="1:2">
      <c r="A166" s="158">
        <v>44477</v>
      </c>
      <c r="B166" s="197">
        <v>14.04</v>
      </c>
    </row>
    <row r="167" customHeight="1" spans="1:2">
      <c r="A167" s="158">
        <v>44483</v>
      </c>
      <c r="B167" s="197">
        <v>17.88</v>
      </c>
    </row>
    <row r="168" customHeight="1" spans="1:2">
      <c r="A168" s="158">
        <v>44490</v>
      </c>
      <c r="B168" s="197">
        <v>19.1</v>
      </c>
    </row>
    <row r="169" customHeight="1" spans="1:2">
      <c r="A169" s="158">
        <v>44497</v>
      </c>
      <c r="B169" s="197">
        <v>21.88</v>
      </c>
    </row>
    <row r="170" customHeight="1" spans="1:2">
      <c r="A170" s="158">
        <v>44504</v>
      </c>
      <c r="B170" s="197">
        <v>21.68</v>
      </c>
    </row>
    <row r="171" customHeight="1" spans="1:2">
      <c r="A171" s="158">
        <v>44511</v>
      </c>
      <c r="B171" s="197">
        <v>22.97</v>
      </c>
    </row>
    <row r="172" customHeight="1" spans="1:2">
      <c r="A172" s="158">
        <v>44518</v>
      </c>
      <c r="B172" s="197">
        <v>23.26</v>
      </c>
    </row>
    <row r="173" customHeight="1" spans="1:2">
      <c r="A173" s="158">
        <v>44525</v>
      </c>
      <c r="B173" s="197">
        <v>24.17</v>
      </c>
    </row>
    <row r="174" customHeight="1" spans="1:2">
      <c r="A174" s="158">
        <v>44532</v>
      </c>
      <c r="B174" s="197">
        <v>23.92</v>
      </c>
    </row>
    <row r="175" customHeight="1" spans="1:2">
      <c r="A175" s="158">
        <v>44539</v>
      </c>
      <c r="B175" s="197">
        <v>22.78</v>
      </c>
    </row>
    <row r="176" customHeight="1" spans="1:2">
      <c r="A176" s="158">
        <v>44546</v>
      </c>
      <c r="B176" s="197">
        <v>21.57</v>
      </c>
    </row>
    <row r="177" customHeight="1" spans="1:2">
      <c r="A177" s="158">
        <v>44553</v>
      </c>
      <c r="B177" s="197">
        <v>20.73</v>
      </c>
    </row>
    <row r="178" customHeight="1" spans="1:2">
      <c r="A178" s="158">
        <v>44560</v>
      </c>
      <c r="B178" s="197">
        <v>21.49</v>
      </c>
    </row>
    <row r="179" customHeight="1" spans="1:2">
      <c r="A179" s="158">
        <v>44567</v>
      </c>
      <c r="B179" s="197">
        <v>20.01</v>
      </c>
    </row>
    <row r="180" customHeight="1" spans="1:2">
      <c r="A180" s="158">
        <v>44574</v>
      </c>
      <c r="B180" s="197">
        <v>19.01</v>
      </c>
    </row>
    <row r="181" customHeight="1" spans="1:2">
      <c r="A181" s="158">
        <v>44581</v>
      </c>
      <c r="B181" s="197">
        <v>18.9</v>
      </c>
    </row>
    <row r="182" customFormat="1" customHeight="1" spans="1:2">
      <c r="A182" s="158">
        <v>44587</v>
      </c>
      <c r="B182" s="197">
        <v>18.79</v>
      </c>
    </row>
    <row r="183" s="8" customFormat="1" customHeight="1" spans="1:2">
      <c r="A183" s="158">
        <v>44602</v>
      </c>
      <c r="B183" s="197">
        <v>17.02</v>
      </c>
    </row>
    <row r="184" customHeight="1" spans="1:2">
      <c r="A184" s="158">
        <v>44609</v>
      </c>
      <c r="B184" s="197">
        <v>15.81</v>
      </c>
    </row>
    <row r="185" customFormat="1" customHeight="1" spans="1:2">
      <c r="A185" s="158">
        <v>44616</v>
      </c>
      <c r="B185" s="197">
        <v>15.99</v>
      </c>
    </row>
    <row r="186" s="91" customFormat="1" customHeight="1" spans="1:2">
      <c r="A186" s="158">
        <v>44623</v>
      </c>
      <c r="B186" s="197">
        <v>15.94</v>
      </c>
    </row>
    <row r="187" s="91" customFormat="1" customHeight="1" spans="1:2">
      <c r="A187" s="158">
        <v>44630</v>
      </c>
      <c r="B187" s="197">
        <v>15.74</v>
      </c>
    </row>
    <row r="188" s="91" customFormat="1" customHeight="1" spans="1:2">
      <c r="A188" s="158">
        <v>44637</v>
      </c>
      <c r="B188" s="197">
        <v>15.48</v>
      </c>
    </row>
    <row r="189" s="91" customFormat="1" customHeight="1" spans="1:2">
      <c r="A189" s="158">
        <v>44644</v>
      </c>
      <c r="B189" s="197">
        <v>16.19</v>
      </c>
    </row>
    <row r="190" s="91" customFormat="1" customHeight="1" spans="1:2">
      <c r="A190" s="158">
        <v>44651</v>
      </c>
      <c r="B190" s="197">
        <v>16.62</v>
      </c>
    </row>
    <row r="191" s="91" customFormat="1" customHeight="1" spans="1:2">
      <c r="A191" s="158">
        <v>44658</v>
      </c>
      <c r="B191" s="197">
        <v>16.93</v>
      </c>
    </row>
    <row r="192" s="91" customFormat="1" customHeight="1" spans="1:2">
      <c r="A192" s="158">
        <v>44665</v>
      </c>
      <c r="B192" s="197">
        <v>16.72</v>
      </c>
    </row>
    <row r="193" s="91" customFormat="1" customHeight="1" spans="1:2">
      <c r="A193" s="158">
        <v>44672</v>
      </c>
      <c r="B193" s="197">
        <v>18.45</v>
      </c>
    </row>
    <row r="194" s="91" customFormat="1" customHeight="1" spans="1:2">
      <c r="A194" s="158">
        <v>44679</v>
      </c>
      <c r="B194" s="197">
        <v>19.38</v>
      </c>
    </row>
    <row r="195" s="91" customFormat="1" customHeight="1" spans="1:2">
      <c r="A195" s="158">
        <v>44686</v>
      </c>
      <c r="B195" s="197">
        <v>19.79</v>
      </c>
    </row>
    <row r="196" s="91" customFormat="1" customHeight="1" spans="1:2">
      <c r="A196" s="158">
        <v>44693</v>
      </c>
      <c r="B196" s="197">
        <v>20.12</v>
      </c>
    </row>
    <row r="197" s="91" customFormat="1" customHeight="1" spans="1:2">
      <c r="A197" s="158">
        <v>44700</v>
      </c>
      <c r="B197" s="197">
        <v>20.57</v>
      </c>
    </row>
    <row r="198" s="91" customFormat="1" customHeight="1" spans="1:2">
      <c r="A198" s="158">
        <v>44707</v>
      </c>
      <c r="B198" s="197">
        <v>20.6</v>
      </c>
    </row>
    <row r="199" s="91" customFormat="1" customHeight="1" spans="1:2">
      <c r="A199" s="158">
        <v>44714</v>
      </c>
      <c r="B199" s="197">
        <v>20.71</v>
      </c>
    </row>
    <row r="200" s="91" customFormat="1" customHeight="1" spans="1:2">
      <c r="A200" s="158">
        <v>44721</v>
      </c>
      <c r="B200" s="197">
        <v>20.61</v>
      </c>
    </row>
    <row r="201" s="110" customFormat="1" customHeight="1" spans="1:2">
      <c r="A201" s="158">
        <v>44728</v>
      </c>
      <c r="B201" s="197">
        <v>21.11</v>
      </c>
    </row>
    <row r="202" s="91" customFormat="1" customHeight="1" spans="1:2">
      <c r="A202" s="158">
        <v>44735</v>
      </c>
      <c r="B202" s="197">
        <v>22.63</v>
      </c>
    </row>
    <row r="203" s="91" customFormat="1" customHeight="1" spans="1:2">
      <c r="A203" s="158">
        <v>44742</v>
      </c>
      <c r="B203" s="197">
        <v>25.07</v>
      </c>
    </row>
    <row r="204" s="91" customFormat="1" customHeight="1" spans="1:2">
      <c r="A204" s="158">
        <v>44749</v>
      </c>
      <c r="B204" s="197">
        <v>28.86</v>
      </c>
    </row>
    <row r="205" s="91" customFormat="1" customHeight="1" spans="1:2">
      <c r="A205" s="158">
        <v>44756</v>
      </c>
      <c r="B205" s="197">
        <v>30.33</v>
      </c>
    </row>
    <row r="206" s="91" customFormat="1" customHeight="1" spans="1:2">
      <c r="A206" s="158">
        <v>44763</v>
      </c>
      <c r="B206" s="197">
        <v>29.27</v>
      </c>
    </row>
    <row r="207" s="91" customFormat="1" customHeight="1" spans="1:2">
      <c r="A207" s="158">
        <v>44770</v>
      </c>
      <c r="B207" s="197">
        <v>27.72</v>
      </c>
    </row>
    <row r="208" customHeight="1" spans="1:2">
      <c r="A208" s="158">
        <v>44777</v>
      </c>
      <c r="B208" s="197">
        <v>27.83</v>
      </c>
    </row>
    <row r="209" customHeight="1" spans="1:2">
      <c r="A209" s="158">
        <v>44784</v>
      </c>
      <c r="B209" s="197">
        <v>27.42</v>
      </c>
    </row>
    <row r="210" customHeight="1" spans="1:2">
      <c r="A210" s="158">
        <v>44791</v>
      </c>
      <c r="B210" s="197">
        <v>27.13</v>
      </c>
    </row>
    <row r="211" customHeight="1" spans="1:2">
      <c r="A211" s="158">
        <v>44798</v>
      </c>
      <c r="B211" s="197">
        <v>28.24</v>
      </c>
    </row>
    <row r="212" customHeight="1" spans="1:2">
      <c r="A212" s="158">
        <v>44805</v>
      </c>
      <c r="B212" s="197">
        <v>30.37</v>
      </c>
    </row>
    <row r="213" customHeight="1" spans="1:2">
      <c r="A213" s="158">
        <v>44812</v>
      </c>
      <c r="B213" s="197">
        <v>30.31</v>
      </c>
    </row>
    <row r="214" customHeight="1" spans="1:2">
      <c r="A214" s="158">
        <v>44819</v>
      </c>
      <c r="B214" s="197">
        <v>30.23</v>
      </c>
    </row>
    <row r="215" customHeight="1" spans="1:2">
      <c r="A215" s="158">
        <v>44826</v>
      </c>
      <c r="B215" s="197">
        <v>30.62</v>
      </c>
    </row>
    <row r="216" customHeight="1" spans="1:2">
      <c r="A216" s="158">
        <v>44833</v>
      </c>
      <c r="B216" s="197">
        <v>30.88</v>
      </c>
    </row>
    <row r="217" customHeight="1" spans="1:2">
      <c r="A217" s="158">
        <v>44842</v>
      </c>
      <c r="B217" s="197">
        <v>32.82</v>
      </c>
    </row>
    <row r="218" customHeight="1" spans="1:2">
      <c r="A218" s="158">
        <v>44847</v>
      </c>
      <c r="B218" s="197">
        <v>34.36</v>
      </c>
    </row>
    <row r="219" customHeight="1" spans="1:2">
      <c r="A219" s="158">
        <v>44854</v>
      </c>
      <c r="B219" s="197">
        <v>36.09</v>
      </c>
    </row>
    <row r="220" customHeight="1" spans="1:2">
      <c r="A220" s="158">
        <v>44861</v>
      </c>
      <c r="B220" s="197">
        <v>35.11</v>
      </c>
    </row>
    <row r="221" customHeight="1" spans="1:2">
      <c r="A221" s="158">
        <v>44868</v>
      </c>
      <c r="B221" s="197">
        <v>33.7</v>
      </c>
    </row>
    <row r="222" customHeight="1" spans="1:2">
      <c r="A222" s="158">
        <v>44875</v>
      </c>
      <c r="B222" s="197">
        <v>31.99</v>
      </c>
    </row>
    <row r="223" customHeight="1" spans="1:2">
      <c r="A223" s="158">
        <v>44882</v>
      </c>
      <c r="B223" s="197">
        <v>31.02</v>
      </c>
    </row>
    <row r="224" customHeight="1" spans="1:2">
      <c r="A224" s="158">
        <v>44889</v>
      </c>
      <c r="B224" s="197">
        <v>29.46</v>
      </c>
    </row>
    <row r="225" customHeight="1" spans="1:2">
      <c r="A225" s="158">
        <v>44896</v>
      </c>
      <c r="B225" s="197">
        <v>28.6</v>
      </c>
    </row>
    <row r="226" customHeight="1" spans="1:2">
      <c r="A226" s="158">
        <v>44903</v>
      </c>
      <c r="B226" s="197">
        <v>29.06</v>
      </c>
    </row>
    <row r="227" customHeight="1" spans="1:2">
      <c r="A227" s="158">
        <v>44910</v>
      </c>
      <c r="B227" s="197">
        <v>26.21</v>
      </c>
    </row>
    <row r="228" customHeight="1" spans="1:2">
      <c r="A228" s="158">
        <v>44917</v>
      </c>
      <c r="B228" s="197">
        <v>22.82</v>
      </c>
    </row>
    <row r="229" customHeight="1" spans="1:2">
      <c r="A229" s="158">
        <v>44924</v>
      </c>
      <c r="B229" s="197">
        <v>23.1</v>
      </c>
    </row>
    <row r="230" customHeight="1" spans="1:2">
      <c r="A230" s="158">
        <v>44931</v>
      </c>
      <c r="B230" s="159">
        <v>21.42</v>
      </c>
    </row>
    <row r="231" customHeight="1" spans="1:2">
      <c r="A231" s="158">
        <v>44938</v>
      </c>
      <c r="B231" s="142">
        <v>19.95</v>
      </c>
    </row>
    <row r="232" customHeight="1" spans="1:2">
      <c r="A232" s="158">
        <v>44959</v>
      </c>
      <c r="B232" s="142">
        <v>18.98</v>
      </c>
    </row>
    <row r="233" customHeight="1" spans="1:2">
      <c r="A233" s="158">
        <v>44966</v>
      </c>
      <c r="B233" s="142">
        <v>18.23</v>
      </c>
    </row>
    <row r="234" customHeight="1" spans="1:2">
      <c r="A234" s="158">
        <v>44973</v>
      </c>
      <c r="B234" s="142">
        <v>18.69</v>
      </c>
    </row>
    <row r="235" customHeight="1" spans="1:2">
      <c r="A235" s="158">
        <v>44980</v>
      </c>
      <c r="B235" s="142">
        <v>19.73</v>
      </c>
    </row>
    <row r="236" customHeight="1" spans="1:2">
      <c r="A236" s="158">
        <v>44987</v>
      </c>
      <c r="B236" s="142">
        <v>20.13</v>
      </c>
    </row>
    <row r="237" customHeight="1" spans="1:2">
      <c r="A237" s="158">
        <v>44994</v>
      </c>
      <c r="B237" s="142">
        <v>19.94</v>
      </c>
    </row>
    <row r="238" customHeight="1" spans="1:2">
      <c r="A238" s="158">
        <v>45001</v>
      </c>
      <c r="B238" s="142">
        <v>19.39</v>
      </c>
    </row>
    <row r="239" customHeight="1" spans="1:2">
      <c r="A239" s="158">
        <v>45008</v>
      </c>
      <c r="B239" s="142">
        <v>19.22</v>
      </c>
    </row>
    <row r="240" customHeight="1" spans="1:2">
      <c r="A240" s="158">
        <v>45015</v>
      </c>
      <c r="B240" s="142">
        <v>18.84</v>
      </c>
    </row>
    <row r="241" customHeight="1" spans="1:2">
      <c r="A241" s="158">
        <v>45022</v>
      </c>
      <c r="B241" s="142">
        <v>18.44</v>
      </c>
    </row>
    <row r="242" customHeight="1" spans="1:2">
      <c r="A242" s="158">
        <v>45029</v>
      </c>
      <c r="B242" s="142">
        <v>18</v>
      </c>
    </row>
    <row r="243" customHeight="1" spans="1:2">
      <c r="A243" s="158">
        <v>45036</v>
      </c>
      <c r="B243" s="142">
        <v>17.77</v>
      </c>
    </row>
    <row r="244" customHeight="1" spans="1:2">
      <c r="A244" s="158">
        <v>45043</v>
      </c>
      <c r="B244" s="142">
        <v>18.49</v>
      </c>
    </row>
    <row r="245" customHeight="1" spans="1:2">
      <c r="A245" s="158">
        <v>45050</v>
      </c>
      <c r="B245" s="142">
        <v>18.46</v>
      </c>
    </row>
    <row r="246" customHeight="1" spans="1:2">
      <c r="A246" s="158">
        <v>45057</v>
      </c>
      <c r="B246" s="142">
        <v>18.28</v>
      </c>
    </row>
    <row r="247" customHeight="1" spans="1:2">
      <c r="A247" s="158">
        <v>45064</v>
      </c>
      <c r="B247" s="159">
        <v>18.05</v>
      </c>
    </row>
    <row r="248" customHeight="1" spans="1:2">
      <c r="A248" s="158">
        <v>45071</v>
      </c>
      <c r="B248" s="142">
        <v>18.38</v>
      </c>
    </row>
    <row r="249" customHeight="1" spans="1:2">
      <c r="A249" s="158">
        <v>45078</v>
      </c>
      <c r="B249" s="159">
        <v>18.44</v>
      </c>
    </row>
    <row r="250" customHeight="1" spans="1:2">
      <c r="A250" s="158">
        <v>45085</v>
      </c>
      <c r="B250" s="142">
        <v>18.32</v>
      </c>
    </row>
    <row r="251" customHeight="1" spans="1:2">
      <c r="A251" s="158">
        <v>45092</v>
      </c>
      <c r="B251" s="142">
        <v>18.25</v>
      </c>
    </row>
    <row r="252" customHeight="1" spans="1:2">
      <c r="A252" s="158">
        <v>45098</v>
      </c>
      <c r="B252" s="142">
        <v>18.44</v>
      </c>
    </row>
    <row r="253" customHeight="1" spans="1:2">
      <c r="A253" s="158">
        <v>45106</v>
      </c>
      <c r="B253" s="142">
        <v>17.96</v>
      </c>
    </row>
    <row r="254" customHeight="1" spans="1:2">
      <c r="A254" s="158">
        <v>45113</v>
      </c>
      <c r="B254" s="142">
        <v>18.13</v>
      </c>
    </row>
    <row r="255" customHeight="1" spans="1:2">
      <c r="A255" s="158">
        <v>45120</v>
      </c>
      <c r="B255" s="142">
        <v>18.04</v>
      </c>
    </row>
    <row r="256" customHeight="1" spans="1:2">
      <c r="A256" s="158">
        <v>45127</v>
      </c>
      <c r="B256" s="142">
        <v>18.01</v>
      </c>
    </row>
    <row r="257" customHeight="1" spans="1:2">
      <c r="A257" s="158">
        <v>45134</v>
      </c>
      <c r="B257" s="142">
        <v>18.99</v>
      </c>
    </row>
    <row r="258" customHeight="1" spans="1:2">
      <c r="A258" s="158">
        <v>45141</v>
      </c>
      <c r="B258" s="159">
        <v>21.17</v>
      </c>
    </row>
    <row r="259" customHeight="1" spans="1:2">
      <c r="A259" s="158">
        <v>45148</v>
      </c>
      <c r="B259" s="159">
        <v>22.23</v>
      </c>
    </row>
    <row r="260" customHeight="1" spans="1:2">
      <c r="A260" s="158">
        <v>45155</v>
      </c>
      <c r="B260" s="159">
        <v>22.08</v>
      </c>
    </row>
    <row r="261" customHeight="1" spans="1:2">
      <c r="A261" s="158">
        <v>45162</v>
      </c>
      <c r="B261" s="159">
        <v>21.79</v>
      </c>
    </row>
    <row r="262" customHeight="1" spans="1:2">
      <c r="A262" s="158">
        <v>45169</v>
      </c>
      <c r="B262" s="159">
        <v>21.76</v>
      </c>
    </row>
    <row r="263" customHeight="1" spans="1:2">
      <c r="A263" s="158">
        <v>45176</v>
      </c>
      <c r="B263" s="159">
        <v>21.54</v>
      </c>
    </row>
    <row r="264" customHeight="1" spans="1:2">
      <c r="A264" s="158">
        <v>45183</v>
      </c>
      <c r="B264" s="159">
        <v>21.27</v>
      </c>
    </row>
    <row r="265" customHeight="1" spans="1:2">
      <c r="A265" s="158">
        <v>45190</v>
      </c>
      <c r="B265" s="159">
        <v>21.06</v>
      </c>
    </row>
    <row r="266" customHeight="1" spans="1:2">
      <c r="A266" s="158">
        <v>45197</v>
      </c>
      <c r="B266" s="159">
        <v>20.76</v>
      </c>
    </row>
    <row r="267" customHeight="1" spans="1:2">
      <c r="A267" s="158">
        <v>45205</v>
      </c>
      <c r="B267" s="159">
        <v>20.47</v>
      </c>
    </row>
    <row r="268" customHeight="1" spans="1:2">
      <c r="A268" s="158">
        <v>45211</v>
      </c>
      <c r="B268" s="159">
        <v>20.03</v>
      </c>
    </row>
    <row r="269" customHeight="1" spans="1:2">
      <c r="A269" s="158">
        <v>45218</v>
      </c>
      <c r="B269" s="159">
        <v>19.86</v>
      </c>
    </row>
    <row r="270" customHeight="1" spans="1:2">
      <c r="A270" s="158">
        <v>45225</v>
      </c>
      <c r="B270" s="159">
        <v>19.42</v>
      </c>
    </row>
    <row r="271" customHeight="1" spans="1:2">
      <c r="A271" s="158">
        <v>45232</v>
      </c>
      <c r="B271" s="159">
        <v>18.83</v>
      </c>
    </row>
    <row r="272" customHeight="1" spans="1:2">
      <c r="A272" s="158">
        <v>45239</v>
      </c>
      <c r="B272" s="159">
        <v>18.86</v>
      </c>
    </row>
    <row r="273" customHeight="1" spans="1:2">
      <c r="A273" s="158">
        <v>45246</v>
      </c>
      <c r="B273" s="159">
        <v>18.52</v>
      </c>
    </row>
    <row r="274" customHeight="1" spans="1:2">
      <c r="A274" s="158">
        <v>45253</v>
      </c>
      <c r="B274" s="159">
        <v>18.87</v>
      </c>
    </row>
    <row r="275" customHeight="1" spans="1:2">
      <c r="A275" s="158">
        <v>45260</v>
      </c>
      <c r="B275" s="159">
        <v>18.14</v>
      </c>
    </row>
    <row r="276" customHeight="1" spans="1:2">
      <c r="A276" s="158">
        <v>45267</v>
      </c>
      <c r="B276" s="203">
        <v>18.26</v>
      </c>
    </row>
    <row r="277" customHeight="1" spans="1:2">
      <c r="A277" s="158">
        <v>45274</v>
      </c>
      <c r="B277" s="159">
        <v>18.49</v>
      </c>
    </row>
    <row r="278" customHeight="1" spans="1:2">
      <c r="A278" s="158">
        <v>45281</v>
      </c>
      <c r="B278" s="203">
        <v>19.12</v>
      </c>
    </row>
    <row r="279" customHeight="1" spans="1:2">
      <c r="A279" s="158">
        <v>45288</v>
      </c>
      <c r="B279" s="159">
        <v>19.03</v>
      </c>
    </row>
    <row r="280" customHeight="1" spans="1:2">
      <c r="A280" s="158">
        <v>45295</v>
      </c>
      <c r="B280" s="203">
        <v>18.58</v>
      </c>
    </row>
    <row r="281" customHeight="1" spans="1:2">
      <c r="A281" s="158">
        <v>45302</v>
      </c>
      <c r="B281" s="159">
        <v>18.2</v>
      </c>
    </row>
    <row r="282" customHeight="1" spans="1:2">
      <c r="A282" s="158">
        <v>45309</v>
      </c>
      <c r="B282" s="203">
        <v>18.19</v>
      </c>
    </row>
    <row r="283" customHeight="1" spans="1:2">
      <c r="A283" s="158">
        <v>45316</v>
      </c>
      <c r="B283" s="159">
        <v>18.97</v>
      </c>
    </row>
    <row r="284" customHeight="1" spans="1:2">
      <c r="A284" s="158">
        <v>45323</v>
      </c>
      <c r="B284" s="203">
        <v>20.93</v>
      </c>
    </row>
    <row r="285" customHeight="1" spans="1:2">
      <c r="A285" s="158">
        <v>45344</v>
      </c>
      <c r="B285" s="159">
        <v>18.67</v>
      </c>
    </row>
    <row r="286" customHeight="1" spans="1:2">
      <c r="A286" s="158">
        <v>45351</v>
      </c>
      <c r="B286" s="159">
        <v>18.25</v>
      </c>
    </row>
    <row r="287" customHeight="1" spans="1:2">
      <c r="A287" s="158">
        <v>45358</v>
      </c>
      <c r="B287" s="159">
        <v>18.4</v>
      </c>
    </row>
    <row r="288" customHeight="1" spans="1:2">
      <c r="A288" s="158">
        <v>45365</v>
      </c>
      <c r="B288" s="159">
        <v>18.61</v>
      </c>
    </row>
    <row r="289" customHeight="1" spans="1:2">
      <c r="A289" s="158">
        <v>45372</v>
      </c>
      <c r="B289" s="159">
        <v>19.05</v>
      </c>
    </row>
    <row r="290" customHeight="1" spans="1:2">
      <c r="A290" s="158">
        <v>45379</v>
      </c>
      <c r="B290" s="159">
        <v>19.62</v>
      </c>
    </row>
    <row r="291" customHeight="1" spans="1:2">
      <c r="A291" s="158">
        <v>45385</v>
      </c>
      <c r="B291" s="159">
        <v>19.64</v>
      </c>
    </row>
    <row r="292" customHeight="1" spans="1:2">
      <c r="A292" s="158">
        <v>45393</v>
      </c>
      <c r="B292" s="159">
        <v>19.56</v>
      </c>
    </row>
    <row r="293" customHeight="1" spans="1:2">
      <c r="A293" s="158">
        <v>45400</v>
      </c>
      <c r="B293" s="159">
        <v>19.46</v>
      </c>
    </row>
    <row r="294" customHeight="1" spans="1:2">
      <c r="A294" s="158">
        <v>45407</v>
      </c>
      <c r="B294" s="159">
        <v>19.35</v>
      </c>
    </row>
    <row r="295" customHeight="1" spans="1:2">
      <c r="A295" s="158">
        <v>45414</v>
      </c>
      <c r="B295" s="159">
        <v>19.29</v>
      </c>
    </row>
    <row r="296" customHeight="1" spans="1:2">
      <c r="A296" s="158">
        <v>45421</v>
      </c>
      <c r="B296" s="159">
        <v>19.39</v>
      </c>
    </row>
    <row r="297" customHeight="1" spans="1:2">
      <c r="A297" s="158">
        <v>45428</v>
      </c>
      <c r="B297" s="159">
        <v>19.61</v>
      </c>
    </row>
    <row r="298" customHeight="1" spans="1:2">
      <c r="A298" s="158">
        <v>45435</v>
      </c>
      <c r="B298" s="159">
        <v>20.67</v>
      </c>
    </row>
    <row r="299" customHeight="1" spans="1:2">
      <c r="A299" s="158">
        <v>45442</v>
      </c>
      <c r="B299" s="159">
        <v>22.44</v>
      </c>
    </row>
    <row r="300" customHeight="1" spans="1:2">
      <c r="A300" s="158">
        <v>45449</v>
      </c>
      <c r="B300" s="159">
        <v>23.65</v>
      </c>
    </row>
    <row r="301" customHeight="1" spans="1:2">
      <c r="A301" s="158">
        <v>45456</v>
      </c>
      <c r="B301" s="159">
        <v>24.31</v>
      </c>
    </row>
    <row r="302" customHeight="1" spans="1:2">
      <c r="A302" s="158">
        <v>45463</v>
      </c>
      <c r="B302" s="159">
        <v>23.82</v>
      </c>
    </row>
    <row r="303" customHeight="1" spans="1:2">
      <c r="A303" s="158">
        <v>45470</v>
      </c>
      <c r="B303" s="159">
        <v>22.85</v>
      </c>
    </row>
    <row r="304" customHeight="1" spans="1:2">
      <c r="A304" s="158">
        <v>45477</v>
      </c>
      <c r="B304" s="159">
        <v>23.21</v>
      </c>
    </row>
    <row r="305" customHeight="1" spans="1:2">
      <c r="A305" s="158">
        <v>45484</v>
      </c>
      <c r="B305" s="159">
        <v>23.92</v>
      </c>
    </row>
    <row r="306" customHeight="1" spans="1:2">
      <c r="A306" s="158">
        <v>45491</v>
      </c>
      <c r="B306" s="159">
        <v>24.48</v>
      </c>
    </row>
    <row r="307" customHeight="1" spans="1:2">
      <c r="A307" s="158">
        <v>45498</v>
      </c>
      <c r="B307" s="159">
        <v>24.74</v>
      </c>
    </row>
    <row r="308" customHeight="1" spans="1:2">
      <c r="A308" s="158">
        <v>45505</v>
      </c>
      <c r="B308" s="159">
        <v>25.09</v>
      </c>
    </row>
    <row r="309" customHeight="1" spans="1:2">
      <c r="A309" s="158">
        <v>45512</v>
      </c>
      <c r="B309" s="159">
        <v>25.87</v>
      </c>
    </row>
    <row r="310" customHeight="1" spans="1:2">
      <c r="A310" s="158">
        <v>45519</v>
      </c>
      <c r="B310" s="159">
        <v>27.05</v>
      </c>
    </row>
    <row r="311" customHeight="1" spans="1:2">
      <c r="A311" s="158">
        <v>45526</v>
      </c>
      <c r="B311" s="159">
        <v>26.74</v>
      </c>
    </row>
    <row r="312" customHeight="1" spans="1:2">
      <c r="A312" s="158">
        <v>45533</v>
      </c>
      <c r="B312" s="159">
        <v>25.56</v>
      </c>
    </row>
    <row r="313" customHeight="1" spans="1:2">
      <c r="A313" s="158">
        <v>45540</v>
      </c>
      <c r="B313" s="159">
        <v>25.37</v>
      </c>
    </row>
    <row r="314" customHeight="1" spans="1:2">
      <c r="A314" s="158">
        <v>45547</v>
      </c>
      <c r="B314" s="159">
        <v>25.34</v>
      </c>
    </row>
    <row r="315" customHeight="1" spans="1:2">
      <c r="A315" s="158">
        <v>45554</v>
      </c>
      <c r="B315" s="159">
        <v>24.82</v>
      </c>
    </row>
    <row r="316" customHeight="1" spans="1:2">
      <c r="A316" s="158">
        <v>45561</v>
      </c>
      <c r="B316" s="159">
        <v>23.95</v>
      </c>
    </row>
    <row r="317" customHeight="1" spans="1:2">
      <c r="A317" s="158">
        <v>45575</v>
      </c>
      <c r="B317" s="159">
        <v>23.24</v>
      </c>
    </row>
    <row r="318" customHeight="1" spans="1:2">
      <c r="A318" s="158">
        <v>45582</v>
      </c>
      <c r="B318" s="159">
        <v>22.97</v>
      </c>
    </row>
    <row r="319" customHeight="1" spans="1:2">
      <c r="A319" s="158">
        <v>45589</v>
      </c>
      <c r="B319" s="159">
        <v>22.47</v>
      </c>
    </row>
    <row r="320" customHeight="1" spans="1:2">
      <c r="A320" s="158">
        <v>45596</v>
      </c>
      <c r="B320" s="159">
        <v>22.46</v>
      </c>
    </row>
    <row r="321" customHeight="1" spans="1:2">
      <c r="A321" s="158">
        <v>45603</v>
      </c>
      <c r="B321" s="159">
        <v>22.16</v>
      </c>
    </row>
    <row r="322" customHeight="1" spans="1:2">
      <c r="A322" s="158">
        <v>45610</v>
      </c>
      <c r="B322" s="159">
        <v>21.65</v>
      </c>
    </row>
    <row r="323" customHeight="1" spans="1:2">
      <c r="A323" s="158">
        <v>45617</v>
      </c>
      <c r="B323" s="159">
        <v>21.28</v>
      </c>
    </row>
    <row r="324" customHeight="1" spans="1:2">
      <c r="A324" s="158">
        <v>45624</v>
      </c>
      <c r="B324" s="159">
        <v>21.56</v>
      </c>
    </row>
    <row r="325" customHeight="1" spans="1:2">
      <c r="A325" s="158">
        <v>45631</v>
      </c>
      <c r="B325" s="159">
        <v>21.26</v>
      </c>
    </row>
    <row r="326" customHeight="1" spans="1:2">
      <c r="A326" s="158">
        <v>45638</v>
      </c>
      <c r="B326" s="159">
        <v>20.8</v>
      </c>
    </row>
    <row r="327" customHeight="1" spans="1:2">
      <c r="A327" s="158">
        <v>45645</v>
      </c>
      <c r="B327" s="159">
        <v>20.96</v>
      </c>
    </row>
    <row r="328" customHeight="1" spans="1:2">
      <c r="A328" s="158">
        <v>45652</v>
      </c>
      <c r="B328" s="159">
        <v>20.73</v>
      </c>
    </row>
    <row r="329" customHeight="1" spans="1:2">
      <c r="A329" s="158">
        <v>45659</v>
      </c>
      <c r="B329" s="159">
        <v>21.04</v>
      </c>
    </row>
    <row r="330" customHeight="1" spans="1:2">
      <c r="A330" s="158">
        <v>45666</v>
      </c>
      <c r="B330" s="159">
        <v>21.45</v>
      </c>
    </row>
    <row r="331" customHeight="1" spans="1:2">
      <c r="A331" s="158">
        <v>45673</v>
      </c>
      <c r="B331" s="159">
        <v>21.06</v>
      </c>
    </row>
    <row r="332" customHeight="1" spans="1:2">
      <c r="A332" s="158">
        <v>45680</v>
      </c>
      <c r="B332" s="159">
        <v>21.05</v>
      </c>
    </row>
    <row r="333" customHeight="1" spans="1:2">
      <c r="A333" s="158">
        <v>45694</v>
      </c>
      <c r="B333" s="159">
        <v>21.62</v>
      </c>
    </row>
    <row r="334" customHeight="1" spans="1:2">
      <c r="A334" s="158">
        <v>45701</v>
      </c>
      <c r="B334" s="159">
        <v>19.43</v>
      </c>
    </row>
    <row r="335" customHeight="1" spans="1:2">
      <c r="A335" s="158">
        <v>45708</v>
      </c>
      <c r="B335" s="159">
        <v>19.45</v>
      </c>
    </row>
    <row r="336" customHeight="1" spans="1:2">
      <c r="A336" s="158">
        <v>45715</v>
      </c>
      <c r="B336" s="159">
        <v>19.21</v>
      </c>
    </row>
    <row r="337" customHeight="1" spans="1:2">
      <c r="A337" s="158">
        <v>45722</v>
      </c>
      <c r="B337" s="159">
        <v>18.97</v>
      </c>
    </row>
    <row r="338" customHeight="1" spans="1:2">
      <c r="A338" s="158">
        <v>45729</v>
      </c>
      <c r="B338" s="159">
        <v>19.07</v>
      </c>
    </row>
    <row r="339" customHeight="1" spans="1:2">
      <c r="A339" s="158">
        <v>45736</v>
      </c>
      <c r="B339" s="159">
        <v>19.15</v>
      </c>
    </row>
    <row r="340" customHeight="1" spans="1:2">
      <c r="A340" s="158">
        <v>45743</v>
      </c>
      <c r="B340" s="159">
        <v>19.07</v>
      </c>
    </row>
    <row r="341" customHeight="1" spans="1:2">
      <c r="A341" s="158">
        <v>45750</v>
      </c>
      <c r="B341" s="159">
        <v>19.01</v>
      </c>
    </row>
    <row r="342" customHeight="1" spans="1:2">
      <c r="A342" s="158">
        <v>45757</v>
      </c>
      <c r="B342" s="159">
        <v>19</v>
      </c>
    </row>
    <row r="343" customHeight="1" spans="1:2">
      <c r="A343" s="158">
        <v>45764</v>
      </c>
      <c r="B343" s="159">
        <v>19.19</v>
      </c>
    </row>
    <row r="344" customHeight="1" spans="1:2">
      <c r="A344" s="158">
        <v>45771</v>
      </c>
      <c r="B344" s="159">
        <v>19.29</v>
      </c>
    </row>
    <row r="345" customHeight="1" spans="1:2">
      <c r="A345" s="158">
        <v>45777</v>
      </c>
      <c r="B345" s="159">
        <v>19.18</v>
      </c>
    </row>
    <row r="346" customHeight="1" spans="1:2">
      <c r="A346" s="158">
        <v>45785</v>
      </c>
      <c r="B346" s="159">
        <v>19.19</v>
      </c>
    </row>
    <row r="347" customHeight="1" spans="1:2">
      <c r="A347" s="158">
        <v>45792</v>
      </c>
      <c r="B347" s="159">
        <v>19.12</v>
      </c>
    </row>
    <row r="348" customHeight="1" spans="1:2">
      <c r="A348" s="158">
        <v>45799</v>
      </c>
      <c r="B348" s="159">
        <v>18.87</v>
      </c>
    </row>
    <row r="349" customHeight="1" spans="1:2">
      <c r="A349" s="158">
        <v>45806</v>
      </c>
      <c r="B349" s="159">
        <v>18.74</v>
      </c>
    </row>
    <row r="350" customHeight="1" spans="1:2">
      <c r="A350" s="158">
        <v>45813</v>
      </c>
      <c r="B350" s="159">
        <v>18.65</v>
      </c>
    </row>
    <row r="351" customHeight="1" spans="1:2">
      <c r="A351" s="158">
        <v>45820</v>
      </c>
      <c r="B351" s="159">
        <v>18.21</v>
      </c>
    </row>
    <row r="352" customHeight="1" spans="1:2">
      <c r="A352" s="158">
        <v>45827</v>
      </c>
      <c r="B352" s="159">
        <v>18.43</v>
      </c>
    </row>
    <row r="353" customHeight="1" spans="1:2">
      <c r="A353" s="158">
        <v>45834</v>
      </c>
      <c r="B353" s="159">
        <v>18.77</v>
      </c>
    </row>
    <row r="354" customHeight="1" spans="1:2">
      <c r="A354" s="158">
        <v>45841</v>
      </c>
      <c r="B354" s="159">
        <v>19.51</v>
      </c>
    </row>
    <row r="355" customHeight="1" spans="1:2">
      <c r="A355" s="158">
        <v>45848</v>
      </c>
      <c r="B355" s="159">
        <v>19.74</v>
      </c>
    </row>
    <row r="356" customHeight="1" spans="1:2">
      <c r="A356" s="158">
        <v>45855</v>
      </c>
      <c r="B356" s="159">
        <v>19.31</v>
      </c>
    </row>
    <row r="357" customHeight="1" spans="1:2">
      <c r="A357" s="158">
        <v>45862</v>
      </c>
      <c r="B357" s="159">
        <v>18.96</v>
      </c>
    </row>
    <row r="358" customHeight="1" spans="1:2">
      <c r="A358" s="158">
        <v>45869</v>
      </c>
      <c r="B358" s="159">
        <v>18.6</v>
      </c>
    </row>
    <row r="359" customHeight="1" spans="1:2">
      <c r="A359" s="158">
        <v>45876</v>
      </c>
      <c r="B359" s="159">
        <v>18.34</v>
      </c>
    </row>
    <row r="360" customHeight="1" spans="1:2">
      <c r="A360" s="158">
        <v>45883</v>
      </c>
      <c r="B360" s="159">
        <v>17.96</v>
      </c>
    </row>
    <row r="361" customHeight="1" spans="1:2">
      <c r="A361" s="158">
        <v>45890</v>
      </c>
      <c r="B361" s="159">
        <v>17.72</v>
      </c>
    </row>
    <row r="362" customHeight="1" spans="1:2">
      <c r="A362" s="158">
        <v>45897</v>
      </c>
      <c r="B362" s="159">
        <v>17.71</v>
      </c>
    </row>
    <row r="363" customHeight="1" spans="1:2">
      <c r="A363" s="158">
        <v>45904</v>
      </c>
      <c r="B363" s="159">
        <v>17.97</v>
      </c>
    </row>
    <row r="364" customHeight="1" spans="1:2">
      <c r="A364" s="158">
        <v>45911</v>
      </c>
      <c r="B364" s="159">
        <v>17.54</v>
      </c>
    </row>
    <row r="365" customHeight="1" spans="1:2">
      <c r="A365" s="158">
        <v>45918</v>
      </c>
      <c r="B365" s="159">
        <v>17.1</v>
      </c>
    </row>
    <row r="366" customHeight="1" spans="1:2">
      <c r="A366" s="158">
        <v>45925</v>
      </c>
      <c r="B366" s="159">
        <v>16.68</v>
      </c>
    </row>
    <row r="367" customHeight="1" spans="1:2">
      <c r="A367" s="158">
        <v>45939</v>
      </c>
      <c r="B367" s="159">
        <v>15.86</v>
      </c>
    </row>
    <row r="368" customHeight="1" spans="1:2">
      <c r="A368" s="158">
        <v>45946</v>
      </c>
      <c r="B368" s="159">
        <v>14.93</v>
      </c>
    </row>
    <row r="369" customHeight="1" spans="1:2">
      <c r="A369" s="158">
        <v>45953</v>
      </c>
      <c r="B369" s="159">
        <v>15.2</v>
      </c>
    </row>
    <row r="370" customHeight="1" spans="1:2">
      <c r="A370" s="158">
        <v>45960</v>
      </c>
      <c r="B370" s="159">
        <v>16.32</v>
      </c>
    </row>
    <row r="371" customHeight="1" spans="1:2">
      <c r="A371" s="158">
        <v>45967</v>
      </c>
      <c r="B371" s="159">
        <v>16.34</v>
      </c>
    </row>
    <row r="372" customHeight="1" spans="1:2">
      <c r="A372" s="158">
        <v>45974</v>
      </c>
      <c r="B372" s="159">
        <v>15.92</v>
      </c>
    </row>
    <row r="373" customHeight="1" spans="1:2">
      <c r="A373" s="158">
        <v>45981</v>
      </c>
      <c r="B373" s="159">
        <v>15.51</v>
      </c>
    </row>
    <row r="374" customHeight="1" spans="1:2">
      <c r="A374" s="158">
        <v>45988</v>
      </c>
      <c r="B374" s="159">
        <v>15.24</v>
      </c>
    </row>
    <row r="375" customHeight="1" spans="1:2">
      <c r="A375" s="158">
        <v>45995</v>
      </c>
      <c r="B375" s="159">
        <v>14.99</v>
      </c>
    </row>
    <row r="376" customHeight="1" spans="1:2">
      <c r="A376" s="158">
        <v>46002</v>
      </c>
      <c r="B376" s="159">
        <v>14.86</v>
      </c>
    </row>
    <row r="377" customHeight="1" spans="1:2">
      <c r="A377" s="158">
        <v>46009</v>
      </c>
      <c r="B377" s="159">
        <v>15.17</v>
      </c>
    </row>
    <row r="378" customHeight="1" spans="1:2">
      <c r="A378" s="158">
        <v>46016</v>
      </c>
      <c r="B378" s="159">
        <v>15.22</v>
      </c>
    </row>
    <row r="379" customHeight="1" spans="1:2">
      <c r="A379" s="158">
        <v>46023</v>
      </c>
      <c r="B379" s="159">
        <v>16.28</v>
      </c>
    </row>
    <row r="380" customHeight="1" spans="1:2">
      <c r="A380" s="158">
        <v>46030</v>
      </c>
      <c r="B380" s="159">
        <v>16.34</v>
      </c>
    </row>
    <row r="381" customHeight="1" spans="1:2">
      <c r="A381" s="158">
        <v>46037</v>
      </c>
      <c r="B381" s="159">
        <v>16.65</v>
      </c>
    </row>
    <row r="382" customHeight="1" spans="1:2">
      <c r="A382" s="158">
        <v>46044</v>
      </c>
      <c r="B382" s="159">
        <v>17.15</v>
      </c>
    </row>
    <row r="383" customHeight="1" spans="1:2">
      <c r="A383" s="158">
        <v>46051</v>
      </c>
      <c r="B383" s="159">
        <v>16.9</v>
      </c>
    </row>
    <row r="384" customHeight="1" spans="1:2">
      <c r="A384" s="158">
        <v>46058</v>
      </c>
      <c r="B384" s="159">
        <v>16.37</v>
      </c>
    </row>
    <row r="385" customHeight="1" spans="1:2">
      <c r="A385" s="158">
        <v>46065</v>
      </c>
      <c r="B385" s="159">
        <v>15.8</v>
      </c>
    </row>
    <row r="386" customHeight="1" spans="1:2">
      <c r="A386" s="158">
        <v>46079</v>
      </c>
      <c r="B386" s="159">
        <v>15.03</v>
      </c>
    </row>
    <row r="387" customHeight="1" spans="1:2">
      <c r="A387" s="158">
        <v>46086</v>
      </c>
      <c r="B387" s="159">
        <v>13.77</v>
      </c>
    </row>
    <row r="388" customHeight="1" spans="1:2">
      <c r="A388" s="158">
        <v>46093</v>
      </c>
      <c r="B388" s="159">
        <v>13.28</v>
      </c>
    </row>
    <row r="389" customHeight="1" spans="1:2">
      <c r="A389" s="158">
        <v>46100</v>
      </c>
      <c r="B389" s="159">
        <v>13.02</v>
      </c>
    </row>
    <row r="390" customHeight="1" spans="1:2">
      <c r="A390" s="158">
        <v>46107</v>
      </c>
      <c r="B390" s="159">
        <v>12.69</v>
      </c>
    </row>
    <row r="391" customHeight="1" spans="1:2">
      <c r="A391" s="158">
        <v>46114</v>
      </c>
      <c r="B391" s="159">
        <v>12.35</v>
      </c>
    </row>
    <row r="392" customHeight="1" spans="1:2">
      <c r="A392" s="158">
        <v>46121</v>
      </c>
      <c r="B392" s="159">
        <v>11.71</v>
      </c>
    </row>
    <row r="393" customHeight="1" spans="1:2">
      <c r="A393" s="158">
        <v>46128</v>
      </c>
      <c r="B393" s="159">
        <v>11.57</v>
      </c>
    </row>
    <row r="394" customHeight="1" spans="1:2">
      <c r="A394" s="158">
        <v>46135</v>
      </c>
      <c r="B394" s="159">
        <v>12.57</v>
      </c>
    </row>
    <row r="395" customHeight="1" spans="1:2">
      <c r="A395" s="158">
        <v>46142</v>
      </c>
      <c r="B395" s="159">
        <v>12.76</v>
      </c>
    </row>
    <row r="396" customHeight="1" spans="1:2">
      <c r="A396" s="158">
        <v>46149</v>
      </c>
      <c r="B396" s="159">
        <v>12.58</v>
      </c>
    </row>
    <row r="397" customHeight="1" spans="1:2">
      <c r="A397" s="158">
        <v>46156</v>
      </c>
      <c r="B397" s="159">
        <v>12.47</v>
      </c>
    </row>
    <row r="398" customHeight="1" spans="1:2">
      <c r="A398" s="158">
        <v>46163</v>
      </c>
      <c r="B398" s="159">
        <v>12.39</v>
      </c>
    </row>
    <row r="399" customHeight="1" spans="1:2">
      <c r="A399" s="158">
        <v>46170</v>
      </c>
      <c r="B399" s="159">
        <v>12.48</v>
      </c>
    </row>
    <row r="400" customHeight="1" spans="1:2">
      <c r="A400" s="158">
        <v>46177</v>
      </c>
      <c r="B400" s="207">
        <v>12.45</v>
      </c>
    </row>
    <row r="401" customHeight="1" spans="1:2">
      <c r="A401" s="158">
        <v>46184</v>
      </c>
      <c r="B401" s="207">
        <v>12.4</v>
      </c>
    </row>
    <row r="402" customHeight="1" spans="1:2">
      <c r="A402" s="158">
        <v>46191</v>
      </c>
      <c r="B402" s="207">
        <v>12.45</v>
      </c>
    </row>
    <row r="403" customHeight="1" spans="1:2">
      <c r="A403" s="158">
        <v>46198</v>
      </c>
      <c r="B403" s="207">
        <v>12.46</v>
      </c>
    </row>
    <row r="404" customHeight="1" spans="1:2">
      <c r="A404" s="158">
        <v>46205</v>
      </c>
      <c r="B404" s="207">
        <v>12.95</v>
      </c>
    </row>
    <row r="405" customHeight="1" spans="1:2">
      <c r="A405" s="158">
        <v>46212</v>
      </c>
      <c r="B405" s="207">
        <v>14.17</v>
      </c>
    </row>
    <row r="406" customHeight="1" spans="1:2">
      <c r="A406" s="158">
        <v>46219</v>
      </c>
      <c r="B406" s="207">
        <v>14.31</v>
      </c>
    </row>
    <row r="407" customHeight="1" spans="1:2">
      <c r="A407" s="158">
        <v>46226</v>
      </c>
      <c r="B407" s="207">
        <v>14.01</v>
      </c>
    </row>
    <row r="408" customHeight="1" spans="1:2">
      <c r="A408" s="158">
        <v>46233</v>
      </c>
      <c r="B408" s="207">
        <v>13.64</v>
      </c>
    </row>
    <row r="409" customHeight="1" spans="1:2">
      <c r="A409" s="158">
        <v>46240</v>
      </c>
      <c r="B409" s="207">
        <v>13.57</v>
      </c>
    </row>
    <row r="410" customHeight="1" spans="1:2">
      <c r="A410" s="158">
        <v>46247</v>
      </c>
      <c r="B410" s="207">
        <v>13.85</v>
      </c>
    </row>
    <row r="411" customHeight="1" spans="1:2">
      <c r="A411" s="158">
        <v>46254</v>
      </c>
      <c r="B411" s="207">
        <v>14.26</v>
      </c>
    </row>
    <row r="412" customHeight="1" spans="1:2">
      <c r="A412" s="158">
        <v>46261</v>
      </c>
      <c r="B412" s="207">
        <v>14.25</v>
      </c>
    </row>
    <row r="413" customHeight="1" spans="1:2">
      <c r="A413" s="158">
        <v>46268</v>
      </c>
      <c r="B413" s="207">
        <v>14.24</v>
      </c>
    </row>
    <row r="414" customHeight="1" spans="1:2">
      <c r="A414" s="158">
        <v>46275</v>
      </c>
      <c r="B414" s="207">
        <v>14.24</v>
      </c>
    </row>
    <row r="415" customHeight="1" spans="1:2">
      <c r="A415" s="158">
        <v>46282</v>
      </c>
      <c r="B415" s="207">
        <v>14.04</v>
      </c>
    </row>
    <row r="416" customHeight="1" spans="1:2">
      <c r="A416" s="158">
        <v>46289</v>
      </c>
      <c r="B416" s="207">
        <v>13.91</v>
      </c>
    </row>
  </sheetData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53"/>
  <sheetViews>
    <sheetView workbookViewId="0">
      <pane xSplit="1" ySplit="2" topLeftCell="B13" activePane="bottomRight" state="frozen"/>
      <selection/>
      <selection pane="topRight"/>
      <selection pane="bottomLeft"/>
      <selection pane="bottomRight" activeCell="J40" sqref="J40"/>
    </sheetView>
  </sheetViews>
  <sheetFormatPr defaultColWidth="13.125" defaultRowHeight="20" customHeight="1"/>
  <cols>
    <col min="1" max="16378" width="13.125" customWidth="1"/>
  </cols>
  <sheetData>
    <row r="2" customHeight="1" spans="1:10">
      <c r="A2" s="198" t="s">
        <v>29</v>
      </c>
      <c r="B2" s="199" t="s">
        <v>38</v>
      </c>
      <c r="C2" s="199" t="s">
        <v>30</v>
      </c>
      <c r="D2" s="199" t="s">
        <v>31</v>
      </c>
      <c r="E2" s="199" t="s">
        <v>32</v>
      </c>
      <c r="F2" s="199" t="s">
        <v>33</v>
      </c>
      <c r="G2" s="199" t="s">
        <v>34</v>
      </c>
      <c r="H2" s="199" t="s">
        <v>35</v>
      </c>
      <c r="I2" s="199" t="s">
        <v>36</v>
      </c>
      <c r="J2" s="199" t="s">
        <v>37</v>
      </c>
    </row>
    <row r="3" customHeight="1" spans="1:10">
      <c r="A3" s="182">
        <v>43466</v>
      </c>
      <c r="B3" s="200"/>
      <c r="C3" s="197">
        <v>18.85</v>
      </c>
      <c r="D3" s="197">
        <v>46.16</v>
      </c>
      <c r="E3" s="197">
        <v>46.18</v>
      </c>
      <c r="F3" s="197">
        <v>20.01</v>
      </c>
      <c r="G3" s="159">
        <v>21.42</v>
      </c>
      <c r="H3" s="159">
        <v>18.58</v>
      </c>
      <c r="I3" s="201">
        <v>21.04</v>
      </c>
      <c r="J3" s="201">
        <v>16.28</v>
      </c>
    </row>
    <row r="4" customHeight="1" spans="1:10">
      <c r="A4" s="182">
        <v>43473</v>
      </c>
      <c r="B4" s="200"/>
      <c r="C4" s="197">
        <v>18.76</v>
      </c>
      <c r="D4" s="197">
        <v>46.52</v>
      </c>
      <c r="E4" s="197">
        <v>46.49</v>
      </c>
      <c r="F4" s="197">
        <v>19.01</v>
      </c>
      <c r="G4" s="142">
        <v>19.95</v>
      </c>
      <c r="H4" s="142">
        <v>18.2</v>
      </c>
      <c r="I4" s="201">
        <v>21.45</v>
      </c>
      <c r="J4" s="201">
        <v>16.34</v>
      </c>
    </row>
    <row r="5" customHeight="1" spans="1:10">
      <c r="A5" s="182">
        <v>43480</v>
      </c>
      <c r="B5" s="200"/>
      <c r="C5" s="197">
        <v>16.61</v>
      </c>
      <c r="D5" s="197">
        <v>46.54</v>
      </c>
      <c r="E5" s="197">
        <v>44.48</v>
      </c>
      <c r="F5" s="197">
        <v>18.9</v>
      </c>
      <c r="G5" s="142">
        <v>18.98</v>
      </c>
      <c r="H5" s="142">
        <v>18.19</v>
      </c>
      <c r="I5" s="201">
        <v>21.06</v>
      </c>
      <c r="J5" s="201">
        <v>16.65</v>
      </c>
    </row>
    <row r="6" customHeight="1" spans="1:10">
      <c r="A6" s="182">
        <v>43488</v>
      </c>
      <c r="B6" s="200"/>
      <c r="C6" s="197">
        <v>15.8</v>
      </c>
      <c r="D6" s="197">
        <v>52.25</v>
      </c>
      <c r="E6" s="197">
        <v>42.74</v>
      </c>
      <c r="F6" s="197">
        <v>18.79</v>
      </c>
      <c r="G6" s="142">
        <v>18.23</v>
      </c>
      <c r="H6" s="142">
        <v>18.97</v>
      </c>
      <c r="I6" s="201">
        <v>21.05</v>
      </c>
      <c r="J6" s="201">
        <v>17.15</v>
      </c>
    </row>
    <row r="7" customHeight="1" spans="1:10">
      <c r="A7" s="182">
        <v>43494</v>
      </c>
      <c r="B7" s="200"/>
      <c r="C7" s="197">
        <v>15.86</v>
      </c>
      <c r="D7" s="197">
        <v>52.04</v>
      </c>
      <c r="E7" s="197">
        <v>40.07</v>
      </c>
      <c r="F7" s="197">
        <v>17.02</v>
      </c>
      <c r="G7" s="142">
        <v>18.69</v>
      </c>
      <c r="H7" s="142">
        <v>20.93</v>
      </c>
      <c r="I7" s="159">
        <v>21.62</v>
      </c>
      <c r="J7" s="201">
        <v>16.9</v>
      </c>
    </row>
    <row r="8" customHeight="1" spans="1:10">
      <c r="A8" s="182">
        <v>43501</v>
      </c>
      <c r="B8" s="200"/>
      <c r="C8" s="197">
        <v>16.21</v>
      </c>
      <c r="D8" s="197">
        <v>51.79</v>
      </c>
      <c r="E8" s="197">
        <v>37.39</v>
      </c>
      <c r="F8" s="197">
        <v>15.81</v>
      </c>
      <c r="G8" s="142">
        <v>19.73</v>
      </c>
      <c r="I8" s="201">
        <v>19.43</v>
      </c>
      <c r="J8" s="201">
        <v>16.37</v>
      </c>
    </row>
    <row r="9" customHeight="1" spans="1:10">
      <c r="A9" s="188">
        <v>43508</v>
      </c>
      <c r="B9" s="200"/>
      <c r="C9" s="197">
        <v>16.36</v>
      </c>
      <c r="D9" s="197">
        <v>49.39</v>
      </c>
      <c r="E9" s="197">
        <v>33.62</v>
      </c>
      <c r="F9" s="197">
        <v>15.99</v>
      </c>
      <c r="G9" s="142">
        <v>20.13</v>
      </c>
      <c r="H9" s="142">
        <v>18.67</v>
      </c>
      <c r="I9" s="201">
        <v>19.45</v>
      </c>
      <c r="J9" s="201">
        <v>15.8</v>
      </c>
    </row>
    <row r="10" customHeight="1" spans="1:10">
      <c r="A10" s="188">
        <v>43522</v>
      </c>
      <c r="B10" s="200"/>
      <c r="C10" s="197">
        <v>16.43</v>
      </c>
      <c r="D10" s="197">
        <v>49.19</v>
      </c>
      <c r="E10" s="197">
        <v>35.29</v>
      </c>
      <c r="F10" s="197">
        <v>15.94</v>
      </c>
      <c r="G10" s="142">
        <v>19.94</v>
      </c>
      <c r="H10" s="142">
        <v>18.25</v>
      </c>
      <c r="I10" s="201">
        <v>19.21</v>
      </c>
      <c r="J10" s="201">
        <v>15.03</v>
      </c>
    </row>
    <row r="11" customHeight="1" spans="1:10">
      <c r="A11" s="188">
        <v>43529</v>
      </c>
      <c r="B11" s="200"/>
      <c r="C11" s="202">
        <v>15.94</v>
      </c>
      <c r="D11" s="197">
        <v>47.95</v>
      </c>
      <c r="E11" s="197">
        <v>35</v>
      </c>
      <c r="F11" s="197">
        <v>15.74</v>
      </c>
      <c r="G11" s="142">
        <v>19.39</v>
      </c>
      <c r="H11" s="142">
        <v>18.4</v>
      </c>
      <c r="I11" s="201">
        <v>18.97</v>
      </c>
      <c r="J11" s="201">
        <v>13.77</v>
      </c>
    </row>
    <row r="12" customHeight="1" spans="1:10">
      <c r="A12" s="188">
        <v>43536</v>
      </c>
      <c r="B12" s="200"/>
      <c r="C12" s="202">
        <v>17.28</v>
      </c>
      <c r="D12" s="197">
        <v>47.46</v>
      </c>
      <c r="E12" s="197">
        <v>34.27</v>
      </c>
      <c r="F12" s="197">
        <v>15.48</v>
      </c>
      <c r="G12" s="201">
        <v>19.22</v>
      </c>
      <c r="H12" s="159">
        <v>18.61</v>
      </c>
      <c r="I12" s="201">
        <v>19.07</v>
      </c>
      <c r="J12" s="201">
        <v>13.28</v>
      </c>
    </row>
    <row r="13" customHeight="1" spans="1:10">
      <c r="A13" s="188">
        <v>43543</v>
      </c>
      <c r="B13" s="200"/>
      <c r="C13" s="202">
        <v>18.59</v>
      </c>
      <c r="D13" s="197">
        <v>46.51</v>
      </c>
      <c r="E13" s="197">
        <v>32.93</v>
      </c>
      <c r="F13" s="197">
        <v>16.19</v>
      </c>
      <c r="G13" s="142">
        <v>18.84</v>
      </c>
      <c r="H13" s="201">
        <v>19.05</v>
      </c>
      <c r="I13" s="201">
        <v>19.15</v>
      </c>
      <c r="J13" s="201">
        <v>13.02</v>
      </c>
    </row>
    <row r="14" customHeight="1" spans="1:10">
      <c r="A14" s="188">
        <v>43550</v>
      </c>
      <c r="B14" s="200"/>
      <c r="C14" s="202">
        <v>19.75</v>
      </c>
      <c r="D14" s="197">
        <v>45.3</v>
      </c>
      <c r="E14" s="197">
        <v>30.49</v>
      </c>
      <c r="F14" s="197">
        <v>16.62</v>
      </c>
      <c r="G14" s="201">
        <v>18.44</v>
      </c>
      <c r="H14" s="142">
        <v>19.62</v>
      </c>
      <c r="I14" s="201">
        <v>19.07</v>
      </c>
      <c r="J14" s="201">
        <v>12.69</v>
      </c>
    </row>
    <row r="15" customHeight="1" spans="1:10">
      <c r="A15" s="188">
        <v>43557</v>
      </c>
      <c r="B15" s="200"/>
      <c r="C15" s="202">
        <v>19.92</v>
      </c>
      <c r="D15" s="197">
        <v>43.66</v>
      </c>
      <c r="E15" s="197">
        <v>26.42</v>
      </c>
      <c r="F15" s="197">
        <v>16.93</v>
      </c>
      <c r="G15" s="201">
        <v>18</v>
      </c>
      <c r="H15" s="201">
        <v>19.64</v>
      </c>
      <c r="I15" s="201">
        <v>19.01</v>
      </c>
      <c r="J15" s="201">
        <v>12.35</v>
      </c>
    </row>
    <row r="16" customHeight="1" spans="1:10">
      <c r="A16" s="188">
        <v>43564</v>
      </c>
      <c r="B16" s="200"/>
      <c r="C16" s="202">
        <v>20.28</v>
      </c>
      <c r="D16" s="197">
        <v>43.54</v>
      </c>
      <c r="E16" s="197">
        <v>29.98</v>
      </c>
      <c r="F16" s="197">
        <v>16.72</v>
      </c>
      <c r="G16" s="201">
        <v>17.77</v>
      </c>
      <c r="H16" s="201">
        <v>19.56</v>
      </c>
      <c r="I16" s="201">
        <v>19</v>
      </c>
      <c r="J16" s="201">
        <v>11.71</v>
      </c>
    </row>
    <row r="17" customHeight="1" spans="1:10">
      <c r="A17" s="188">
        <v>43571</v>
      </c>
      <c r="B17" s="200"/>
      <c r="C17" s="202">
        <v>20.23</v>
      </c>
      <c r="D17" s="197">
        <v>42.52</v>
      </c>
      <c r="E17" s="197">
        <v>28.87</v>
      </c>
      <c r="F17" s="197">
        <v>18.45</v>
      </c>
      <c r="G17" s="201">
        <v>18.49</v>
      </c>
      <c r="H17" s="201">
        <v>19.46</v>
      </c>
      <c r="I17" s="201">
        <v>19.19</v>
      </c>
      <c r="J17" s="201">
        <v>11.57</v>
      </c>
    </row>
    <row r="18" customHeight="1" spans="1:10">
      <c r="A18" s="188">
        <v>43578</v>
      </c>
      <c r="B18" s="200"/>
      <c r="C18" s="202">
        <v>20.23</v>
      </c>
      <c r="D18" s="197">
        <v>41.76</v>
      </c>
      <c r="E18" s="197">
        <v>27.11</v>
      </c>
      <c r="F18" s="197">
        <v>19.38</v>
      </c>
      <c r="G18" s="201">
        <v>18.46</v>
      </c>
      <c r="H18" s="201">
        <v>19.35</v>
      </c>
      <c r="I18" s="201">
        <v>19.29</v>
      </c>
      <c r="J18" s="201">
        <v>12.57</v>
      </c>
    </row>
    <row r="19" customHeight="1" spans="1:10">
      <c r="A19" s="188">
        <v>43585</v>
      </c>
      <c r="B19" s="200"/>
      <c r="C19" s="202">
        <v>20.28</v>
      </c>
      <c r="D19" s="197">
        <v>40.26</v>
      </c>
      <c r="E19" s="197">
        <v>26.18</v>
      </c>
      <c r="F19" s="197">
        <v>19.79</v>
      </c>
      <c r="G19" s="142">
        <v>18.28</v>
      </c>
      <c r="H19" s="201">
        <v>19.29</v>
      </c>
      <c r="I19" s="201">
        <v>19.18</v>
      </c>
      <c r="J19" s="201">
        <v>12.76</v>
      </c>
    </row>
    <row r="20" customHeight="1" spans="1:10">
      <c r="A20" s="188">
        <v>43592</v>
      </c>
      <c r="B20" s="200"/>
      <c r="C20" s="202">
        <v>20.28</v>
      </c>
      <c r="D20" s="197">
        <v>36.63</v>
      </c>
      <c r="E20" s="197">
        <v>23.94</v>
      </c>
      <c r="F20" s="197">
        <v>20.12</v>
      </c>
      <c r="G20" s="201">
        <v>18.05</v>
      </c>
      <c r="H20" s="142">
        <v>19.39</v>
      </c>
      <c r="I20" s="201">
        <v>19.19</v>
      </c>
      <c r="J20" s="201">
        <v>12.58</v>
      </c>
    </row>
    <row r="21" customHeight="1" spans="1:10">
      <c r="A21" s="188">
        <v>43599</v>
      </c>
      <c r="B21" s="200"/>
      <c r="C21" s="202">
        <v>20.27</v>
      </c>
      <c r="D21" s="197">
        <v>36.43</v>
      </c>
      <c r="E21" s="197">
        <v>23.15</v>
      </c>
      <c r="F21" s="197">
        <v>20.57</v>
      </c>
      <c r="G21" s="142">
        <v>18.38</v>
      </c>
      <c r="H21" s="201">
        <v>19.61</v>
      </c>
      <c r="I21" s="201">
        <v>19.12</v>
      </c>
      <c r="J21" s="201">
        <v>12.47</v>
      </c>
    </row>
    <row r="22" customHeight="1" spans="1:10">
      <c r="A22" s="188">
        <v>43606</v>
      </c>
      <c r="B22" s="200"/>
      <c r="C22" s="202">
        <v>19.79</v>
      </c>
      <c r="D22" s="142">
        <v>38.21</v>
      </c>
      <c r="E22" s="197">
        <v>22.37</v>
      </c>
      <c r="F22" s="197">
        <v>20.6</v>
      </c>
      <c r="G22" s="201">
        <v>18.44</v>
      </c>
      <c r="H22" s="142">
        <v>20.67</v>
      </c>
      <c r="I22" s="201">
        <v>18.87</v>
      </c>
      <c r="J22" s="201">
        <v>12.39</v>
      </c>
    </row>
    <row r="23" customHeight="1" spans="1:10">
      <c r="A23" s="188">
        <v>43613</v>
      </c>
      <c r="B23" s="200"/>
      <c r="C23" s="202">
        <v>19.79</v>
      </c>
      <c r="D23" s="197">
        <v>41.03</v>
      </c>
      <c r="E23" s="197">
        <v>21.18</v>
      </c>
      <c r="F23" s="197">
        <v>20.71</v>
      </c>
      <c r="G23" s="201">
        <v>18.32</v>
      </c>
      <c r="H23" s="201">
        <v>22.44</v>
      </c>
      <c r="I23" s="201">
        <v>18.74</v>
      </c>
      <c r="J23" s="201">
        <v>12.48</v>
      </c>
    </row>
    <row r="24" customHeight="1" spans="1:10">
      <c r="A24" s="188">
        <v>43620</v>
      </c>
      <c r="B24" s="200"/>
      <c r="C24" s="202">
        <v>19.82</v>
      </c>
      <c r="D24" s="197">
        <v>41.93</v>
      </c>
      <c r="E24" s="197">
        <v>19.79</v>
      </c>
      <c r="F24" s="197">
        <v>20.61</v>
      </c>
      <c r="G24" s="142">
        <v>18.25</v>
      </c>
      <c r="H24" s="159">
        <v>23.65</v>
      </c>
      <c r="I24" s="159">
        <v>18.65</v>
      </c>
      <c r="J24" s="201">
        <v>12.45</v>
      </c>
    </row>
    <row r="25" customHeight="1" spans="1:10">
      <c r="A25" s="188">
        <v>43627</v>
      </c>
      <c r="B25" s="200"/>
      <c r="C25" s="202">
        <v>19.9</v>
      </c>
      <c r="D25" s="197">
        <v>44.32</v>
      </c>
      <c r="E25" s="197">
        <v>18.62</v>
      </c>
      <c r="F25" s="197">
        <v>21.11</v>
      </c>
      <c r="G25" s="201">
        <v>18.44</v>
      </c>
      <c r="H25" s="142">
        <v>24.31</v>
      </c>
      <c r="I25" s="201">
        <v>18.21</v>
      </c>
      <c r="J25" s="201">
        <v>12.4</v>
      </c>
    </row>
    <row r="26" customHeight="1" spans="1:10">
      <c r="A26" s="188">
        <v>43634</v>
      </c>
      <c r="B26" s="200"/>
      <c r="C26" s="202">
        <v>19.95</v>
      </c>
      <c r="D26" s="197">
        <v>45.67</v>
      </c>
      <c r="E26" s="197">
        <v>16.67</v>
      </c>
      <c r="F26" s="197">
        <v>22.63</v>
      </c>
      <c r="G26" s="201">
        <v>17.96</v>
      </c>
      <c r="H26" s="201">
        <v>23.82</v>
      </c>
      <c r="I26" s="201">
        <v>18.43</v>
      </c>
      <c r="J26" s="201">
        <v>12.45</v>
      </c>
    </row>
    <row r="27" customHeight="1" spans="1:10">
      <c r="A27" s="188">
        <v>43641</v>
      </c>
      <c r="B27" s="200"/>
      <c r="C27" s="197">
        <v>20.16</v>
      </c>
      <c r="D27" s="197">
        <v>46.8</v>
      </c>
      <c r="E27" s="197">
        <v>21.71</v>
      </c>
      <c r="F27" s="197">
        <v>25.07</v>
      </c>
      <c r="G27" s="201">
        <v>18.13</v>
      </c>
      <c r="H27" s="201">
        <v>22.85</v>
      </c>
      <c r="I27" s="201">
        <v>18.77</v>
      </c>
      <c r="J27" s="201">
        <v>12.46</v>
      </c>
    </row>
    <row r="28" customHeight="1" spans="1:10">
      <c r="A28" s="188">
        <v>43648</v>
      </c>
      <c r="B28" s="200"/>
      <c r="C28" s="197">
        <v>22.92</v>
      </c>
      <c r="D28" s="197">
        <v>49.04</v>
      </c>
      <c r="E28" s="197">
        <v>20.83</v>
      </c>
      <c r="F28" s="197">
        <v>28.86</v>
      </c>
      <c r="G28" s="201">
        <v>18.04</v>
      </c>
      <c r="H28" s="159">
        <v>23.21</v>
      </c>
      <c r="I28" s="201">
        <v>19.51</v>
      </c>
      <c r="J28" s="201">
        <v>12.95</v>
      </c>
    </row>
    <row r="29" customHeight="1" spans="1:10">
      <c r="A29" s="188">
        <v>43655</v>
      </c>
      <c r="B29" s="200"/>
      <c r="C29" s="197">
        <v>23.21</v>
      </c>
      <c r="D29" s="197">
        <v>49.21</v>
      </c>
      <c r="E29" s="197">
        <v>19.91</v>
      </c>
      <c r="F29" s="197">
        <v>30.33</v>
      </c>
      <c r="G29" s="201">
        <v>18.01</v>
      </c>
      <c r="H29" s="201">
        <v>23.92</v>
      </c>
      <c r="I29" s="201">
        <v>19.74</v>
      </c>
      <c r="J29" s="201">
        <v>14.17</v>
      </c>
    </row>
    <row r="30" customHeight="1" spans="1:10">
      <c r="A30" s="188">
        <v>43662</v>
      </c>
      <c r="B30" s="200"/>
      <c r="C30" s="197">
        <v>24.15</v>
      </c>
      <c r="D30" s="197">
        <v>47.98</v>
      </c>
      <c r="E30" s="197">
        <v>20.77</v>
      </c>
      <c r="F30" s="197">
        <v>29.27</v>
      </c>
      <c r="G30" s="201">
        <v>18.99</v>
      </c>
      <c r="H30" s="201">
        <v>24.48</v>
      </c>
      <c r="I30" s="201">
        <v>19.31</v>
      </c>
      <c r="J30" s="201">
        <v>14.31</v>
      </c>
    </row>
    <row r="31" customHeight="1" spans="1:10">
      <c r="A31" s="188">
        <v>43669</v>
      </c>
      <c r="B31" s="197">
        <v>17.04</v>
      </c>
      <c r="C31" s="197">
        <v>25.21</v>
      </c>
      <c r="D31" s="197">
        <v>48.47</v>
      </c>
      <c r="E31" s="197">
        <v>20.13</v>
      </c>
      <c r="F31" s="197">
        <v>27.72</v>
      </c>
      <c r="G31" s="159">
        <v>21.17</v>
      </c>
      <c r="H31" s="201">
        <v>24.74</v>
      </c>
      <c r="I31" s="159">
        <v>18.96</v>
      </c>
      <c r="J31" s="201">
        <v>14.01</v>
      </c>
    </row>
    <row r="32" customHeight="1" spans="1:10">
      <c r="A32" s="188">
        <v>43676</v>
      </c>
      <c r="B32" s="197">
        <v>17.71</v>
      </c>
      <c r="C32" s="197">
        <v>25.25</v>
      </c>
      <c r="D32" s="197">
        <v>48.43</v>
      </c>
      <c r="E32" s="197">
        <v>19.64</v>
      </c>
      <c r="F32" s="197">
        <v>27.83</v>
      </c>
      <c r="G32" s="159">
        <v>22.23</v>
      </c>
      <c r="H32" s="159">
        <v>25.09</v>
      </c>
      <c r="I32" s="201">
        <v>18.6</v>
      </c>
      <c r="J32" s="201">
        <v>13.64</v>
      </c>
    </row>
    <row r="33" customHeight="1" spans="1:10">
      <c r="A33" s="188">
        <v>43683</v>
      </c>
      <c r="B33" s="197">
        <v>18.24</v>
      </c>
      <c r="C33" s="197">
        <v>25.63</v>
      </c>
      <c r="D33" s="197">
        <v>47.62</v>
      </c>
      <c r="E33" s="197">
        <v>19.03</v>
      </c>
      <c r="F33" s="197">
        <v>27.42</v>
      </c>
      <c r="G33" s="201">
        <v>22.08</v>
      </c>
      <c r="H33" s="159">
        <v>25.87</v>
      </c>
      <c r="I33" s="201">
        <v>18.34</v>
      </c>
      <c r="J33" s="201">
        <v>13.57</v>
      </c>
    </row>
    <row r="34" customHeight="1" spans="1:10">
      <c r="A34" s="188">
        <v>43690</v>
      </c>
      <c r="B34" s="197">
        <v>18.2</v>
      </c>
      <c r="C34" s="197">
        <v>27.32</v>
      </c>
      <c r="D34" s="197">
        <v>47.74</v>
      </c>
      <c r="E34" s="197">
        <v>18.9</v>
      </c>
      <c r="F34" s="197">
        <v>27.13</v>
      </c>
      <c r="G34" s="159">
        <v>21.79</v>
      </c>
      <c r="H34" s="201">
        <v>27.05</v>
      </c>
      <c r="I34" s="201">
        <v>17.96</v>
      </c>
      <c r="J34" s="201">
        <v>13.85</v>
      </c>
    </row>
    <row r="35" customHeight="1" spans="1:10">
      <c r="A35" s="188">
        <v>43697</v>
      </c>
      <c r="B35" s="197">
        <v>18.13</v>
      </c>
      <c r="C35" s="197">
        <v>29.06</v>
      </c>
      <c r="D35" s="197">
        <v>47.02</v>
      </c>
      <c r="E35" s="197">
        <v>18.39</v>
      </c>
      <c r="F35" s="197">
        <v>28.24</v>
      </c>
      <c r="G35" s="159">
        <v>21.76</v>
      </c>
      <c r="H35" s="159">
        <v>26.74</v>
      </c>
      <c r="I35" s="201">
        <v>17.72</v>
      </c>
      <c r="J35" s="201">
        <v>14.26</v>
      </c>
    </row>
    <row r="36" customHeight="1" spans="1:10">
      <c r="A36" s="188">
        <v>43704</v>
      </c>
      <c r="B36" s="197">
        <v>18.12</v>
      </c>
      <c r="C36" s="197">
        <v>33.57</v>
      </c>
      <c r="D36" s="197">
        <v>46.79</v>
      </c>
      <c r="E36" s="197">
        <v>18.14</v>
      </c>
      <c r="F36" s="197">
        <v>30.37</v>
      </c>
      <c r="G36" s="159">
        <v>21.54</v>
      </c>
      <c r="H36" s="159">
        <v>25.56</v>
      </c>
      <c r="I36" s="201">
        <v>17.71</v>
      </c>
      <c r="J36" s="201">
        <v>14.25</v>
      </c>
    </row>
    <row r="37" customHeight="1" spans="1:10">
      <c r="A37" s="188">
        <v>43711</v>
      </c>
      <c r="B37" s="197">
        <v>18.7</v>
      </c>
      <c r="C37" s="197">
        <v>36.03</v>
      </c>
      <c r="D37" s="197">
        <v>46.12</v>
      </c>
      <c r="E37" s="197">
        <v>17.52</v>
      </c>
      <c r="F37" s="197">
        <v>30.31</v>
      </c>
      <c r="G37" s="201">
        <v>21.27</v>
      </c>
      <c r="H37" s="159">
        <v>25.37</v>
      </c>
      <c r="I37" s="201">
        <v>17.97</v>
      </c>
      <c r="J37" s="201">
        <v>14.24</v>
      </c>
    </row>
    <row r="38" customHeight="1" spans="1:10">
      <c r="A38" s="188">
        <v>43718</v>
      </c>
      <c r="B38" s="197">
        <v>19.11</v>
      </c>
      <c r="C38" s="197">
        <v>36.18</v>
      </c>
      <c r="D38" s="197">
        <v>44.86</v>
      </c>
      <c r="E38" s="197">
        <v>16.61</v>
      </c>
      <c r="F38" s="197">
        <v>30.23</v>
      </c>
      <c r="G38" s="201">
        <v>21.06</v>
      </c>
      <c r="H38" s="159">
        <v>25.34</v>
      </c>
      <c r="I38" s="201">
        <v>17.54</v>
      </c>
      <c r="J38" s="201">
        <v>14.24</v>
      </c>
    </row>
    <row r="39" customHeight="1" spans="1:10">
      <c r="A39" s="188">
        <v>43725</v>
      </c>
      <c r="B39" s="197">
        <v>19.49</v>
      </c>
      <c r="C39" s="197">
        <v>36.67</v>
      </c>
      <c r="D39" s="197">
        <v>42.73</v>
      </c>
      <c r="E39" s="197">
        <v>15.7</v>
      </c>
      <c r="F39" s="197">
        <v>30.62</v>
      </c>
      <c r="G39" s="159">
        <v>20.76</v>
      </c>
      <c r="H39" s="201">
        <v>24.82</v>
      </c>
      <c r="I39" s="201">
        <v>17.1</v>
      </c>
      <c r="J39" s="201">
        <v>14.04</v>
      </c>
    </row>
    <row r="40" customHeight="1" spans="1:10">
      <c r="A40" s="188">
        <v>43732</v>
      </c>
      <c r="B40" s="197">
        <v>19.46</v>
      </c>
      <c r="C40" s="197">
        <v>37.22</v>
      </c>
      <c r="D40" s="197">
        <v>43.06</v>
      </c>
      <c r="E40" s="197">
        <v>14.23</v>
      </c>
      <c r="F40" s="197">
        <v>30.88</v>
      </c>
      <c r="G40" s="201">
        <v>20.47</v>
      </c>
      <c r="H40" s="159">
        <v>23.95</v>
      </c>
      <c r="I40" s="201">
        <v>16.68</v>
      </c>
      <c r="J40" s="201">
        <v>13.91</v>
      </c>
    </row>
    <row r="41" customHeight="1" spans="1:10">
      <c r="A41" s="182">
        <v>43740</v>
      </c>
      <c r="B41" s="197">
        <v>19.52</v>
      </c>
      <c r="C41" s="197">
        <v>37.44</v>
      </c>
      <c r="D41" s="197">
        <v>41.42</v>
      </c>
      <c r="E41" s="197">
        <v>14.04</v>
      </c>
      <c r="F41" s="197">
        <v>32.82</v>
      </c>
      <c r="G41" s="201"/>
      <c r="H41" s="201"/>
      <c r="I41" s="201"/>
      <c r="J41" s="201"/>
    </row>
    <row r="42" customHeight="1" spans="1:10">
      <c r="A42" s="182">
        <v>43747</v>
      </c>
      <c r="B42" s="197">
        <v>19.57</v>
      </c>
      <c r="C42" s="197">
        <v>45.06</v>
      </c>
      <c r="D42" s="197">
        <v>38.41</v>
      </c>
      <c r="E42" s="197">
        <v>17.88</v>
      </c>
      <c r="F42" s="197">
        <v>34.36</v>
      </c>
      <c r="G42" s="159">
        <v>20.03</v>
      </c>
      <c r="H42" s="201">
        <v>23.24</v>
      </c>
      <c r="I42" s="201">
        <v>15.86</v>
      </c>
      <c r="J42" s="201"/>
    </row>
    <row r="43" customHeight="1" spans="1:10">
      <c r="A43" s="182">
        <v>43754</v>
      </c>
      <c r="B43" s="197">
        <v>19.52</v>
      </c>
      <c r="C43" s="197">
        <v>47.07</v>
      </c>
      <c r="D43" s="197">
        <v>36.99</v>
      </c>
      <c r="E43" s="197">
        <v>19.1</v>
      </c>
      <c r="F43" s="197">
        <v>36.09</v>
      </c>
      <c r="G43" s="159">
        <v>19.86</v>
      </c>
      <c r="H43" s="159">
        <v>22.97</v>
      </c>
      <c r="I43" s="201">
        <v>14.93</v>
      </c>
      <c r="J43" s="201"/>
    </row>
    <row r="44" customHeight="1" spans="1:10">
      <c r="A44" s="182">
        <v>43761</v>
      </c>
      <c r="B44" s="197">
        <v>19.53</v>
      </c>
      <c r="C44" s="197">
        <v>53.21</v>
      </c>
      <c r="D44" s="197">
        <v>35.95</v>
      </c>
      <c r="E44" s="197">
        <v>21.88</v>
      </c>
      <c r="F44" s="197">
        <v>35.11</v>
      </c>
      <c r="G44" s="201">
        <v>19.42</v>
      </c>
      <c r="H44" s="159">
        <v>22.47</v>
      </c>
      <c r="I44" s="201">
        <v>15.2</v>
      </c>
      <c r="J44" s="201"/>
    </row>
    <row r="45" customHeight="1" spans="1:10">
      <c r="A45" s="182">
        <v>43768</v>
      </c>
      <c r="B45" s="197">
        <v>19.43</v>
      </c>
      <c r="C45" s="197">
        <v>54.38</v>
      </c>
      <c r="D45" s="197">
        <v>36.38</v>
      </c>
      <c r="E45" s="197">
        <v>21.68</v>
      </c>
      <c r="F45" s="197">
        <v>33.7</v>
      </c>
      <c r="G45" s="159">
        <v>18.83</v>
      </c>
      <c r="H45" s="201">
        <v>22.46</v>
      </c>
      <c r="I45" s="201">
        <v>16.32</v>
      </c>
      <c r="J45" s="201"/>
    </row>
    <row r="46" customHeight="1" spans="1:10">
      <c r="A46" s="182">
        <v>43775</v>
      </c>
      <c r="B46" s="197">
        <v>19.48</v>
      </c>
      <c r="C46" s="197">
        <v>52.72</v>
      </c>
      <c r="D46" s="197">
        <v>36.86</v>
      </c>
      <c r="E46" s="197">
        <v>22.97</v>
      </c>
      <c r="F46" s="197">
        <v>31.99</v>
      </c>
      <c r="G46" s="201">
        <v>18.86</v>
      </c>
      <c r="H46" s="159">
        <v>22.16</v>
      </c>
      <c r="I46" s="201">
        <v>16.34</v>
      </c>
      <c r="J46" s="201"/>
    </row>
    <row r="47" customHeight="1" spans="1:10">
      <c r="A47" s="182">
        <v>43782</v>
      </c>
      <c r="B47" s="197">
        <v>19.5</v>
      </c>
      <c r="C47" s="197">
        <v>47.15</v>
      </c>
      <c r="D47" s="197">
        <v>37.15</v>
      </c>
      <c r="E47" s="197">
        <v>23.26</v>
      </c>
      <c r="F47" s="197">
        <v>31.02</v>
      </c>
      <c r="G47" s="201">
        <v>18.52</v>
      </c>
      <c r="H47" s="201">
        <v>21.65</v>
      </c>
      <c r="I47" s="201">
        <v>15.92</v>
      </c>
      <c r="J47" s="201"/>
    </row>
    <row r="48" customHeight="1" spans="1:10">
      <c r="A48" s="182">
        <v>43789</v>
      </c>
      <c r="B48" s="197">
        <v>19.24</v>
      </c>
      <c r="C48" s="197">
        <v>42.61</v>
      </c>
      <c r="D48" s="197">
        <v>37.97</v>
      </c>
      <c r="E48" s="197">
        <v>24.17</v>
      </c>
      <c r="F48" s="197">
        <v>29.46</v>
      </c>
      <c r="G48" s="201">
        <v>18.87</v>
      </c>
      <c r="H48" s="201">
        <v>21.28</v>
      </c>
      <c r="I48" s="201">
        <v>15.51</v>
      </c>
      <c r="J48" s="201"/>
    </row>
    <row r="49" customHeight="1" spans="1:10">
      <c r="A49" s="182">
        <v>43796</v>
      </c>
      <c r="B49" s="197">
        <v>19.27</v>
      </c>
      <c r="C49" s="197">
        <v>40.96</v>
      </c>
      <c r="D49" s="197">
        <v>41.96</v>
      </c>
      <c r="E49" s="197">
        <v>23.92</v>
      </c>
      <c r="F49" s="197">
        <v>28.6</v>
      </c>
      <c r="G49" s="201">
        <v>18.14</v>
      </c>
      <c r="H49" s="201">
        <v>21.56</v>
      </c>
      <c r="I49" s="201">
        <v>15.24</v>
      </c>
      <c r="J49" s="201"/>
    </row>
    <row r="50" customHeight="1" spans="1:10">
      <c r="A50" s="182">
        <v>43803</v>
      </c>
      <c r="B50" s="197">
        <v>19.43</v>
      </c>
      <c r="C50" s="197">
        <v>44.47</v>
      </c>
      <c r="D50" s="197">
        <v>41.72</v>
      </c>
      <c r="E50" s="197">
        <v>22.78</v>
      </c>
      <c r="F50" s="197">
        <v>29.06</v>
      </c>
      <c r="G50" s="203">
        <v>18.26</v>
      </c>
      <c r="H50" s="201">
        <v>21.26</v>
      </c>
      <c r="I50" s="201">
        <v>14.99</v>
      </c>
      <c r="J50" s="201"/>
    </row>
    <row r="51" customHeight="1" spans="1:10">
      <c r="A51" s="182">
        <v>43810</v>
      </c>
      <c r="B51" s="197">
        <v>19.02</v>
      </c>
      <c r="C51" s="197">
        <v>43.22</v>
      </c>
      <c r="D51" s="197">
        <v>43.09</v>
      </c>
      <c r="E51" s="197">
        <v>21.57</v>
      </c>
      <c r="F51" s="197">
        <v>26.21</v>
      </c>
      <c r="G51" s="201">
        <v>18.49</v>
      </c>
      <c r="H51" s="203">
        <v>20.8</v>
      </c>
      <c r="I51" s="201">
        <v>14.86</v>
      </c>
      <c r="J51" s="201"/>
    </row>
    <row r="52" customHeight="1" spans="1:10">
      <c r="A52" s="182">
        <v>43817</v>
      </c>
      <c r="B52" s="197">
        <v>18.95</v>
      </c>
      <c r="C52" s="197">
        <v>43.44</v>
      </c>
      <c r="D52" s="197">
        <v>43.32</v>
      </c>
      <c r="E52" s="197">
        <v>20.73</v>
      </c>
      <c r="F52" s="197">
        <v>22.82</v>
      </c>
      <c r="G52" s="161">
        <v>19.12</v>
      </c>
      <c r="H52" s="201">
        <v>20.96</v>
      </c>
      <c r="I52" s="201">
        <v>15.17</v>
      </c>
      <c r="J52" s="201"/>
    </row>
    <row r="53" customHeight="1" spans="1:10">
      <c r="A53" s="182">
        <v>43824</v>
      </c>
      <c r="B53" s="197">
        <v>18.95</v>
      </c>
      <c r="C53" s="197">
        <v>43.92</v>
      </c>
      <c r="D53" s="197">
        <v>45.54</v>
      </c>
      <c r="E53" s="197">
        <v>21.49</v>
      </c>
      <c r="F53" s="197">
        <v>23.1</v>
      </c>
      <c r="G53" s="161">
        <v>19.03</v>
      </c>
      <c r="H53" s="161">
        <v>20.73</v>
      </c>
      <c r="I53" s="201">
        <v>15.22</v>
      </c>
      <c r="J53" s="201"/>
    </row>
  </sheetData>
  <pageMargins left="0.75" right="0.75" top="1" bottom="1" header="0.5" footer="0.5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J11" sqref="J11"/>
    </sheetView>
  </sheetViews>
  <sheetFormatPr defaultColWidth="9" defaultRowHeight="13.5"/>
  <cols>
    <col min="2" max="7" width="12" customWidth="1"/>
    <col min="8" max="8" width="11.5083333333333" customWidth="1"/>
    <col min="9" max="9" width="11.7583333333333" customWidth="1"/>
    <col min="10" max="10" width="10.625" customWidth="1"/>
  </cols>
  <sheetData>
    <row r="1" ht="20" customHeight="1"/>
    <row r="2" ht="20" customHeight="1" spans="1:10">
      <c r="A2" s="195"/>
      <c r="B2" s="196" t="s">
        <v>38</v>
      </c>
      <c r="C2" s="196" t="s">
        <v>30</v>
      </c>
      <c r="D2" s="196" t="s">
        <v>31</v>
      </c>
      <c r="E2" s="195" t="s">
        <v>32</v>
      </c>
      <c r="F2" s="196" t="s">
        <v>33</v>
      </c>
      <c r="G2" s="196" t="s">
        <v>34</v>
      </c>
      <c r="H2" s="196" t="s">
        <v>35</v>
      </c>
      <c r="I2" s="196" t="s">
        <v>36</v>
      </c>
      <c r="J2" s="196" t="s">
        <v>37</v>
      </c>
    </row>
    <row r="3" ht="20" customHeight="1" spans="1:10">
      <c r="A3" s="196" t="s">
        <v>63</v>
      </c>
      <c r="B3" s="197"/>
      <c r="C3" s="197">
        <v>17.505</v>
      </c>
      <c r="D3" s="197">
        <v>47.8675</v>
      </c>
      <c r="E3" s="197">
        <v>44.9725</v>
      </c>
      <c r="F3" s="197">
        <v>19.1775</v>
      </c>
      <c r="G3" s="197">
        <v>20.685</v>
      </c>
      <c r="H3" s="197">
        <v>18.49</v>
      </c>
      <c r="I3" s="197">
        <v>21.15</v>
      </c>
      <c r="J3" s="197">
        <v>16.66</v>
      </c>
    </row>
    <row r="4" ht="20" customHeight="1" spans="1:10">
      <c r="A4" s="196" t="s">
        <v>64</v>
      </c>
      <c r="B4" s="197"/>
      <c r="C4" s="197">
        <v>16.16</v>
      </c>
      <c r="D4" s="197">
        <v>50.072</v>
      </c>
      <c r="E4" s="197">
        <v>36.274</v>
      </c>
      <c r="F4" s="197">
        <v>16.1</v>
      </c>
      <c r="G4" s="197">
        <v>19.152</v>
      </c>
      <c r="H4" s="197">
        <v>19.28</v>
      </c>
      <c r="I4" s="197">
        <v>19.93</v>
      </c>
      <c r="J4" s="197">
        <v>15.73</v>
      </c>
    </row>
    <row r="5" ht="20" customHeight="1" spans="1:10">
      <c r="A5" s="196" t="s">
        <v>65</v>
      </c>
      <c r="B5" s="197"/>
      <c r="C5" s="197">
        <v>18.885</v>
      </c>
      <c r="D5" s="197">
        <v>45.7325</v>
      </c>
      <c r="E5" s="197">
        <v>31.0275</v>
      </c>
      <c r="F5" s="197">
        <v>16.305</v>
      </c>
      <c r="G5" s="197">
        <v>19.35</v>
      </c>
      <c r="H5" s="197">
        <v>18.92</v>
      </c>
      <c r="I5" s="197">
        <v>19.07</v>
      </c>
      <c r="J5" s="197">
        <v>13.19</v>
      </c>
    </row>
    <row r="6" ht="20" customHeight="1" spans="1:10">
      <c r="A6" s="196" t="s">
        <v>66</v>
      </c>
      <c r="B6" s="197"/>
      <c r="C6" s="197">
        <v>20.2466666666667</v>
      </c>
      <c r="D6" s="197">
        <v>42.6066666666667</v>
      </c>
      <c r="E6" s="197">
        <v>28.6533333333333</v>
      </c>
      <c r="F6" s="197">
        <v>18.1833333333333</v>
      </c>
      <c r="G6" s="197">
        <v>18.18</v>
      </c>
      <c r="H6" s="197">
        <v>19.5</v>
      </c>
      <c r="I6" s="197">
        <v>19.12</v>
      </c>
      <c r="J6" s="197">
        <v>12.19</v>
      </c>
    </row>
    <row r="7" ht="20" customHeight="1" spans="1:10">
      <c r="A7" s="196" t="s">
        <v>67</v>
      </c>
      <c r="B7" s="197"/>
      <c r="C7" s="197">
        <v>20.082</v>
      </c>
      <c r="D7" s="197">
        <v>38.512</v>
      </c>
      <c r="E7" s="197">
        <v>23.364</v>
      </c>
      <c r="F7" s="197">
        <v>20.358</v>
      </c>
      <c r="G7" s="197">
        <v>18.29</v>
      </c>
      <c r="H7" s="197">
        <v>19.74</v>
      </c>
      <c r="I7" s="197">
        <v>18.98</v>
      </c>
      <c r="J7" s="197">
        <v>12.48</v>
      </c>
    </row>
    <row r="8" ht="20" customHeight="1" spans="1:10">
      <c r="A8" s="196" t="s">
        <v>68</v>
      </c>
      <c r="B8" s="197"/>
      <c r="C8" s="197">
        <v>19.9575</v>
      </c>
      <c r="D8" s="197">
        <v>44.68</v>
      </c>
      <c r="E8" s="197">
        <v>19.1975</v>
      </c>
      <c r="F8" s="197">
        <v>22.355</v>
      </c>
      <c r="G8" s="197">
        <v>18.28</v>
      </c>
      <c r="H8" s="197">
        <v>23.66</v>
      </c>
      <c r="I8" s="197">
        <v>18.52</v>
      </c>
      <c r="J8" s="197">
        <v>12.44</v>
      </c>
    </row>
    <row r="9" ht="20" customHeight="1" spans="1:10">
      <c r="A9" s="196" t="s">
        <v>69</v>
      </c>
      <c r="B9" s="197"/>
      <c r="C9" s="197">
        <v>23.8725</v>
      </c>
      <c r="D9" s="197">
        <v>48.675</v>
      </c>
      <c r="E9" s="197">
        <v>20.41</v>
      </c>
      <c r="F9" s="197">
        <v>29.045</v>
      </c>
      <c r="G9" s="197">
        <v>18.29</v>
      </c>
      <c r="H9" s="197">
        <v>24.09</v>
      </c>
      <c r="I9" s="197">
        <v>19.23</v>
      </c>
      <c r="J9" s="197">
        <v>13.82</v>
      </c>
    </row>
    <row r="10" ht="20" customHeight="1" spans="1:10">
      <c r="A10" s="196" t="s">
        <v>70</v>
      </c>
      <c r="B10" s="197">
        <v>18.07</v>
      </c>
      <c r="C10" s="197">
        <v>26.815</v>
      </c>
      <c r="D10" s="197">
        <v>47.7025</v>
      </c>
      <c r="E10" s="197">
        <v>18.99</v>
      </c>
      <c r="F10" s="197">
        <v>27.655</v>
      </c>
      <c r="G10" s="197">
        <v>21.81</v>
      </c>
      <c r="H10" s="197">
        <v>26.06</v>
      </c>
      <c r="I10" s="197">
        <v>17.93</v>
      </c>
      <c r="J10" s="197">
        <v>13.98</v>
      </c>
    </row>
    <row r="11" ht="20" customHeight="1" spans="1:10">
      <c r="A11" s="196" t="s">
        <v>71</v>
      </c>
      <c r="B11" s="197">
        <v>18.976</v>
      </c>
      <c r="C11" s="197">
        <v>35.934</v>
      </c>
      <c r="D11" s="197">
        <v>44.712</v>
      </c>
      <c r="E11" s="197">
        <v>16.44</v>
      </c>
      <c r="F11" s="197">
        <v>30.482</v>
      </c>
      <c r="G11" s="197">
        <v>21.16</v>
      </c>
      <c r="H11" s="197">
        <v>24.87</v>
      </c>
      <c r="I11" s="197">
        <v>17.32</v>
      </c>
      <c r="J11" s="197">
        <v>14.11</v>
      </c>
    </row>
    <row r="12" ht="20" customHeight="1" spans="1:10">
      <c r="A12" s="196" t="s">
        <v>72</v>
      </c>
      <c r="B12" s="197">
        <v>19.514</v>
      </c>
      <c r="C12" s="197">
        <v>47.432</v>
      </c>
      <c r="D12" s="197">
        <v>37.83</v>
      </c>
      <c r="E12" s="197">
        <v>18.916</v>
      </c>
      <c r="F12" s="197">
        <v>34.416</v>
      </c>
      <c r="G12" s="197">
        <v>19.95</v>
      </c>
      <c r="H12" s="197">
        <v>22.79</v>
      </c>
      <c r="I12" s="197">
        <v>15.58</v>
      </c>
      <c r="J12" s="197"/>
    </row>
    <row r="13" ht="20" customHeight="1" spans="1:10">
      <c r="A13" s="196" t="s">
        <v>73</v>
      </c>
      <c r="B13" s="197">
        <v>19.3725</v>
      </c>
      <c r="C13" s="197">
        <v>45.86</v>
      </c>
      <c r="D13" s="197">
        <v>38.485</v>
      </c>
      <c r="E13" s="197">
        <v>23.58</v>
      </c>
      <c r="F13" s="197">
        <v>30.2675</v>
      </c>
      <c r="G13" s="197">
        <v>18.64</v>
      </c>
      <c r="H13" s="197">
        <v>21.66</v>
      </c>
      <c r="I13" s="197">
        <v>15.75</v>
      </c>
      <c r="J13" s="197"/>
    </row>
    <row r="14" ht="20" customHeight="1" spans="1:10">
      <c r="A14" s="196" t="s">
        <v>74</v>
      </c>
      <c r="B14" s="197">
        <v>19.0875</v>
      </c>
      <c r="C14" s="197">
        <v>43.7625</v>
      </c>
      <c r="D14" s="197">
        <v>43.4175</v>
      </c>
      <c r="E14" s="197">
        <v>21.6425</v>
      </c>
      <c r="F14" s="197">
        <v>25.2975</v>
      </c>
      <c r="G14" s="197">
        <v>18.73</v>
      </c>
      <c r="H14" s="197">
        <v>20.94</v>
      </c>
      <c r="I14" s="197">
        <v>15.06</v>
      </c>
      <c r="J14" s="197"/>
    </row>
  </sheetData>
  <pageMargins left="0.75" right="0.75" top="1" bottom="1" header="0.5" footer="0.5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509"/>
  <sheetViews>
    <sheetView workbookViewId="0">
      <pane ySplit="2" topLeftCell="A484" activePane="bottomLeft" state="frozen"/>
      <selection/>
      <selection pane="bottomLeft" activeCell="B509" sqref="B509"/>
    </sheetView>
  </sheetViews>
  <sheetFormatPr defaultColWidth="13.125" defaultRowHeight="20" customHeight="1" outlineLevelCol="1"/>
  <cols>
    <col min="1" max="1" width="13.125" style="149" customWidth="1"/>
    <col min="2" max="2" width="13.125" style="192" customWidth="1"/>
    <col min="3" max="16377" width="13.125" customWidth="1"/>
  </cols>
  <sheetData>
    <row r="2" customHeight="1" spans="1:2">
      <c r="A2" s="193" t="s">
        <v>75</v>
      </c>
      <c r="B2" s="194" t="s">
        <v>76</v>
      </c>
    </row>
    <row r="3" customHeight="1" spans="1:2">
      <c r="A3" s="158">
        <v>41501</v>
      </c>
      <c r="B3" s="100">
        <v>0.3341</v>
      </c>
    </row>
    <row r="4" customHeight="1" spans="1:2">
      <c r="A4" s="158">
        <v>41517</v>
      </c>
      <c r="B4" s="100">
        <v>0.3344</v>
      </c>
    </row>
    <row r="5" customHeight="1" spans="1:2">
      <c r="A5" s="158">
        <v>41532</v>
      </c>
      <c r="B5" s="100">
        <v>0.3707</v>
      </c>
    </row>
    <row r="6" customHeight="1" spans="1:2">
      <c r="A6" s="158">
        <v>41547</v>
      </c>
      <c r="B6" s="100">
        <v>0.3354</v>
      </c>
    </row>
    <row r="7" customHeight="1" spans="1:2">
      <c r="A7" s="158">
        <v>41562</v>
      </c>
      <c r="B7" s="100">
        <v>0.3305</v>
      </c>
    </row>
    <row r="8" customHeight="1" spans="1:2">
      <c r="A8" s="158">
        <v>41578</v>
      </c>
      <c r="B8" s="100">
        <v>0.3</v>
      </c>
    </row>
    <row r="9" customHeight="1" spans="1:2">
      <c r="A9" s="158">
        <v>41593</v>
      </c>
      <c r="B9" s="100">
        <v>0.2752</v>
      </c>
    </row>
    <row r="10" customHeight="1" spans="1:2">
      <c r="A10" s="158">
        <v>41608</v>
      </c>
      <c r="B10" s="100">
        <v>0.2607</v>
      </c>
    </row>
    <row r="11" customHeight="1" spans="1:2">
      <c r="A11" s="158">
        <v>41623</v>
      </c>
      <c r="B11" s="100">
        <v>0.2381</v>
      </c>
    </row>
    <row r="12" customHeight="1" spans="1:2">
      <c r="A12" s="158">
        <v>41639</v>
      </c>
      <c r="B12" s="100">
        <v>0.2369</v>
      </c>
    </row>
    <row r="13" customHeight="1" spans="1:2">
      <c r="A13" s="158">
        <v>41654</v>
      </c>
      <c r="B13" s="100">
        <v>0.2404</v>
      </c>
    </row>
    <row r="14" customHeight="1" spans="1:2">
      <c r="A14" s="158">
        <v>41669</v>
      </c>
      <c r="B14" s="100">
        <v>0.2347</v>
      </c>
    </row>
    <row r="15" customHeight="1" spans="1:2">
      <c r="A15" s="158">
        <v>41685</v>
      </c>
      <c r="B15" s="100">
        <v>0.2511</v>
      </c>
    </row>
    <row r="16" customHeight="1" spans="1:2">
      <c r="A16" s="158">
        <v>41698</v>
      </c>
      <c r="B16" s="100">
        <v>0.4001</v>
      </c>
    </row>
    <row r="17" customHeight="1" spans="1:2">
      <c r="A17" s="158">
        <v>41713</v>
      </c>
      <c r="B17" s="100">
        <v>0.4222</v>
      </c>
    </row>
    <row r="18" customHeight="1" spans="1:2">
      <c r="A18" s="158">
        <v>41729</v>
      </c>
      <c r="B18" s="100">
        <v>0.4447</v>
      </c>
    </row>
    <row r="19" customHeight="1" spans="1:2">
      <c r="A19" s="158">
        <v>41744</v>
      </c>
      <c r="B19" s="100">
        <v>0.4556</v>
      </c>
    </row>
    <row r="20" customHeight="1" spans="1:2">
      <c r="A20" s="158">
        <v>41759</v>
      </c>
      <c r="B20" s="100">
        <v>0.4617</v>
      </c>
    </row>
    <row r="21" customHeight="1" spans="1:2">
      <c r="A21" s="158">
        <v>41774</v>
      </c>
      <c r="B21" s="100">
        <v>0.463</v>
      </c>
    </row>
    <row r="22" customHeight="1" spans="1:2">
      <c r="A22" s="158">
        <v>41789</v>
      </c>
      <c r="B22" s="100">
        <v>0.4427</v>
      </c>
    </row>
    <row r="23" customHeight="1" spans="1:2">
      <c r="A23" s="158">
        <v>41805</v>
      </c>
      <c r="B23" s="100">
        <v>0.444</v>
      </c>
    </row>
    <row r="24" customHeight="1" spans="1:2">
      <c r="A24" s="158">
        <v>41820</v>
      </c>
      <c r="B24" s="100">
        <v>0.4498</v>
      </c>
    </row>
    <row r="25" customHeight="1" spans="1:2">
      <c r="A25" s="158">
        <v>41835</v>
      </c>
      <c r="B25" s="100">
        <v>0.4849</v>
      </c>
    </row>
    <row r="26" customHeight="1" spans="1:2">
      <c r="A26" s="158">
        <v>41851</v>
      </c>
      <c r="B26" s="100">
        <v>0.4337</v>
      </c>
    </row>
    <row r="27" customHeight="1" spans="1:2">
      <c r="A27" s="158">
        <v>41866</v>
      </c>
      <c r="B27" s="100">
        <v>0.418</v>
      </c>
    </row>
    <row r="28" customHeight="1" spans="1:2">
      <c r="A28" s="158">
        <v>41882</v>
      </c>
      <c r="B28" s="100">
        <v>0.409</v>
      </c>
    </row>
    <row r="29" customHeight="1" spans="1:2">
      <c r="A29" s="158">
        <v>41897</v>
      </c>
      <c r="B29" s="100">
        <v>0.4252</v>
      </c>
    </row>
    <row r="30" customHeight="1" spans="1:2">
      <c r="A30" s="158">
        <v>41912</v>
      </c>
      <c r="B30" s="100">
        <v>0.4003</v>
      </c>
    </row>
    <row r="31" customHeight="1" spans="1:2">
      <c r="A31" s="158">
        <v>41927</v>
      </c>
      <c r="B31" s="100">
        <v>0.4035</v>
      </c>
    </row>
    <row r="32" customHeight="1" spans="1:2">
      <c r="A32" s="158">
        <v>41942</v>
      </c>
      <c r="B32" s="100">
        <v>0.3953</v>
      </c>
    </row>
    <row r="33" customHeight="1" spans="1:2">
      <c r="A33" s="158">
        <v>41958</v>
      </c>
      <c r="B33" s="100">
        <v>0.4236</v>
      </c>
    </row>
    <row r="34" customHeight="1" spans="1:2">
      <c r="A34" s="158">
        <v>41973</v>
      </c>
      <c r="B34" s="100">
        <v>0.4037</v>
      </c>
    </row>
    <row r="35" customHeight="1" spans="1:2">
      <c r="A35" s="158">
        <v>41988</v>
      </c>
      <c r="B35" s="100">
        <v>0.3988</v>
      </c>
    </row>
    <row r="36" customHeight="1" spans="1:2">
      <c r="A36" s="158">
        <v>42368</v>
      </c>
      <c r="B36" s="100">
        <v>0.4048</v>
      </c>
    </row>
    <row r="37" customHeight="1" spans="1:2">
      <c r="A37" s="158">
        <v>42019</v>
      </c>
      <c r="B37" s="100">
        <v>0.4163</v>
      </c>
    </row>
    <row r="38" customHeight="1" spans="1:2">
      <c r="A38" s="158">
        <v>42063</v>
      </c>
      <c r="B38" s="100">
        <v>0.384</v>
      </c>
    </row>
    <row r="39" customHeight="1" spans="1:2">
      <c r="A39" s="158">
        <v>42078</v>
      </c>
      <c r="B39" s="100">
        <v>0.4184</v>
      </c>
    </row>
    <row r="40" customHeight="1" spans="1:2">
      <c r="A40" s="158">
        <v>42094</v>
      </c>
      <c r="B40" s="100">
        <v>0.3972</v>
      </c>
    </row>
    <row r="41" customHeight="1" spans="1:2">
      <c r="A41" s="158">
        <v>42109</v>
      </c>
      <c r="B41" s="100">
        <v>0.3758</v>
      </c>
    </row>
    <row r="42" customHeight="1" spans="1:2">
      <c r="A42" s="158">
        <v>42124</v>
      </c>
      <c r="B42" s="100">
        <v>0.3746</v>
      </c>
    </row>
    <row r="43" customHeight="1" spans="1:2">
      <c r="A43" s="158">
        <v>42139</v>
      </c>
      <c r="B43" s="100">
        <v>0.3744</v>
      </c>
    </row>
    <row r="44" customHeight="1" spans="1:2">
      <c r="A44" s="158">
        <v>42154</v>
      </c>
      <c r="B44" s="100">
        <v>0.3712</v>
      </c>
    </row>
    <row r="45" customHeight="1" spans="1:2">
      <c r="A45" s="158">
        <v>42170</v>
      </c>
      <c r="B45" s="100">
        <v>0.3666</v>
      </c>
    </row>
    <row r="46" customHeight="1" spans="1:2">
      <c r="A46" s="158">
        <v>42185</v>
      </c>
      <c r="B46" s="100">
        <v>0.3574</v>
      </c>
    </row>
    <row r="47" customHeight="1" spans="1:2">
      <c r="A47" s="158">
        <v>42200</v>
      </c>
      <c r="B47" s="100">
        <v>0.3536</v>
      </c>
    </row>
    <row r="48" customHeight="1" spans="1:2">
      <c r="A48" s="158">
        <v>42215</v>
      </c>
      <c r="B48" s="100">
        <v>0.3498</v>
      </c>
    </row>
    <row r="49" customHeight="1" spans="1:2">
      <c r="A49" s="158">
        <v>42231</v>
      </c>
      <c r="B49" s="100">
        <v>0.3504</v>
      </c>
    </row>
    <row r="50" customHeight="1" spans="1:2">
      <c r="A50" s="158">
        <v>42247</v>
      </c>
      <c r="B50" s="100">
        <v>0.3403</v>
      </c>
    </row>
    <row r="51" customHeight="1" spans="1:2">
      <c r="A51" s="158">
        <v>42277</v>
      </c>
      <c r="B51" s="100">
        <v>0.3426</v>
      </c>
    </row>
    <row r="52" customHeight="1" spans="1:2">
      <c r="A52" s="158">
        <v>42307</v>
      </c>
      <c r="B52" s="100">
        <v>0.326</v>
      </c>
    </row>
    <row r="53" customHeight="1" spans="1:2">
      <c r="A53" s="158">
        <v>42338</v>
      </c>
      <c r="B53" s="100">
        <v>0.2968</v>
      </c>
    </row>
    <row r="54" customHeight="1" spans="1:2">
      <c r="A54" s="158">
        <v>42369</v>
      </c>
      <c r="B54" s="100">
        <v>0.2764</v>
      </c>
    </row>
    <row r="55" customHeight="1" spans="1:2">
      <c r="A55" s="158">
        <v>42400</v>
      </c>
      <c r="B55" s="100">
        <v>0.196</v>
      </c>
    </row>
    <row r="56" customHeight="1" spans="1:2">
      <c r="A56" s="158">
        <v>42429</v>
      </c>
      <c r="B56" s="100">
        <v>0.1476</v>
      </c>
    </row>
    <row r="57" customHeight="1" spans="1:2">
      <c r="A57" s="158">
        <v>42444</v>
      </c>
      <c r="B57" s="100">
        <v>0.1102</v>
      </c>
    </row>
    <row r="58" customHeight="1" spans="1:2">
      <c r="A58" s="158">
        <v>42460</v>
      </c>
      <c r="B58" s="100">
        <v>0.0996</v>
      </c>
    </row>
    <row r="59" customHeight="1" spans="1:2">
      <c r="A59" s="158">
        <v>42475</v>
      </c>
      <c r="B59" s="100">
        <v>0.0821</v>
      </c>
    </row>
    <row r="60" customHeight="1" spans="1:2">
      <c r="A60" s="158">
        <v>42490</v>
      </c>
      <c r="B60" s="100">
        <v>0.0708</v>
      </c>
    </row>
    <row r="61" customHeight="1" spans="1:2">
      <c r="A61" s="158">
        <v>42505</v>
      </c>
      <c r="B61" s="100">
        <v>0.0733</v>
      </c>
    </row>
    <row r="62" customHeight="1" spans="1:2">
      <c r="A62" s="158">
        <v>42521</v>
      </c>
      <c r="B62" s="100">
        <v>0.0699</v>
      </c>
    </row>
    <row r="63" customHeight="1" spans="1:2">
      <c r="A63" s="158">
        <v>42536</v>
      </c>
      <c r="B63" s="100">
        <v>0.08</v>
      </c>
    </row>
    <row r="64" customHeight="1" spans="1:2">
      <c r="A64" s="158">
        <v>42551</v>
      </c>
      <c r="B64" s="100">
        <v>0.0927</v>
      </c>
    </row>
    <row r="65" customHeight="1" spans="1:2">
      <c r="A65" s="158">
        <v>42566</v>
      </c>
      <c r="B65" s="100">
        <v>0.0814</v>
      </c>
    </row>
    <row r="66" customHeight="1" spans="1:2">
      <c r="A66" s="158">
        <v>42582</v>
      </c>
      <c r="B66" s="100">
        <v>0.1002</v>
      </c>
    </row>
    <row r="67" customHeight="1" spans="1:2">
      <c r="A67" s="158">
        <v>42597</v>
      </c>
      <c r="B67" s="100">
        <v>0.1007</v>
      </c>
    </row>
    <row r="68" customHeight="1" spans="1:2">
      <c r="A68" s="158">
        <v>42613</v>
      </c>
      <c r="B68" s="100">
        <v>0.0971</v>
      </c>
    </row>
    <row r="69" customHeight="1" spans="1:2">
      <c r="A69" s="158">
        <v>42628</v>
      </c>
      <c r="B69" s="100">
        <v>0.1276</v>
      </c>
    </row>
    <row r="70" customHeight="1" spans="1:2">
      <c r="A70" s="158">
        <v>42643</v>
      </c>
      <c r="B70" s="100">
        <v>0.1422</v>
      </c>
    </row>
    <row r="71" customHeight="1" spans="1:2">
      <c r="A71" s="158">
        <v>42658</v>
      </c>
      <c r="B71" s="100">
        <v>0.1857</v>
      </c>
    </row>
    <row r="72" customHeight="1" spans="1:2">
      <c r="A72" s="158">
        <v>42674</v>
      </c>
      <c r="B72" s="100">
        <v>0.201</v>
      </c>
    </row>
    <row r="73" customHeight="1" spans="1:2">
      <c r="A73" s="158">
        <v>42689</v>
      </c>
      <c r="B73" s="100">
        <v>0.1853</v>
      </c>
    </row>
    <row r="74" customHeight="1" spans="1:2">
      <c r="A74" s="158">
        <v>42704</v>
      </c>
      <c r="B74" s="100">
        <v>0.1745</v>
      </c>
    </row>
    <row r="75" customHeight="1" spans="1:2">
      <c r="A75" s="158">
        <v>42719</v>
      </c>
      <c r="B75" s="100">
        <v>0.1775</v>
      </c>
    </row>
    <row r="76" customHeight="1" spans="1:2">
      <c r="A76" s="158">
        <v>42734</v>
      </c>
      <c r="B76" s="100">
        <v>0.173</v>
      </c>
    </row>
    <row r="77" customHeight="1" spans="1:2">
      <c r="A77" s="158">
        <v>42750</v>
      </c>
      <c r="B77" s="100">
        <v>0.1625</v>
      </c>
    </row>
    <row r="78" customHeight="1" spans="1:2">
      <c r="A78" s="158">
        <v>42758</v>
      </c>
      <c r="B78" s="100">
        <v>0.1531</v>
      </c>
    </row>
    <row r="79" customHeight="1" spans="1:2">
      <c r="A79" s="158">
        <v>42781</v>
      </c>
      <c r="B79" s="100">
        <v>0.1161</v>
      </c>
    </row>
    <row r="80" customHeight="1" spans="1:2">
      <c r="A80" s="158">
        <v>42794</v>
      </c>
      <c r="B80" s="100">
        <v>0.1073</v>
      </c>
    </row>
    <row r="81" customHeight="1" spans="1:2">
      <c r="A81" s="158">
        <v>42809</v>
      </c>
      <c r="B81" s="100">
        <v>0.1696</v>
      </c>
    </row>
    <row r="82" customHeight="1" spans="1:2">
      <c r="A82" s="158">
        <v>42825</v>
      </c>
      <c r="B82" s="100">
        <v>0.199</v>
      </c>
    </row>
    <row r="83" customHeight="1" spans="1:2">
      <c r="A83" s="158">
        <v>42840</v>
      </c>
      <c r="B83" s="100">
        <v>0.2143</v>
      </c>
    </row>
    <row r="84" customHeight="1" spans="1:2">
      <c r="A84" s="158">
        <v>42853</v>
      </c>
      <c r="B84" s="100">
        <v>0.2201</v>
      </c>
    </row>
    <row r="85" customHeight="1" spans="1:2">
      <c r="A85" s="158">
        <v>42870</v>
      </c>
      <c r="B85" s="100">
        <v>0.2227</v>
      </c>
    </row>
    <row r="86" customHeight="1" spans="1:2">
      <c r="A86" s="158">
        <v>42886</v>
      </c>
      <c r="B86" s="100">
        <v>0.225</v>
      </c>
    </row>
    <row r="87" customHeight="1" spans="1:2">
      <c r="A87" s="158">
        <v>42901</v>
      </c>
      <c r="B87" s="100">
        <v>0.2293</v>
      </c>
    </row>
    <row r="88" customHeight="1" spans="1:2">
      <c r="A88" s="158">
        <v>42916</v>
      </c>
      <c r="B88" s="100">
        <v>0.2305</v>
      </c>
    </row>
    <row r="89" customHeight="1" spans="1:2">
      <c r="A89" s="158">
        <v>42931</v>
      </c>
      <c r="B89" s="100">
        <v>0.2207</v>
      </c>
    </row>
    <row r="90" customHeight="1" spans="1:2">
      <c r="A90" s="158">
        <v>42946</v>
      </c>
      <c r="B90" s="100">
        <v>0.2172</v>
      </c>
    </row>
    <row r="91" customHeight="1" spans="1:2">
      <c r="A91" s="158">
        <v>42962</v>
      </c>
      <c r="B91" s="100">
        <v>0.184</v>
      </c>
    </row>
    <row r="92" customHeight="1" spans="1:2">
      <c r="A92" s="158">
        <v>42978</v>
      </c>
      <c r="B92" s="100">
        <v>0.1617</v>
      </c>
    </row>
    <row r="93" customHeight="1" spans="1:2">
      <c r="A93" s="158">
        <v>42993</v>
      </c>
      <c r="B93" s="100">
        <v>0.1659</v>
      </c>
    </row>
    <row r="94" customHeight="1" spans="1:2">
      <c r="A94" s="158">
        <v>43008</v>
      </c>
      <c r="B94" s="100">
        <v>0.1748</v>
      </c>
    </row>
    <row r="95" customHeight="1" spans="1:2">
      <c r="A95" s="158">
        <v>43023</v>
      </c>
      <c r="B95" s="100">
        <v>0.2389</v>
      </c>
    </row>
    <row r="96" customHeight="1" spans="1:2">
      <c r="A96" s="158">
        <v>43039</v>
      </c>
      <c r="B96" s="100">
        <v>0.2492</v>
      </c>
    </row>
    <row r="97" customHeight="1" spans="1:2">
      <c r="A97" s="158">
        <v>43054</v>
      </c>
      <c r="B97" s="100">
        <v>0.234</v>
      </c>
    </row>
    <row r="98" customHeight="1" spans="1:2">
      <c r="A98" s="158">
        <v>43069</v>
      </c>
      <c r="B98" s="100">
        <v>0.2216</v>
      </c>
    </row>
    <row r="99" customHeight="1" spans="1:2">
      <c r="A99" s="158">
        <v>43084</v>
      </c>
      <c r="B99" s="100">
        <v>0.1858</v>
      </c>
    </row>
    <row r="100" customHeight="1" spans="1:2">
      <c r="A100" s="158">
        <v>43099</v>
      </c>
      <c r="B100" s="100">
        <v>0.1596</v>
      </c>
    </row>
    <row r="101" customHeight="1" spans="1:2">
      <c r="A101" s="158">
        <v>43115</v>
      </c>
      <c r="B101" s="100">
        <v>0.1194</v>
      </c>
    </row>
    <row r="102" customHeight="1" spans="1:2">
      <c r="A102" s="158">
        <v>43131</v>
      </c>
      <c r="B102" s="100">
        <v>0.1849</v>
      </c>
    </row>
    <row r="103" customHeight="1" spans="1:2">
      <c r="A103" s="158">
        <v>43146</v>
      </c>
      <c r="B103" s="100">
        <v>0.1604</v>
      </c>
    </row>
    <row r="104" customHeight="1" spans="1:2">
      <c r="A104" s="158">
        <v>43159</v>
      </c>
      <c r="B104" s="100">
        <v>0.12</v>
      </c>
    </row>
    <row r="105" customHeight="1" spans="1:2">
      <c r="A105" s="158">
        <v>43174</v>
      </c>
      <c r="B105" s="100">
        <v>0.0905</v>
      </c>
    </row>
    <row r="106" customHeight="1" spans="1:2">
      <c r="A106" s="158">
        <v>43189</v>
      </c>
      <c r="B106" s="100">
        <v>0.0905</v>
      </c>
    </row>
    <row r="107" customHeight="1" spans="1:2">
      <c r="A107" s="158">
        <v>43205</v>
      </c>
      <c r="B107" s="100">
        <v>0.0899</v>
      </c>
    </row>
    <row r="108" customHeight="1" spans="1:2">
      <c r="A108" s="158">
        <v>43220</v>
      </c>
      <c r="B108" s="100">
        <v>0.0895</v>
      </c>
    </row>
    <row r="109" customHeight="1" spans="1:2">
      <c r="A109" s="158">
        <v>43235</v>
      </c>
      <c r="B109" s="100">
        <v>0.1013</v>
      </c>
    </row>
    <row r="110" customHeight="1" spans="1:2">
      <c r="A110" s="158">
        <v>43250</v>
      </c>
      <c r="B110" s="100">
        <v>0.1203</v>
      </c>
    </row>
    <row r="111" customHeight="1" spans="1:2">
      <c r="A111" s="158">
        <v>43266</v>
      </c>
      <c r="B111" s="100">
        <v>0.1391</v>
      </c>
    </row>
    <row r="112" customHeight="1" spans="1:2">
      <c r="A112" s="158">
        <v>43281</v>
      </c>
      <c r="B112" s="100">
        <v>0.1599</v>
      </c>
    </row>
    <row r="113" customHeight="1" spans="1:2">
      <c r="A113" s="158">
        <v>43296</v>
      </c>
      <c r="B113" s="100">
        <v>0.1901</v>
      </c>
    </row>
    <row r="114" customHeight="1" spans="1:2">
      <c r="A114" s="158">
        <v>43311</v>
      </c>
      <c r="B114" s="100">
        <v>0.1877</v>
      </c>
    </row>
    <row r="115" customHeight="1" spans="1:2">
      <c r="A115" s="158">
        <v>43327</v>
      </c>
      <c r="B115" s="100">
        <v>0.1793</v>
      </c>
    </row>
    <row r="116" customHeight="1" spans="1:2">
      <c r="A116" s="158">
        <v>43342</v>
      </c>
      <c r="B116" s="100">
        <v>0.1775</v>
      </c>
    </row>
    <row r="117" customHeight="1" spans="1:2">
      <c r="A117" s="158">
        <v>43358</v>
      </c>
      <c r="B117" s="100">
        <v>0.1543</v>
      </c>
    </row>
    <row r="118" customHeight="1" spans="1:2">
      <c r="A118" s="158">
        <v>43373</v>
      </c>
      <c r="B118" s="100">
        <v>0.1514</v>
      </c>
    </row>
    <row r="119" customHeight="1" spans="1:2">
      <c r="A119" s="158">
        <v>43388</v>
      </c>
      <c r="B119" s="100">
        <v>0.1577</v>
      </c>
    </row>
    <row r="120" customHeight="1" spans="1:2">
      <c r="A120" s="158">
        <v>43403</v>
      </c>
      <c r="B120" s="100">
        <v>0.1739</v>
      </c>
    </row>
    <row r="121" customHeight="1" spans="1:2">
      <c r="A121" s="158">
        <v>43419</v>
      </c>
      <c r="B121" s="100">
        <v>0.2081</v>
      </c>
    </row>
    <row r="122" customHeight="1" spans="1:2">
      <c r="A122" s="158">
        <v>43434</v>
      </c>
      <c r="B122" s="100">
        <v>0.2332</v>
      </c>
    </row>
    <row r="123" customHeight="1" spans="1:2">
      <c r="A123" s="158">
        <v>43449</v>
      </c>
      <c r="B123" s="100">
        <v>0.2565</v>
      </c>
    </row>
    <row r="124" customHeight="1" spans="1:2">
      <c r="A124" s="158">
        <v>43464</v>
      </c>
      <c r="B124" s="100">
        <v>0.3024</v>
      </c>
    </row>
    <row r="125" customHeight="1" spans="1:2">
      <c r="A125" s="158">
        <v>43480</v>
      </c>
      <c r="B125" s="100">
        <v>0.2859</v>
      </c>
    </row>
    <row r="126" customHeight="1" spans="1:2">
      <c r="A126" s="158">
        <v>43496</v>
      </c>
      <c r="B126" s="100">
        <v>0.2546</v>
      </c>
    </row>
    <row r="127" customHeight="1" spans="1:2">
      <c r="A127" s="158">
        <v>43510</v>
      </c>
      <c r="B127" s="100">
        <v>0.211</v>
      </c>
    </row>
    <row r="128" customHeight="1" spans="1:2">
      <c r="A128" s="158">
        <v>43524</v>
      </c>
      <c r="B128" s="100">
        <v>0.422</v>
      </c>
    </row>
    <row r="129" customHeight="1" spans="1:2">
      <c r="A129" s="158">
        <v>43531</v>
      </c>
      <c r="B129" s="100">
        <v>0.6842</v>
      </c>
    </row>
    <row r="130" customHeight="1" spans="1:2">
      <c r="A130" s="158">
        <v>43538</v>
      </c>
      <c r="B130" s="100">
        <v>0.6598</v>
      </c>
    </row>
    <row r="131" customHeight="1" spans="1:2">
      <c r="A131" s="158">
        <v>43545</v>
      </c>
      <c r="B131" s="100">
        <v>0.5276</v>
      </c>
    </row>
    <row r="132" customHeight="1" spans="1:2">
      <c r="A132" s="158">
        <v>43552</v>
      </c>
      <c r="B132" s="100">
        <v>0.5308</v>
      </c>
    </row>
    <row r="133" customHeight="1" spans="1:2">
      <c r="A133" s="158">
        <v>43559</v>
      </c>
      <c r="B133" s="100">
        <v>0.4899</v>
      </c>
    </row>
    <row r="134" customHeight="1" spans="1:2">
      <c r="A134" s="158">
        <v>43566</v>
      </c>
      <c r="B134" s="100">
        <v>0.4524</v>
      </c>
    </row>
    <row r="135" customHeight="1" spans="1:2">
      <c r="A135" s="158">
        <v>43573</v>
      </c>
      <c r="B135" s="100">
        <v>0.4092</v>
      </c>
    </row>
    <row r="136" customHeight="1" spans="1:2">
      <c r="A136" s="158">
        <v>43580</v>
      </c>
      <c r="B136" s="100">
        <v>0.3984</v>
      </c>
    </row>
    <row r="137" customHeight="1" spans="1:2">
      <c r="A137" s="158">
        <v>43594</v>
      </c>
      <c r="B137" s="100">
        <v>0.3958</v>
      </c>
    </row>
    <row r="138" customHeight="1" spans="1:2">
      <c r="A138" s="158">
        <v>43601</v>
      </c>
      <c r="B138" s="100">
        <v>0.3764</v>
      </c>
    </row>
    <row r="139" customHeight="1" spans="1:2">
      <c r="A139" s="158">
        <v>43608</v>
      </c>
      <c r="B139" s="100">
        <v>0.368</v>
      </c>
    </row>
    <row r="140" customHeight="1" spans="1:2">
      <c r="A140" s="158">
        <v>43615</v>
      </c>
      <c r="B140" s="100">
        <v>0.3796</v>
      </c>
    </row>
    <row r="141" customHeight="1" spans="1:2">
      <c r="A141" s="158">
        <v>43622</v>
      </c>
      <c r="B141" s="100">
        <v>0.36</v>
      </c>
    </row>
    <row r="142" customHeight="1" spans="1:2">
      <c r="A142" s="158">
        <v>43629</v>
      </c>
      <c r="B142" s="100">
        <v>0.3505</v>
      </c>
    </row>
    <row r="143" customHeight="1" spans="1:2">
      <c r="A143" s="158">
        <v>43636</v>
      </c>
      <c r="B143" s="100">
        <v>0.3248</v>
      </c>
    </row>
    <row r="144" customHeight="1" spans="1:2">
      <c r="A144" s="158">
        <v>43643</v>
      </c>
      <c r="B144" s="100">
        <v>0.3162</v>
      </c>
    </row>
    <row r="145" customHeight="1" spans="1:2">
      <c r="A145" s="158">
        <v>43650</v>
      </c>
      <c r="B145" s="100">
        <v>0.315</v>
      </c>
    </row>
    <row r="146" customHeight="1" spans="1:2">
      <c r="A146" s="158">
        <v>43657</v>
      </c>
      <c r="B146" s="100">
        <v>0.311</v>
      </c>
    </row>
    <row r="147" customHeight="1" spans="1:2">
      <c r="A147" s="158">
        <v>43664</v>
      </c>
      <c r="B147" s="100">
        <v>0.2992</v>
      </c>
    </row>
    <row r="148" customHeight="1" spans="1:2">
      <c r="A148" s="158">
        <v>43671</v>
      </c>
      <c r="B148" s="100">
        <v>0.27</v>
      </c>
    </row>
    <row r="149" customHeight="1" spans="1:2">
      <c r="A149" s="169">
        <v>43678</v>
      </c>
      <c r="B149" s="100">
        <v>0.262</v>
      </c>
    </row>
    <row r="150" customHeight="1" spans="1:2">
      <c r="A150" s="158">
        <v>43685</v>
      </c>
      <c r="B150" s="100">
        <v>0.2596</v>
      </c>
    </row>
    <row r="151" customHeight="1" spans="1:2">
      <c r="A151" s="158">
        <v>43692</v>
      </c>
      <c r="B151" s="100">
        <v>0.2484</v>
      </c>
    </row>
    <row r="152" customHeight="1" spans="1:2">
      <c r="A152" s="158">
        <v>43699</v>
      </c>
      <c r="B152" s="100">
        <v>0.2386</v>
      </c>
    </row>
    <row r="153" customHeight="1" spans="1:2">
      <c r="A153" s="158">
        <v>43706</v>
      </c>
      <c r="B153" s="100">
        <v>0.2288</v>
      </c>
    </row>
    <row r="154" customHeight="1" spans="1:2">
      <c r="A154" s="158">
        <v>43714</v>
      </c>
      <c r="B154" s="100">
        <v>0.2226</v>
      </c>
    </row>
    <row r="155" customHeight="1" spans="1:2">
      <c r="A155" s="158">
        <v>43720</v>
      </c>
      <c r="B155" s="100">
        <v>0.2182</v>
      </c>
    </row>
    <row r="156" customHeight="1" spans="1:2">
      <c r="A156" s="158">
        <v>43727</v>
      </c>
      <c r="B156" s="100">
        <v>0.222</v>
      </c>
    </row>
    <row r="157" customHeight="1" spans="1:2">
      <c r="A157" s="158">
        <v>43734</v>
      </c>
      <c r="B157" s="100">
        <v>0.2202</v>
      </c>
    </row>
    <row r="158" customHeight="1" spans="1:2">
      <c r="A158" s="158">
        <v>43748</v>
      </c>
      <c r="B158" s="100">
        <v>0.2191</v>
      </c>
    </row>
    <row r="159" customHeight="1" spans="1:2">
      <c r="A159" s="158">
        <v>43755</v>
      </c>
      <c r="B159" s="100">
        <v>0.201</v>
      </c>
    </row>
    <row r="160" customHeight="1" spans="1:2">
      <c r="A160" s="158">
        <v>43762</v>
      </c>
      <c r="B160" s="100">
        <v>0.1958</v>
      </c>
    </row>
    <row r="161" customHeight="1" spans="1:2">
      <c r="A161" s="158">
        <v>43769</v>
      </c>
      <c r="B161" s="100">
        <v>0.19</v>
      </c>
    </row>
    <row r="162" customHeight="1" spans="1:2">
      <c r="A162" s="158">
        <v>43776</v>
      </c>
      <c r="B162" s="100">
        <v>0.1955</v>
      </c>
    </row>
    <row r="163" customHeight="1" spans="1:2">
      <c r="A163" s="158">
        <v>43783</v>
      </c>
      <c r="B163" s="100">
        <v>0.1938</v>
      </c>
    </row>
    <row r="164" customHeight="1" spans="1:2">
      <c r="A164" s="158">
        <v>43790</v>
      </c>
      <c r="B164" s="100">
        <v>0.1994</v>
      </c>
    </row>
    <row r="165" customHeight="1" spans="1:2">
      <c r="A165" s="158">
        <v>43797</v>
      </c>
      <c r="B165" s="100">
        <v>0.2092</v>
      </c>
    </row>
    <row r="166" customHeight="1" spans="1:2">
      <c r="A166" s="158">
        <v>43804</v>
      </c>
      <c r="B166" s="100">
        <v>0.2176</v>
      </c>
    </row>
    <row r="167" customHeight="1" spans="1:2">
      <c r="A167" s="158">
        <v>43811</v>
      </c>
      <c r="B167" s="100">
        <v>0.22</v>
      </c>
    </row>
    <row r="168" customHeight="1" spans="1:2">
      <c r="A168" s="158">
        <v>43818</v>
      </c>
      <c r="B168" s="100">
        <v>0.2296</v>
      </c>
    </row>
    <row r="169" customHeight="1" spans="1:2">
      <c r="A169" s="158">
        <v>43825</v>
      </c>
      <c r="B169" s="100">
        <v>0.2308</v>
      </c>
    </row>
    <row r="170" customHeight="1" spans="1:2">
      <c r="A170" s="158">
        <v>43832</v>
      </c>
      <c r="B170" s="100">
        <v>0.2437</v>
      </c>
    </row>
    <row r="171" customHeight="1" spans="1:2">
      <c r="A171" s="158">
        <v>43839</v>
      </c>
      <c r="B171" s="100">
        <v>0.2218</v>
      </c>
    </row>
    <row r="172" customHeight="1" spans="1:2">
      <c r="A172" s="158">
        <v>43846</v>
      </c>
      <c r="B172" s="100">
        <v>0.2176</v>
      </c>
    </row>
    <row r="173" customHeight="1" spans="1:2">
      <c r="A173" s="158">
        <v>43867</v>
      </c>
      <c r="B173" s="100">
        <v>0.2048</v>
      </c>
    </row>
    <row r="174" customHeight="1" spans="1:2">
      <c r="A174" s="158">
        <v>43874</v>
      </c>
      <c r="B174" s="100">
        <v>0.2012</v>
      </c>
    </row>
    <row r="175" customHeight="1" spans="1:2">
      <c r="A175" s="158">
        <v>43881</v>
      </c>
      <c r="B175" s="100">
        <v>0.1924</v>
      </c>
    </row>
    <row r="176" customHeight="1" spans="1:2">
      <c r="A176" s="158">
        <v>43888</v>
      </c>
      <c r="B176" s="100">
        <v>0.1856</v>
      </c>
    </row>
    <row r="177" customHeight="1" spans="1:2">
      <c r="A177" s="158">
        <v>43895</v>
      </c>
      <c r="B177" s="100">
        <v>0.1888</v>
      </c>
    </row>
    <row r="178" customHeight="1" spans="1:2">
      <c r="A178" s="158">
        <v>43902</v>
      </c>
      <c r="B178" s="100">
        <v>0.1906</v>
      </c>
    </row>
    <row r="179" customHeight="1" spans="1:2">
      <c r="A179" s="158">
        <v>43909</v>
      </c>
      <c r="B179" s="100">
        <v>0.1786</v>
      </c>
    </row>
    <row r="180" customHeight="1" spans="1:2">
      <c r="A180" s="158">
        <v>43916</v>
      </c>
      <c r="B180" s="100">
        <v>0.1712</v>
      </c>
    </row>
    <row r="181" customHeight="1" spans="1:2">
      <c r="A181" s="158">
        <v>43923</v>
      </c>
      <c r="B181" s="100">
        <v>0.163</v>
      </c>
    </row>
    <row r="182" customHeight="1" spans="1:2">
      <c r="A182" s="158">
        <v>43930</v>
      </c>
      <c r="B182" s="100">
        <v>0.1558</v>
      </c>
    </row>
    <row r="183" customHeight="1" spans="1:2">
      <c r="A183" s="158">
        <v>43937</v>
      </c>
      <c r="B183" s="100">
        <v>0.1594</v>
      </c>
    </row>
    <row r="184" customHeight="1" spans="1:2">
      <c r="A184" s="158">
        <v>43944</v>
      </c>
      <c r="B184" s="100">
        <v>0.16</v>
      </c>
    </row>
    <row r="185" customHeight="1" spans="1:2">
      <c r="A185" s="158">
        <v>43951</v>
      </c>
      <c r="B185" s="100">
        <v>0.1559</v>
      </c>
    </row>
    <row r="186" customHeight="1" spans="1:2">
      <c r="A186" s="158">
        <v>43958</v>
      </c>
      <c r="B186" s="100">
        <v>0.1595</v>
      </c>
    </row>
    <row r="187" customHeight="1" spans="1:2">
      <c r="A187" s="158">
        <v>43965</v>
      </c>
      <c r="B187" s="100">
        <v>0.1576</v>
      </c>
    </row>
    <row r="188" customHeight="1" spans="1:2">
      <c r="A188" s="158">
        <v>43972</v>
      </c>
      <c r="B188" s="100">
        <v>0.1464</v>
      </c>
    </row>
    <row r="189" customHeight="1" spans="1:2">
      <c r="A189" s="158">
        <v>43979</v>
      </c>
      <c r="B189" s="100">
        <v>0.1623</v>
      </c>
    </row>
    <row r="190" customHeight="1" spans="1:2">
      <c r="A190" s="158">
        <v>43986</v>
      </c>
      <c r="B190" s="100">
        <v>0.1526</v>
      </c>
    </row>
    <row r="191" customHeight="1" spans="1:2">
      <c r="A191" s="158">
        <v>43993</v>
      </c>
      <c r="B191" s="100">
        <v>0.146</v>
      </c>
    </row>
    <row r="192" customHeight="1" spans="1:2">
      <c r="A192" s="158">
        <v>44000</v>
      </c>
      <c r="B192" s="100">
        <v>0.138</v>
      </c>
    </row>
    <row r="193" customHeight="1" spans="1:2">
      <c r="A193" s="158">
        <v>44007</v>
      </c>
      <c r="B193" s="100">
        <v>0.138</v>
      </c>
    </row>
    <row r="194" customHeight="1" spans="1:2">
      <c r="A194" s="158">
        <v>44014</v>
      </c>
      <c r="B194" s="100">
        <v>0.1324</v>
      </c>
    </row>
    <row r="195" customHeight="1" spans="1:2">
      <c r="A195" s="158">
        <v>44021</v>
      </c>
      <c r="B195" s="100">
        <v>0.129</v>
      </c>
    </row>
    <row r="196" customHeight="1" spans="1:2">
      <c r="A196" s="158">
        <v>44028</v>
      </c>
      <c r="B196" s="100">
        <v>0.129</v>
      </c>
    </row>
    <row r="197" customHeight="1" spans="1:2">
      <c r="A197" s="158">
        <v>44035</v>
      </c>
      <c r="B197" s="100">
        <v>0.1392</v>
      </c>
    </row>
    <row r="198" customHeight="1" spans="1:2">
      <c r="A198" s="158">
        <v>44042</v>
      </c>
      <c r="B198" s="100">
        <v>0.138</v>
      </c>
    </row>
    <row r="199" customHeight="1" spans="1:2">
      <c r="A199" s="158">
        <v>44049</v>
      </c>
      <c r="B199" s="100">
        <v>0.14</v>
      </c>
    </row>
    <row r="200" customHeight="1" spans="1:2">
      <c r="A200" s="158">
        <v>44056</v>
      </c>
      <c r="B200" s="100">
        <v>0.1352</v>
      </c>
    </row>
    <row r="201" customHeight="1" spans="1:2">
      <c r="A201" s="158">
        <v>44063</v>
      </c>
      <c r="B201" s="100">
        <v>0.132</v>
      </c>
    </row>
    <row r="202" customHeight="1" spans="1:2">
      <c r="A202" s="158">
        <v>44070</v>
      </c>
      <c r="B202" s="100">
        <v>0.132</v>
      </c>
    </row>
    <row r="203" customHeight="1" spans="1:2">
      <c r="A203" s="158">
        <v>44077</v>
      </c>
      <c r="B203" s="100">
        <v>0.1436</v>
      </c>
    </row>
    <row r="204" customHeight="1" spans="1:2">
      <c r="A204" s="158">
        <v>44084</v>
      </c>
      <c r="B204" s="100">
        <v>0.1392</v>
      </c>
    </row>
    <row r="205" customHeight="1" spans="1:2">
      <c r="A205" s="158">
        <v>44091</v>
      </c>
      <c r="B205" s="100">
        <v>0.136</v>
      </c>
    </row>
    <row r="206" customHeight="1" spans="1:2">
      <c r="A206" s="158">
        <v>44098</v>
      </c>
      <c r="B206" s="100">
        <v>0.131</v>
      </c>
    </row>
    <row r="207" customHeight="1" spans="1:2">
      <c r="A207" s="158">
        <v>44104</v>
      </c>
      <c r="B207" s="100">
        <v>0.127</v>
      </c>
    </row>
    <row r="208" customHeight="1" spans="1:2">
      <c r="A208" s="158">
        <v>44112</v>
      </c>
      <c r="B208" s="100">
        <v>0.1264</v>
      </c>
    </row>
    <row r="209" customHeight="1" spans="1:2">
      <c r="A209" s="158">
        <v>44119</v>
      </c>
      <c r="B209" s="100">
        <v>0.126</v>
      </c>
    </row>
    <row r="210" customHeight="1" spans="1:2">
      <c r="A210" s="158">
        <v>44126</v>
      </c>
      <c r="B210" s="100">
        <v>0.124</v>
      </c>
    </row>
    <row r="211" customHeight="1" spans="1:2">
      <c r="A211" s="158">
        <v>44133</v>
      </c>
      <c r="B211" s="100">
        <v>0.1406</v>
      </c>
    </row>
    <row r="212" customHeight="1" spans="1:2">
      <c r="A212" s="158">
        <v>44140</v>
      </c>
      <c r="B212" s="100">
        <v>0.149</v>
      </c>
    </row>
    <row r="213" customHeight="1" spans="1:2">
      <c r="A213" s="158">
        <v>44147</v>
      </c>
      <c r="B213" s="100">
        <v>0.141</v>
      </c>
    </row>
    <row r="214" customHeight="1" spans="1:2">
      <c r="A214" s="158">
        <v>44154</v>
      </c>
      <c r="B214" s="100">
        <v>0.14</v>
      </c>
    </row>
    <row r="215" customHeight="1" spans="1:2">
      <c r="A215" s="158">
        <v>44161</v>
      </c>
      <c r="B215" s="100">
        <v>0.136</v>
      </c>
    </row>
    <row r="216" customHeight="1" spans="1:2">
      <c r="A216" s="158">
        <v>44168</v>
      </c>
      <c r="B216" s="100">
        <v>0.1338</v>
      </c>
    </row>
    <row r="217" customHeight="1" spans="1:2">
      <c r="A217" s="158">
        <v>44175</v>
      </c>
      <c r="B217" s="100">
        <v>0.1318</v>
      </c>
    </row>
    <row r="218" customHeight="1" spans="1:2">
      <c r="A218" s="158">
        <v>44182</v>
      </c>
      <c r="B218" s="100">
        <v>0.129</v>
      </c>
    </row>
    <row r="219" customHeight="1" spans="1:2">
      <c r="A219" s="158">
        <v>44189</v>
      </c>
      <c r="B219" s="100">
        <v>0.12</v>
      </c>
    </row>
    <row r="220" customHeight="1" spans="1:2">
      <c r="A220" s="158">
        <v>44196</v>
      </c>
      <c r="B220" s="100">
        <v>0.108</v>
      </c>
    </row>
    <row r="221" customHeight="1" spans="1:2">
      <c r="A221" s="158">
        <v>44203</v>
      </c>
      <c r="B221" s="100">
        <v>0.112</v>
      </c>
    </row>
    <row r="222" customHeight="1" spans="1:2">
      <c r="A222" s="158">
        <v>44210</v>
      </c>
      <c r="B222" s="100">
        <v>0.098</v>
      </c>
    </row>
    <row r="223" customHeight="1" spans="1:2">
      <c r="A223" s="158">
        <v>44217</v>
      </c>
      <c r="B223" s="100">
        <v>0.095</v>
      </c>
    </row>
    <row r="224" customHeight="1" spans="1:2">
      <c r="A224" s="158">
        <v>44224</v>
      </c>
      <c r="B224" s="100">
        <v>0.101</v>
      </c>
    </row>
    <row r="225" customHeight="1" spans="1:2">
      <c r="A225" s="158">
        <v>44231</v>
      </c>
      <c r="B225" s="100">
        <v>0.1204</v>
      </c>
    </row>
    <row r="226" customHeight="1" spans="1:2">
      <c r="A226" s="158">
        <v>44245</v>
      </c>
      <c r="B226" s="100">
        <v>0.1276</v>
      </c>
    </row>
    <row r="227" customHeight="1" spans="1:2">
      <c r="A227" s="158">
        <v>44252</v>
      </c>
      <c r="B227" s="100">
        <v>0.149</v>
      </c>
    </row>
    <row r="228" customHeight="1" spans="1:2">
      <c r="A228" s="158">
        <v>44259</v>
      </c>
      <c r="B228" s="100">
        <v>0.192</v>
      </c>
    </row>
    <row r="229" customHeight="1" spans="1:2">
      <c r="A229" s="158">
        <v>44266</v>
      </c>
      <c r="B229" s="100">
        <v>0.208</v>
      </c>
    </row>
    <row r="230" customHeight="1" spans="1:2">
      <c r="A230" s="158">
        <v>44273</v>
      </c>
      <c r="B230" s="100">
        <v>0.228</v>
      </c>
    </row>
    <row r="231" customHeight="1" spans="1:2">
      <c r="A231" s="158">
        <v>44280</v>
      </c>
      <c r="B231" s="100">
        <v>0.248</v>
      </c>
    </row>
    <row r="232" customHeight="1" spans="1:2">
      <c r="A232" s="158">
        <v>44287</v>
      </c>
      <c r="B232" s="100">
        <v>0.228</v>
      </c>
    </row>
    <row r="233" customHeight="1" spans="1:2">
      <c r="A233" s="158">
        <v>44294</v>
      </c>
      <c r="B233" s="100">
        <v>0.26</v>
      </c>
    </row>
    <row r="234" customHeight="1" spans="1:2">
      <c r="A234" s="158">
        <v>44301</v>
      </c>
      <c r="B234" s="100">
        <v>0.268</v>
      </c>
    </row>
    <row r="235" customHeight="1" spans="1:2">
      <c r="A235" s="158">
        <v>44308</v>
      </c>
      <c r="B235" s="100">
        <v>0.26</v>
      </c>
    </row>
    <row r="236" customHeight="1" spans="1:2">
      <c r="A236" s="158">
        <v>44315</v>
      </c>
      <c r="B236" s="100">
        <v>0.282</v>
      </c>
    </row>
    <row r="237" customHeight="1" spans="1:2">
      <c r="A237" s="158">
        <v>44322</v>
      </c>
      <c r="B237" s="100">
        <v>0.276</v>
      </c>
    </row>
    <row r="238" customHeight="1" spans="1:2">
      <c r="A238" s="158">
        <v>44329</v>
      </c>
      <c r="B238" s="100">
        <v>0.288</v>
      </c>
    </row>
    <row r="239" customHeight="1" spans="1:2">
      <c r="A239" s="158">
        <v>44336</v>
      </c>
      <c r="B239" s="100">
        <v>0.302</v>
      </c>
    </row>
    <row r="240" customHeight="1" spans="1:2">
      <c r="A240" s="158">
        <v>44343</v>
      </c>
      <c r="B240" s="100">
        <v>0.3303</v>
      </c>
    </row>
    <row r="241" customHeight="1" spans="1:2">
      <c r="A241" s="158">
        <v>44350</v>
      </c>
      <c r="B241" s="100">
        <v>0.3306</v>
      </c>
    </row>
    <row r="242" customHeight="1" spans="1:2">
      <c r="A242" s="158">
        <v>44357</v>
      </c>
      <c r="B242" s="100">
        <v>0.3158</v>
      </c>
    </row>
    <row r="243" customHeight="1" spans="1:2">
      <c r="A243" s="158">
        <v>44364</v>
      </c>
      <c r="B243" s="100">
        <v>0.3033</v>
      </c>
    </row>
    <row r="244" customHeight="1" spans="1:2">
      <c r="A244" s="158">
        <v>44371</v>
      </c>
      <c r="B244" s="100">
        <v>0.305</v>
      </c>
    </row>
    <row r="245" customHeight="1" spans="1:2">
      <c r="A245" s="158">
        <v>44378</v>
      </c>
      <c r="B245" s="100">
        <v>0.3033</v>
      </c>
    </row>
    <row r="246" customHeight="1" spans="1:2">
      <c r="A246" s="158">
        <v>44385</v>
      </c>
      <c r="B246" s="100">
        <v>0.3005</v>
      </c>
    </row>
    <row r="247" customHeight="1" spans="1:2">
      <c r="A247" s="158">
        <v>44392</v>
      </c>
      <c r="B247" s="100">
        <v>0.3017</v>
      </c>
    </row>
    <row r="248" customHeight="1" spans="1:2">
      <c r="A248" s="158">
        <v>44399</v>
      </c>
      <c r="B248" s="100">
        <v>0.3167</v>
      </c>
    </row>
    <row r="249" customHeight="1" spans="1:2">
      <c r="A249" s="158">
        <v>44406</v>
      </c>
      <c r="B249" s="100">
        <v>0.3217</v>
      </c>
    </row>
    <row r="250" customHeight="1" spans="1:2">
      <c r="A250" s="158">
        <v>44413</v>
      </c>
      <c r="B250" s="100">
        <v>0.31</v>
      </c>
    </row>
    <row r="251" customHeight="1" spans="1:2">
      <c r="A251" s="158">
        <v>44420</v>
      </c>
      <c r="B251" s="100">
        <v>0.3083</v>
      </c>
    </row>
    <row r="252" customHeight="1" spans="1:2">
      <c r="A252" s="158">
        <v>44427</v>
      </c>
      <c r="B252" s="100">
        <v>0.3095</v>
      </c>
    </row>
    <row r="253" customHeight="1" spans="1:2">
      <c r="A253" s="158">
        <v>44434</v>
      </c>
      <c r="B253" s="100">
        <v>0.3133</v>
      </c>
    </row>
    <row r="254" customHeight="1" spans="1:2">
      <c r="A254" s="158">
        <v>44441</v>
      </c>
      <c r="B254" s="100">
        <v>0.315</v>
      </c>
    </row>
    <row r="255" customHeight="1" spans="1:2">
      <c r="A255" s="158">
        <v>44448</v>
      </c>
      <c r="B255" s="100">
        <v>0.2842</v>
      </c>
    </row>
    <row r="256" customHeight="1" spans="1:2">
      <c r="A256" s="158">
        <v>44455</v>
      </c>
      <c r="B256" s="100">
        <v>0.2805</v>
      </c>
    </row>
    <row r="257" customHeight="1" spans="1:2">
      <c r="A257" s="158">
        <v>44462</v>
      </c>
      <c r="B257" s="100">
        <v>0.2532</v>
      </c>
    </row>
    <row r="258" customHeight="1" spans="1:2">
      <c r="A258" s="158">
        <v>44469</v>
      </c>
      <c r="B258" s="100">
        <v>0.2407</v>
      </c>
    </row>
    <row r="259" customHeight="1" spans="1:2">
      <c r="A259" s="158">
        <v>44477</v>
      </c>
      <c r="B259" s="100">
        <v>0.23</v>
      </c>
    </row>
    <row r="260" customHeight="1" spans="1:2">
      <c r="A260" s="158">
        <v>44483</v>
      </c>
      <c r="B260" s="100">
        <v>0.235</v>
      </c>
    </row>
    <row r="261" customHeight="1" spans="1:2">
      <c r="A261" s="158">
        <v>44491</v>
      </c>
      <c r="B261" s="100">
        <v>0.2138</v>
      </c>
    </row>
    <row r="262" customHeight="1" spans="1:2">
      <c r="A262" s="158">
        <v>44497</v>
      </c>
      <c r="B262" s="100">
        <v>0.205</v>
      </c>
    </row>
    <row r="263" customHeight="1" spans="1:2">
      <c r="A263" s="158">
        <v>44504</v>
      </c>
      <c r="B263" s="100">
        <v>0.1988</v>
      </c>
    </row>
    <row r="264" customHeight="1" spans="1:2">
      <c r="A264" s="158">
        <v>44511</v>
      </c>
      <c r="B264" s="100">
        <v>0.1951</v>
      </c>
    </row>
    <row r="265" customHeight="1" spans="1:2">
      <c r="A265" s="158">
        <v>44518</v>
      </c>
      <c r="B265" s="100">
        <v>0.1974</v>
      </c>
    </row>
    <row r="266" customHeight="1" spans="1:2">
      <c r="A266" s="158">
        <v>44525</v>
      </c>
      <c r="B266" s="100">
        <v>0.1812</v>
      </c>
    </row>
    <row r="267" customHeight="1" spans="1:2">
      <c r="A267" s="158">
        <v>44532</v>
      </c>
      <c r="B267" s="100">
        <v>0.1767</v>
      </c>
    </row>
    <row r="268" customHeight="1" spans="1:2">
      <c r="A268" s="158">
        <v>44539</v>
      </c>
      <c r="B268" s="100">
        <v>0.1802</v>
      </c>
    </row>
    <row r="269" customHeight="1" spans="1:2">
      <c r="A269" s="158">
        <v>44546</v>
      </c>
      <c r="B269" s="100">
        <v>0.175</v>
      </c>
    </row>
    <row r="270" customHeight="1" spans="1:2">
      <c r="A270" s="158">
        <v>44553</v>
      </c>
      <c r="B270" s="100">
        <v>0.1728</v>
      </c>
    </row>
    <row r="271" customHeight="1" spans="1:2">
      <c r="A271" s="158">
        <v>44560</v>
      </c>
      <c r="B271" s="100">
        <v>0.165</v>
      </c>
    </row>
    <row r="272" customHeight="1" spans="1:2">
      <c r="A272" s="158">
        <v>44567</v>
      </c>
      <c r="B272" s="100">
        <v>0.1623</v>
      </c>
    </row>
    <row r="273" customHeight="1" spans="1:2">
      <c r="A273" s="158">
        <v>44574</v>
      </c>
      <c r="B273" s="100">
        <v>0.163</v>
      </c>
    </row>
    <row r="274" customHeight="1" spans="1:2">
      <c r="A274" s="158">
        <v>44581</v>
      </c>
      <c r="B274" s="100">
        <v>0.1592</v>
      </c>
    </row>
    <row r="275" customHeight="1" spans="1:2">
      <c r="A275" s="158">
        <v>44587</v>
      </c>
      <c r="B275" s="100">
        <v>0.1575</v>
      </c>
    </row>
    <row r="276" s="91" customFormat="1" customHeight="1" spans="1:2">
      <c r="A276" s="158">
        <v>44602</v>
      </c>
      <c r="B276" s="100">
        <v>0.1538</v>
      </c>
    </row>
    <row r="277" s="191" customFormat="1" customHeight="1" spans="1:2">
      <c r="A277" s="158">
        <v>44609</v>
      </c>
      <c r="B277" s="100">
        <v>0.1598</v>
      </c>
    </row>
    <row r="278" s="90" customFormat="1" customHeight="1" spans="1:2">
      <c r="A278" s="158">
        <v>44616</v>
      </c>
      <c r="B278" s="100">
        <v>0.1618</v>
      </c>
    </row>
    <row r="279" s="91" customFormat="1" customHeight="1" spans="1:2">
      <c r="A279" s="158">
        <v>44623</v>
      </c>
      <c r="B279" s="100">
        <v>0.1623</v>
      </c>
    </row>
    <row r="280" s="91" customFormat="1" customHeight="1" spans="1:2">
      <c r="A280" s="158">
        <v>44630</v>
      </c>
      <c r="B280" s="100">
        <v>0.1763</v>
      </c>
    </row>
    <row r="281" s="124" customFormat="1" customHeight="1" spans="1:2">
      <c r="A281" s="158">
        <v>44637</v>
      </c>
      <c r="B281" s="100">
        <v>0.178</v>
      </c>
    </row>
    <row r="282" customHeight="1" spans="1:2">
      <c r="A282" s="158">
        <v>44644</v>
      </c>
      <c r="B282" s="100">
        <v>0.1795</v>
      </c>
    </row>
    <row r="283" s="91" customFormat="1" customHeight="1" spans="1:2">
      <c r="A283" s="158">
        <v>44651</v>
      </c>
      <c r="B283" s="100">
        <v>0.189</v>
      </c>
    </row>
    <row r="284" customFormat="1" customHeight="1" spans="1:2">
      <c r="A284" s="158">
        <v>44658</v>
      </c>
      <c r="B284" s="100">
        <v>0.1913</v>
      </c>
    </row>
    <row r="285" customFormat="1" customHeight="1" spans="1:2">
      <c r="A285" s="158">
        <v>44665</v>
      </c>
      <c r="B285" s="100">
        <v>0.1942</v>
      </c>
    </row>
    <row r="286" customFormat="1" customHeight="1" spans="1:2">
      <c r="A286" s="158">
        <v>44672</v>
      </c>
      <c r="B286" s="100">
        <v>0.1858</v>
      </c>
    </row>
    <row r="287" customFormat="1" customHeight="1" spans="1:2">
      <c r="A287" s="158">
        <v>44679</v>
      </c>
      <c r="B287" s="100">
        <v>0.1833</v>
      </c>
    </row>
    <row r="288" customFormat="1" customHeight="1" spans="1:2">
      <c r="A288" s="158">
        <v>44686</v>
      </c>
      <c r="B288" s="100">
        <v>0.1848</v>
      </c>
    </row>
    <row r="289" customFormat="1" customHeight="1" spans="1:2">
      <c r="A289" s="158">
        <v>44693</v>
      </c>
      <c r="B289" s="100">
        <v>0.1765</v>
      </c>
    </row>
    <row r="290" customFormat="1" customHeight="1" spans="1:2">
      <c r="A290" s="158">
        <v>44700</v>
      </c>
      <c r="B290" s="100">
        <v>0.174</v>
      </c>
    </row>
    <row r="291" s="8" customFormat="1" customHeight="1" spans="1:2">
      <c r="A291" s="158">
        <v>44707</v>
      </c>
      <c r="B291" s="100">
        <v>0.1733</v>
      </c>
    </row>
    <row r="292" s="91" customFormat="1" customHeight="1" spans="1:2">
      <c r="A292" s="158">
        <v>44714</v>
      </c>
      <c r="B292" s="100">
        <v>0.1772</v>
      </c>
    </row>
    <row r="293" s="91" customFormat="1" customHeight="1" spans="1:2">
      <c r="A293" s="158">
        <v>44721</v>
      </c>
      <c r="B293" s="100">
        <v>0.1785</v>
      </c>
    </row>
    <row r="294" s="91" customFormat="1" customHeight="1" spans="1:2">
      <c r="A294" s="158">
        <v>44728</v>
      </c>
      <c r="B294" s="100">
        <v>0.1802</v>
      </c>
    </row>
    <row r="295" s="91" customFormat="1" customHeight="1" spans="1:2">
      <c r="A295" s="158">
        <v>44735</v>
      </c>
      <c r="B295" s="100">
        <v>0.1807</v>
      </c>
    </row>
    <row r="296" s="8" customFormat="1" customHeight="1" spans="1:2">
      <c r="A296" s="158">
        <v>44742</v>
      </c>
      <c r="B296" s="100">
        <v>0.1743</v>
      </c>
    </row>
    <row r="297" s="8" customFormat="1" customHeight="1" spans="1:2">
      <c r="A297" s="158">
        <v>44749</v>
      </c>
      <c r="B297" s="100">
        <v>0.1725</v>
      </c>
    </row>
    <row r="298" customHeight="1" spans="1:2">
      <c r="A298" s="158">
        <v>44756</v>
      </c>
      <c r="B298" s="100">
        <v>0.173</v>
      </c>
    </row>
    <row r="299" customHeight="1" spans="1:2">
      <c r="A299" s="158">
        <v>44763</v>
      </c>
      <c r="B299" s="100">
        <v>0.1722</v>
      </c>
    </row>
    <row r="300" customHeight="1" spans="1:2">
      <c r="A300" s="158">
        <v>44770</v>
      </c>
      <c r="B300" s="100">
        <v>0.1652</v>
      </c>
    </row>
    <row r="301" s="8" customFormat="1" customHeight="1" spans="1:2">
      <c r="A301" s="158">
        <v>44777</v>
      </c>
      <c r="B301" s="100">
        <v>0.1633</v>
      </c>
    </row>
    <row r="302" customHeight="1" spans="1:2">
      <c r="A302" s="158">
        <v>44784</v>
      </c>
      <c r="B302" s="100">
        <v>0.1592</v>
      </c>
    </row>
    <row r="303" customHeight="1" spans="1:2">
      <c r="A303" s="158">
        <v>44791</v>
      </c>
      <c r="B303" s="100">
        <v>0.1615</v>
      </c>
    </row>
    <row r="304" customHeight="1" spans="1:2">
      <c r="A304" s="158">
        <v>44798</v>
      </c>
      <c r="B304" s="100">
        <v>0.1597</v>
      </c>
    </row>
    <row r="305" customHeight="1" spans="1:2">
      <c r="A305" s="158">
        <v>44805</v>
      </c>
      <c r="B305" s="100">
        <v>0.157</v>
      </c>
    </row>
    <row r="306" customHeight="1" spans="1:2">
      <c r="A306" s="158">
        <v>44812</v>
      </c>
      <c r="B306" s="100">
        <v>0.1538</v>
      </c>
    </row>
    <row r="307" customHeight="1" spans="1:2">
      <c r="A307" s="158">
        <v>44819</v>
      </c>
      <c r="B307" s="100">
        <v>0.1517</v>
      </c>
    </row>
    <row r="308" customHeight="1" spans="1:2">
      <c r="A308" s="158">
        <v>44826</v>
      </c>
      <c r="B308" s="100">
        <v>0.145</v>
      </c>
    </row>
    <row r="309" customHeight="1" spans="1:2">
      <c r="A309" s="158">
        <v>44833</v>
      </c>
      <c r="B309" s="100">
        <v>0.1428</v>
      </c>
    </row>
    <row r="310" customHeight="1" spans="1:2">
      <c r="A310" s="158">
        <v>44842</v>
      </c>
      <c r="B310" s="100">
        <v>0.1378</v>
      </c>
    </row>
    <row r="311" customHeight="1" spans="1:2">
      <c r="A311" s="158">
        <v>44847</v>
      </c>
      <c r="B311" s="100">
        <v>0.1363</v>
      </c>
    </row>
    <row r="312" customHeight="1" spans="1:2">
      <c r="A312" s="158">
        <v>44854</v>
      </c>
      <c r="B312" s="100">
        <v>0.1358</v>
      </c>
    </row>
    <row r="313" customHeight="1" spans="1:2">
      <c r="A313" s="158">
        <v>44861</v>
      </c>
      <c r="B313" s="100">
        <v>0.1355</v>
      </c>
    </row>
    <row r="314" customHeight="1" spans="1:2">
      <c r="A314" s="158">
        <v>44868</v>
      </c>
      <c r="B314" s="100">
        <v>0.1408</v>
      </c>
    </row>
    <row r="315" customHeight="1" spans="1:2">
      <c r="A315" s="158">
        <v>44875</v>
      </c>
      <c r="B315" s="100">
        <v>0.1393</v>
      </c>
    </row>
    <row r="316" customHeight="1" spans="1:2">
      <c r="A316" s="158">
        <v>44882</v>
      </c>
      <c r="B316" s="100">
        <v>0.1378</v>
      </c>
    </row>
    <row r="317" customHeight="1" spans="1:2">
      <c r="A317" s="158">
        <v>44889</v>
      </c>
      <c r="B317" s="100">
        <v>0.1368</v>
      </c>
    </row>
    <row r="318" customHeight="1" spans="1:2">
      <c r="A318" s="158">
        <v>44896</v>
      </c>
      <c r="B318" s="100">
        <v>0.1325</v>
      </c>
    </row>
    <row r="319" customHeight="1" spans="1:2">
      <c r="A319" s="158">
        <v>44903</v>
      </c>
      <c r="B319" s="100">
        <v>0.1325</v>
      </c>
    </row>
    <row r="320" customHeight="1" spans="1:2">
      <c r="A320" s="158">
        <v>44910</v>
      </c>
      <c r="B320" s="100">
        <v>0.1297</v>
      </c>
    </row>
    <row r="321" customHeight="1" spans="1:2">
      <c r="A321" s="158">
        <v>44917</v>
      </c>
      <c r="B321" s="100">
        <v>0.1298</v>
      </c>
    </row>
    <row r="322" customHeight="1" spans="1:2">
      <c r="A322" s="158">
        <v>44924</v>
      </c>
      <c r="B322" s="100">
        <v>0.1292</v>
      </c>
    </row>
    <row r="323" customHeight="1" spans="1:2">
      <c r="A323" s="158">
        <v>44931</v>
      </c>
      <c r="B323" s="104">
        <v>0.1343</v>
      </c>
    </row>
    <row r="324" customHeight="1" spans="1:2">
      <c r="A324" s="158">
        <v>44938</v>
      </c>
      <c r="B324" s="104">
        <v>0.1333</v>
      </c>
    </row>
    <row r="325" customHeight="1" spans="1:2">
      <c r="A325" s="158">
        <v>44959</v>
      </c>
      <c r="B325" s="104">
        <v>0.1405</v>
      </c>
    </row>
    <row r="326" customHeight="1" spans="1:2">
      <c r="A326" s="158">
        <v>44966</v>
      </c>
      <c r="B326" s="104">
        <v>0.1475</v>
      </c>
    </row>
    <row r="327" customHeight="1" spans="1:2">
      <c r="A327" s="158">
        <v>44973</v>
      </c>
      <c r="B327" s="104">
        <v>0.1547</v>
      </c>
    </row>
    <row r="328" customHeight="1" spans="1:2">
      <c r="A328" s="158">
        <v>44980</v>
      </c>
      <c r="B328" s="104">
        <v>0.1772</v>
      </c>
    </row>
    <row r="329" customHeight="1" spans="1:2">
      <c r="A329" s="158">
        <v>44987</v>
      </c>
      <c r="B329" s="104">
        <v>0.1858</v>
      </c>
    </row>
    <row r="330" customHeight="1" spans="1:2">
      <c r="A330" s="158">
        <v>44994</v>
      </c>
      <c r="B330" s="104">
        <v>0.1907</v>
      </c>
    </row>
    <row r="331" customHeight="1" spans="1:2">
      <c r="A331" s="158">
        <v>45001</v>
      </c>
      <c r="B331" s="104">
        <v>0.1972</v>
      </c>
    </row>
    <row r="332" customHeight="1" spans="1:2">
      <c r="A332" s="158">
        <v>45008</v>
      </c>
      <c r="B332" s="104">
        <v>0.2137</v>
      </c>
    </row>
    <row r="333" customHeight="1" spans="1:2">
      <c r="A333" s="158">
        <v>45015</v>
      </c>
      <c r="B333" s="104">
        <v>0.2303</v>
      </c>
    </row>
    <row r="334" customHeight="1" spans="1:2">
      <c r="A334" s="158">
        <v>45022</v>
      </c>
      <c r="B334" s="104">
        <v>0.2333</v>
      </c>
    </row>
    <row r="335" customHeight="1" spans="1:2">
      <c r="A335" s="158">
        <v>45029</v>
      </c>
      <c r="B335" s="104">
        <v>0.2432</v>
      </c>
    </row>
    <row r="336" customHeight="1" spans="1:2">
      <c r="A336" s="158">
        <v>45036</v>
      </c>
      <c r="B336" s="104">
        <v>0.2563</v>
      </c>
    </row>
    <row r="337" customHeight="1" spans="1:2">
      <c r="A337" s="158">
        <v>45043</v>
      </c>
      <c r="B337" s="104">
        <v>0.255</v>
      </c>
    </row>
    <row r="338" customHeight="1" spans="1:2">
      <c r="A338" s="158">
        <v>45050</v>
      </c>
      <c r="B338" s="104">
        <v>0.2562</v>
      </c>
    </row>
    <row r="339" customHeight="1" spans="1:2">
      <c r="A339" s="158">
        <v>45057</v>
      </c>
      <c r="B339" s="104">
        <v>0.2528</v>
      </c>
    </row>
    <row r="340" customHeight="1" spans="1:2">
      <c r="A340" s="158">
        <v>45064</v>
      </c>
      <c r="B340" s="104">
        <v>0.2495</v>
      </c>
    </row>
    <row r="341" customHeight="1" spans="1:2">
      <c r="A341" s="158">
        <v>45071</v>
      </c>
      <c r="B341" s="104">
        <v>0.2467</v>
      </c>
    </row>
    <row r="342" customHeight="1" spans="1:2">
      <c r="A342" s="158">
        <v>45078</v>
      </c>
      <c r="B342" s="104">
        <v>0.242</v>
      </c>
    </row>
    <row r="343" customHeight="1" spans="1:2">
      <c r="A343" s="158">
        <v>45085</v>
      </c>
      <c r="B343" s="104">
        <v>0.2593</v>
      </c>
    </row>
    <row r="344" customHeight="1" spans="1:2">
      <c r="A344" s="158">
        <v>45092</v>
      </c>
      <c r="B344" s="104">
        <v>0.2547</v>
      </c>
    </row>
    <row r="345" customHeight="1" spans="1:2">
      <c r="A345" s="158">
        <v>45098</v>
      </c>
      <c r="B345" s="104">
        <v>0.2508</v>
      </c>
    </row>
    <row r="346" customHeight="1" spans="1:2">
      <c r="A346" s="158">
        <v>45106</v>
      </c>
      <c r="B346" s="104">
        <v>0.2497</v>
      </c>
    </row>
    <row r="347" customHeight="1" spans="1:2">
      <c r="A347" s="158">
        <v>45113</v>
      </c>
      <c r="B347" s="104">
        <v>0.2463</v>
      </c>
    </row>
    <row r="348" customHeight="1" spans="1:2">
      <c r="A348" s="158">
        <v>45120</v>
      </c>
      <c r="B348" s="104">
        <v>0.2367</v>
      </c>
    </row>
    <row r="349" customHeight="1" spans="1:2">
      <c r="A349" s="158">
        <v>45127</v>
      </c>
      <c r="B349" s="104">
        <v>0.2222</v>
      </c>
    </row>
    <row r="350" customHeight="1" spans="1:2">
      <c r="A350" s="158">
        <v>45134</v>
      </c>
      <c r="B350" s="104">
        <v>0.2132</v>
      </c>
    </row>
    <row r="351" customHeight="1" spans="1:2">
      <c r="A351" s="158">
        <v>45141</v>
      </c>
      <c r="B351" s="104">
        <v>0.205</v>
      </c>
    </row>
    <row r="352" customHeight="1" spans="1:2">
      <c r="A352" s="158">
        <v>45148</v>
      </c>
      <c r="B352" s="104">
        <v>0.2023</v>
      </c>
    </row>
    <row r="353" customHeight="1" spans="1:2">
      <c r="A353" s="158">
        <v>45155</v>
      </c>
      <c r="B353" s="104">
        <v>0.2008</v>
      </c>
    </row>
    <row r="354" customHeight="1" spans="1:2">
      <c r="A354" s="158">
        <v>45162</v>
      </c>
      <c r="B354" s="104">
        <v>0.1983</v>
      </c>
    </row>
    <row r="355" customHeight="1" spans="1:2">
      <c r="A355" s="158">
        <v>45169</v>
      </c>
      <c r="B355" s="104">
        <v>0.198</v>
      </c>
    </row>
    <row r="356" customHeight="1" spans="1:2">
      <c r="A356" s="158">
        <v>45176</v>
      </c>
      <c r="B356" s="104">
        <v>0.1956</v>
      </c>
    </row>
    <row r="357" customHeight="1" spans="1:2">
      <c r="A357" s="158">
        <v>45183</v>
      </c>
      <c r="B357" s="104">
        <v>0.1902</v>
      </c>
    </row>
    <row r="358" customHeight="1" spans="1:2">
      <c r="A358" s="158">
        <v>45190</v>
      </c>
      <c r="B358" s="104">
        <v>0.1875</v>
      </c>
    </row>
    <row r="359" customHeight="1" spans="1:2">
      <c r="A359" s="158">
        <v>45197</v>
      </c>
      <c r="B359" s="189">
        <v>0.1862</v>
      </c>
    </row>
    <row r="360" customHeight="1" spans="1:2">
      <c r="A360" s="158">
        <v>45205</v>
      </c>
      <c r="B360" s="104">
        <v>0.1858</v>
      </c>
    </row>
    <row r="361" customHeight="1" spans="1:2">
      <c r="A361" s="158">
        <v>45211</v>
      </c>
      <c r="B361" s="189">
        <v>0.186</v>
      </c>
    </row>
    <row r="362" customHeight="1" spans="1:2">
      <c r="A362" s="158">
        <v>45218</v>
      </c>
      <c r="B362" s="104">
        <v>0.1885</v>
      </c>
    </row>
    <row r="363" customHeight="1" spans="1:2">
      <c r="A363" s="158">
        <v>45225</v>
      </c>
      <c r="B363" s="189">
        <v>0.1962</v>
      </c>
    </row>
    <row r="364" customHeight="1" spans="1:2">
      <c r="A364" s="158">
        <v>45232</v>
      </c>
      <c r="B364" s="104">
        <v>0.205</v>
      </c>
    </row>
    <row r="365" customHeight="1" spans="1:2">
      <c r="A365" s="158">
        <v>45239</v>
      </c>
      <c r="B365" s="189">
        <v>0.2075</v>
      </c>
    </row>
    <row r="366" customHeight="1" spans="1:2">
      <c r="A366" s="158">
        <v>45246</v>
      </c>
      <c r="B366" s="104">
        <v>0.207</v>
      </c>
    </row>
    <row r="367" customHeight="1" spans="1:2">
      <c r="A367" s="158">
        <v>45253</v>
      </c>
      <c r="B367" s="189">
        <v>0.2093</v>
      </c>
    </row>
    <row r="368" customHeight="1" spans="1:2">
      <c r="A368" s="158">
        <v>45260</v>
      </c>
      <c r="B368" s="104">
        <v>0.2077</v>
      </c>
    </row>
    <row r="369" customHeight="1" spans="1:2">
      <c r="A369" s="158">
        <v>45267</v>
      </c>
      <c r="B369" s="189">
        <v>0.2088</v>
      </c>
    </row>
    <row r="370" customHeight="1" spans="1:2">
      <c r="A370" s="158">
        <v>45274</v>
      </c>
      <c r="B370" s="104">
        <v>0.2057</v>
      </c>
    </row>
    <row r="371" customHeight="1" spans="1:2">
      <c r="A371" s="158">
        <v>45281</v>
      </c>
      <c r="B371" s="189">
        <v>0.2048</v>
      </c>
    </row>
    <row r="372" customHeight="1" spans="1:2">
      <c r="A372" s="158">
        <v>45288</v>
      </c>
      <c r="B372" s="104">
        <v>0.2017</v>
      </c>
    </row>
    <row r="373" customHeight="1" spans="1:2">
      <c r="A373" s="158">
        <v>45295</v>
      </c>
      <c r="B373" s="189">
        <v>0.1953</v>
      </c>
    </row>
    <row r="374" customHeight="1" spans="1:2">
      <c r="A374" s="158">
        <v>45302</v>
      </c>
      <c r="B374" s="104">
        <v>0.193</v>
      </c>
    </row>
    <row r="375" customHeight="1" spans="1:2">
      <c r="A375" s="158">
        <v>45309</v>
      </c>
      <c r="B375" s="189">
        <v>0.1905</v>
      </c>
    </row>
    <row r="376" customHeight="1" spans="1:2">
      <c r="A376" s="158">
        <v>45316</v>
      </c>
      <c r="B376" s="104">
        <v>0.1888</v>
      </c>
    </row>
    <row r="377" customHeight="1" spans="1:2">
      <c r="A377" s="158">
        <v>45323</v>
      </c>
      <c r="B377" s="189">
        <v>0.1878</v>
      </c>
    </row>
    <row r="378" customHeight="1" spans="1:2">
      <c r="A378" s="158">
        <v>45344</v>
      </c>
      <c r="B378" s="189">
        <v>0.1737</v>
      </c>
    </row>
    <row r="379" customHeight="1" spans="1:2">
      <c r="A379" s="158">
        <v>45351</v>
      </c>
      <c r="B379" s="189">
        <v>0.1788</v>
      </c>
    </row>
    <row r="380" customHeight="1" spans="1:2">
      <c r="A380" s="158">
        <v>45358</v>
      </c>
      <c r="B380" s="189">
        <v>0.1813</v>
      </c>
    </row>
    <row r="381" customHeight="1" spans="1:2">
      <c r="A381" s="158">
        <v>45365</v>
      </c>
      <c r="B381" s="189">
        <v>0.1845</v>
      </c>
    </row>
    <row r="382" customHeight="1" spans="1:2">
      <c r="A382" s="158">
        <v>45372</v>
      </c>
      <c r="B382" s="189">
        <v>0.1863</v>
      </c>
    </row>
    <row r="383" customHeight="1" spans="1:2">
      <c r="A383" s="158">
        <v>45379</v>
      </c>
      <c r="B383" s="189">
        <v>0.1835</v>
      </c>
    </row>
    <row r="384" customHeight="1" spans="1:2">
      <c r="A384" s="158">
        <v>45385</v>
      </c>
      <c r="B384" s="189">
        <v>0.1783</v>
      </c>
    </row>
    <row r="385" customHeight="1" spans="1:2">
      <c r="A385" s="158">
        <v>45393</v>
      </c>
      <c r="B385" s="189">
        <v>0.1745</v>
      </c>
    </row>
    <row r="386" customHeight="1" spans="1:2">
      <c r="A386" s="158">
        <v>45400</v>
      </c>
      <c r="B386" s="189">
        <v>0.173</v>
      </c>
    </row>
    <row r="387" customHeight="1" spans="1:2">
      <c r="A387" s="158">
        <v>45407</v>
      </c>
      <c r="B387" s="189">
        <v>0.173</v>
      </c>
    </row>
    <row r="388" customHeight="1" spans="1:2">
      <c r="A388" s="158">
        <v>45414</v>
      </c>
      <c r="B388" s="189">
        <v>0.1718</v>
      </c>
    </row>
    <row r="389" customHeight="1" spans="1:2">
      <c r="A389" s="158">
        <v>45421</v>
      </c>
      <c r="B389" s="189">
        <v>0.1713</v>
      </c>
    </row>
    <row r="390" customHeight="1" spans="1:2">
      <c r="A390" s="158">
        <v>45428</v>
      </c>
      <c r="B390" s="189">
        <v>0.1718</v>
      </c>
    </row>
    <row r="391" customHeight="1" spans="1:2">
      <c r="A391" s="158">
        <v>45435</v>
      </c>
      <c r="B391" s="189">
        <v>0.1717</v>
      </c>
    </row>
    <row r="392" customHeight="1" spans="1:2">
      <c r="A392" s="158">
        <v>45442</v>
      </c>
      <c r="B392" s="189">
        <v>0.1667</v>
      </c>
    </row>
    <row r="393" customHeight="1" spans="1:2">
      <c r="A393" s="158">
        <v>45449</v>
      </c>
      <c r="B393" s="189">
        <v>0.1648</v>
      </c>
    </row>
    <row r="394" customHeight="1" spans="1:2">
      <c r="A394" s="158">
        <v>45456</v>
      </c>
      <c r="B394" s="189">
        <v>0.1655</v>
      </c>
    </row>
    <row r="395" customHeight="1" spans="1:2">
      <c r="A395" s="158">
        <v>45463</v>
      </c>
      <c r="B395" s="189">
        <v>0.1664</v>
      </c>
    </row>
    <row r="396" customHeight="1" spans="1:2">
      <c r="A396" s="158">
        <v>45470</v>
      </c>
      <c r="B396" s="189">
        <v>0.1679</v>
      </c>
    </row>
    <row r="397" customHeight="1" spans="1:2">
      <c r="A397" s="158">
        <v>45477</v>
      </c>
      <c r="B397" s="189">
        <v>0.1701</v>
      </c>
    </row>
    <row r="398" customHeight="1" spans="1:2">
      <c r="A398" s="158">
        <v>45484</v>
      </c>
      <c r="B398" s="187">
        <v>0.1705</v>
      </c>
    </row>
    <row r="399" customHeight="1" spans="1:2">
      <c r="A399" s="158">
        <v>45491</v>
      </c>
      <c r="B399" s="189">
        <v>0.1688</v>
      </c>
    </row>
    <row r="400" customHeight="1" spans="1:2">
      <c r="A400" s="158">
        <v>45498</v>
      </c>
      <c r="B400" s="187">
        <v>0.1674</v>
      </c>
    </row>
    <row r="401" customHeight="1" spans="1:2">
      <c r="A401" s="158">
        <v>45505</v>
      </c>
      <c r="B401" s="189">
        <v>0.1666</v>
      </c>
    </row>
    <row r="402" customHeight="1" spans="1:2">
      <c r="A402" s="158">
        <v>45512</v>
      </c>
      <c r="B402" s="187">
        <v>0.1656</v>
      </c>
    </row>
    <row r="403" customHeight="1" spans="1:2">
      <c r="A403" s="158">
        <v>45519</v>
      </c>
      <c r="B403" s="189">
        <v>0.1638</v>
      </c>
    </row>
    <row r="404" customHeight="1" spans="1:2">
      <c r="A404" s="158">
        <v>45526</v>
      </c>
      <c r="B404" s="187">
        <v>0.1589</v>
      </c>
    </row>
    <row r="405" customHeight="1" spans="1:2">
      <c r="A405" s="158">
        <v>45533</v>
      </c>
      <c r="B405" s="189">
        <v>0.1597</v>
      </c>
    </row>
    <row r="406" customHeight="1" spans="1:2">
      <c r="A406" s="158">
        <v>45540</v>
      </c>
      <c r="B406" s="187">
        <v>0.158</v>
      </c>
    </row>
    <row r="407" customHeight="1" spans="1:2">
      <c r="A407" s="158">
        <v>45547</v>
      </c>
      <c r="B407" s="189">
        <v>0.1578</v>
      </c>
    </row>
    <row r="408" customHeight="1" spans="1:2">
      <c r="A408" s="158">
        <v>45554</v>
      </c>
      <c r="B408" s="187">
        <v>0.1557</v>
      </c>
    </row>
    <row r="409" customHeight="1" spans="1:2">
      <c r="A409" s="158">
        <v>45561</v>
      </c>
      <c r="B409" s="189">
        <v>0.1584</v>
      </c>
    </row>
    <row r="410" customHeight="1" spans="1:2">
      <c r="A410" s="158">
        <v>45575</v>
      </c>
      <c r="B410" s="189">
        <v>0.1607</v>
      </c>
    </row>
    <row r="411" customHeight="1" spans="1:2">
      <c r="A411" s="158">
        <v>45582</v>
      </c>
      <c r="B411" s="189">
        <v>0.1605</v>
      </c>
    </row>
    <row r="412" customHeight="1" spans="1:2">
      <c r="A412" s="158">
        <v>45589</v>
      </c>
      <c r="B412" s="189">
        <v>0.1603</v>
      </c>
    </row>
    <row r="413" customHeight="1" spans="1:2">
      <c r="A413" s="158">
        <v>45596</v>
      </c>
      <c r="B413" s="189">
        <v>0.1596</v>
      </c>
    </row>
    <row r="414" customHeight="1" spans="1:2">
      <c r="A414" s="158">
        <v>45603</v>
      </c>
      <c r="B414" s="189">
        <v>0.1597</v>
      </c>
    </row>
    <row r="415" customHeight="1" spans="1:2">
      <c r="A415" s="158">
        <v>45610</v>
      </c>
      <c r="B415" s="189">
        <v>0.1592</v>
      </c>
    </row>
    <row r="416" customHeight="1" spans="1:2">
      <c r="A416" s="158">
        <v>45617</v>
      </c>
      <c r="B416" s="189">
        <v>0.1593</v>
      </c>
    </row>
    <row r="417" customHeight="1" spans="1:2">
      <c r="A417" s="158">
        <v>45624</v>
      </c>
      <c r="B417" s="189">
        <v>0.1588</v>
      </c>
    </row>
    <row r="418" customHeight="1" spans="1:2">
      <c r="A418" s="158">
        <v>45631</v>
      </c>
      <c r="B418" s="189">
        <v>0.1582</v>
      </c>
    </row>
    <row r="419" customHeight="1" spans="1:2">
      <c r="A419" s="158">
        <v>45638</v>
      </c>
      <c r="B419" s="189">
        <v>0.1556</v>
      </c>
    </row>
    <row r="420" customHeight="1" spans="1:2">
      <c r="A420" s="158">
        <v>45645</v>
      </c>
      <c r="B420" s="189">
        <v>0.1501</v>
      </c>
    </row>
    <row r="421" customHeight="1" spans="1:2">
      <c r="A421" s="158">
        <v>45652</v>
      </c>
      <c r="B421" s="189">
        <v>0.1505</v>
      </c>
    </row>
    <row r="422" customHeight="1" spans="1:2">
      <c r="A422" s="158">
        <v>45659</v>
      </c>
      <c r="B422" s="189">
        <v>0.1496</v>
      </c>
    </row>
    <row r="423" customHeight="1" spans="1:2">
      <c r="A423" s="158">
        <v>45666</v>
      </c>
      <c r="B423" s="189">
        <v>0.1474</v>
      </c>
    </row>
    <row r="424" customHeight="1" spans="1:2">
      <c r="A424" s="158">
        <v>45673</v>
      </c>
      <c r="B424" s="189">
        <v>0.1467</v>
      </c>
    </row>
    <row r="425" customHeight="1" spans="1:2">
      <c r="A425" s="158">
        <v>45680</v>
      </c>
      <c r="B425" s="189">
        <v>0.145</v>
      </c>
    </row>
    <row r="426" customHeight="1" spans="1:2">
      <c r="A426" s="158">
        <v>45694</v>
      </c>
      <c r="B426" s="187">
        <v>0.1447</v>
      </c>
    </row>
    <row r="427" customHeight="1" spans="1:2">
      <c r="A427" s="158">
        <v>45701</v>
      </c>
      <c r="B427" s="187">
        <v>0.1457</v>
      </c>
    </row>
    <row r="428" customHeight="1" spans="1:2">
      <c r="A428" s="158">
        <v>45708</v>
      </c>
      <c r="B428" s="187">
        <v>0.1472</v>
      </c>
    </row>
    <row r="429" customHeight="1" spans="1:2">
      <c r="A429" s="158">
        <v>45715</v>
      </c>
      <c r="B429" s="187">
        <v>0.1503</v>
      </c>
    </row>
    <row r="430" customHeight="1" spans="1:2">
      <c r="A430" s="158">
        <v>45722</v>
      </c>
      <c r="B430" s="187">
        <v>0.1558</v>
      </c>
    </row>
    <row r="431" customHeight="1" spans="1:2">
      <c r="A431" s="158">
        <v>45729</v>
      </c>
      <c r="B431" s="187">
        <v>0.1606</v>
      </c>
    </row>
    <row r="432" customHeight="1" spans="1:2">
      <c r="A432" s="158">
        <v>45736</v>
      </c>
      <c r="B432" s="187">
        <v>0.1659</v>
      </c>
    </row>
    <row r="433" customHeight="1" spans="1:2">
      <c r="A433" s="158">
        <v>45743</v>
      </c>
      <c r="B433" s="187">
        <v>0.1685</v>
      </c>
    </row>
    <row r="434" customHeight="1" spans="1:2">
      <c r="A434" s="158">
        <v>45750</v>
      </c>
      <c r="B434" s="187">
        <v>0.1704</v>
      </c>
    </row>
    <row r="435" customHeight="1" spans="1:2">
      <c r="A435" s="158">
        <v>45757</v>
      </c>
      <c r="B435" s="187">
        <v>0.1716</v>
      </c>
    </row>
    <row r="436" customHeight="1" spans="1:2">
      <c r="A436" s="158">
        <v>45764</v>
      </c>
      <c r="B436" s="187">
        <v>0.1713</v>
      </c>
    </row>
    <row r="437" customHeight="1" spans="1:2">
      <c r="A437" s="158">
        <v>45771</v>
      </c>
      <c r="B437" s="187">
        <v>0.1702</v>
      </c>
    </row>
    <row r="438" customHeight="1" spans="1:2">
      <c r="A438" s="158">
        <v>45777</v>
      </c>
      <c r="B438" s="187">
        <v>0.1684</v>
      </c>
    </row>
    <row r="439" customHeight="1" spans="1:2">
      <c r="A439" s="158">
        <v>45785</v>
      </c>
      <c r="B439" s="187">
        <v>0.165</v>
      </c>
    </row>
    <row r="440" customHeight="1" spans="1:2">
      <c r="A440" s="158">
        <v>45792</v>
      </c>
      <c r="B440" s="187">
        <v>0.1638</v>
      </c>
    </row>
    <row r="441" customHeight="1" spans="1:2">
      <c r="A441" s="158">
        <v>45799</v>
      </c>
      <c r="B441" s="187">
        <v>0.1633</v>
      </c>
    </row>
    <row r="442" customHeight="1" spans="1:2">
      <c r="A442" s="158">
        <v>45806</v>
      </c>
      <c r="B442" s="187">
        <v>0.1621</v>
      </c>
    </row>
    <row r="443" customHeight="1" spans="1:2">
      <c r="A443" s="158">
        <v>45813</v>
      </c>
      <c r="B443" s="187">
        <v>0.1625</v>
      </c>
    </row>
    <row r="444" customHeight="1" spans="1:2">
      <c r="A444" s="158">
        <v>45820</v>
      </c>
      <c r="B444" s="187">
        <v>0.1634</v>
      </c>
    </row>
    <row r="445" customHeight="1" spans="1:2">
      <c r="A445" s="158">
        <v>45827</v>
      </c>
      <c r="B445" s="187">
        <v>0.1649</v>
      </c>
    </row>
    <row r="446" customHeight="1" spans="1:2">
      <c r="A446" s="158">
        <v>45834</v>
      </c>
      <c r="B446" s="187">
        <v>0.1657</v>
      </c>
    </row>
    <row r="447" customHeight="1" spans="1:2">
      <c r="A447" s="158">
        <v>45841</v>
      </c>
      <c r="B447" s="187">
        <v>0.1667</v>
      </c>
    </row>
    <row r="448" customHeight="1" spans="1:2">
      <c r="A448" s="158">
        <v>45848</v>
      </c>
      <c r="B448" s="187">
        <v>0.1678</v>
      </c>
    </row>
    <row r="449" customHeight="1" spans="1:2">
      <c r="A449" s="158">
        <v>45855</v>
      </c>
      <c r="B449" s="187">
        <v>0.1685</v>
      </c>
    </row>
    <row r="450" customHeight="1" spans="1:2">
      <c r="A450" s="158">
        <v>45862</v>
      </c>
      <c r="B450" s="187">
        <v>0.1694</v>
      </c>
    </row>
    <row r="451" customHeight="1" spans="1:2">
      <c r="A451" s="158">
        <v>45869</v>
      </c>
      <c r="B451" s="187">
        <v>0.1705</v>
      </c>
    </row>
    <row r="452" customHeight="1" spans="1:2">
      <c r="A452" s="158">
        <v>45876</v>
      </c>
      <c r="B452" s="187">
        <v>0.1711</v>
      </c>
    </row>
    <row r="453" customHeight="1" spans="1:2">
      <c r="A453" s="158">
        <v>45883</v>
      </c>
      <c r="B453" s="187">
        <v>0.172</v>
      </c>
    </row>
    <row r="454" customHeight="1" spans="1:2">
      <c r="A454" s="158">
        <v>45890</v>
      </c>
      <c r="B454" s="187">
        <v>0.1732</v>
      </c>
    </row>
    <row r="455" customHeight="1" spans="1:2">
      <c r="A455" s="158">
        <v>45897</v>
      </c>
      <c r="B455" s="187">
        <v>0.1738</v>
      </c>
    </row>
    <row r="456" customHeight="1" spans="1:2">
      <c r="A456" s="158">
        <v>45904</v>
      </c>
      <c r="B456" s="187">
        <v>0.1749</v>
      </c>
    </row>
    <row r="457" customHeight="1" spans="1:2">
      <c r="A457" s="158">
        <v>45911</v>
      </c>
      <c r="B457" s="187">
        <v>0.1765</v>
      </c>
    </row>
    <row r="458" customHeight="1" spans="1:2">
      <c r="A458" s="158">
        <v>45918</v>
      </c>
      <c r="B458" s="187">
        <v>0.1791</v>
      </c>
    </row>
    <row r="459" customHeight="1" spans="1:2">
      <c r="A459" s="158">
        <v>45925</v>
      </c>
      <c r="B459" s="187">
        <v>0.1866</v>
      </c>
    </row>
    <row r="460" customHeight="1" spans="1:2">
      <c r="A460" s="158">
        <v>45939</v>
      </c>
      <c r="B460" s="187">
        <v>0.1914</v>
      </c>
    </row>
    <row r="461" customHeight="1" spans="1:2">
      <c r="A461" s="158">
        <v>45946</v>
      </c>
      <c r="B461" s="187">
        <v>0.1968</v>
      </c>
    </row>
    <row r="462" customHeight="1" spans="1:2">
      <c r="A462" s="158">
        <v>45953</v>
      </c>
      <c r="B462" s="187">
        <v>0.1987</v>
      </c>
    </row>
    <row r="463" customHeight="1" spans="1:2">
      <c r="A463" s="158">
        <v>45960</v>
      </c>
      <c r="B463" s="187">
        <v>0.1999</v>
      </c>
    </row>
    <row r="464" customHeight="1" spans="1:2">
      <c r="A464" s="158">
        <v>45967</v>
      </c>
      <c r="B464" s="187">
        <v>0.2003</v>
      </c>
    </row>
    <row r="465" customHeight="1" spans="1:2">
      <c r="A465" s="158">
        <v>45974</v>
      </c>
      <c r="B465" s="187">
        <v>0.2011</v>
      </c>
    </row>
    <row r="466" customHeight="1" spans="1:2">
      <c r="A466" s="158">
        <v>45981</v>
      </c>
      <c r="B466" s="187">
        <v>0.2022</v>
      </c>
    </row>
    <row r="467" customHeight="1" spans="1:2">
      <c r="A467" s="158">
        <v>45988</v>
      </c>
      <c r="B467" s="187">
        <v>0.2015</v>
      </c>
    </row>
    <row r="468" customHeight="1" spans="1:2">
      <c r="A468" s="158">
        <v>45995</v>
      </c>
      <c r="B468" s="187">
        <v>0.2016</v>
      </c>
    </row>
    <row r="469" customHeight="1" spans="1:2">
      <c r="A469" s="158">
        <v>46002</v>
      </c>
      <c r="B469" s="187">
        <v>0.2059</v>
      </c>
    </row>
    <row r="470" customHeight="1" spans="1:2">
      <c r="A470" s="158">
        <v>46009</v>
      </c>
      <c r="B470" s="187">
        <v>0.2036</v>
      </c>
    </row>
    <row r="471" customHeight="1" spans="1:2">
      <c r="A471" s="158">
        <v>46016</v>
      </c>
      <c r="B471" s="187">
        <v>0.2017</v>
      </c>
    </row>
    <row r="472" customHeight="1" spans="1:2">
      <c r="A472" s="158">
        <v>46023</v>
      </c>
      <c r="B472" s="187">
        <v>0.1989</v>
      </c>
    </row>
    <row r="473" customHeight="1" spans="1:2">
      <c r="A473" s="158">
        <v>46030</v>
      </c>
      <c r="B473" s="187">
        <v>0.1948</v>
      </c>
    </row>
    <row r="474" customHeight="1" spans="1:2">
      <c r="A474" s="158">
        <v>46037</v>
      </c>
      <c r="B474" s="187">
        <v>0.1922</v>
      </c>
    </row>
    <row r="475" customHeight="1" spans="1:2">
      <c r="A475" s="158">
        <v>46044</v>
      </c>
      <c r="B475" s="187">
        <v>0.1896</v>
      </c>
    </row>
    <row r="476" customHeight="1" spans="1:2">
      <c r="A476" s="158">
        <v>46051</v>
      </c>
      <c r="B476" s="187">
        <v>0.1831</v>
      </c>
    </row>
    <row r="477" customHeight="1" spans="1:2">
      <c r="A477" s="158">
        <v>46058</v>
      </c>
      <c r="B477" s="187">
        <v>0.1791</v>
      </c>
    </row>
    <row r="478" customHeight="1" spans="1:2">
      <c r="A478" s="158">
        <v>46065</v>
      </c>
      <c r="B478" s="187">
        <v>0.1718</v>
      </c>
    </row>
    <row r="479" customHeight="1" spans="1:2">
      <c r="A479" s="158">
        <v>46079</v>
      </c>
      <c r="B479" s="187">
        <v>0.1697</v>
      </c>
    </row>
    <row r="480" customHeight="1" spans="1:2">
      <c r="A480" s="158">
        <v>46086</v>
      </c>
      <c r="B480" s="187">
        <v>0.1708</v>
      </c>
    </row>
    <row r="481" customHeight="1" spans="1:2">
      <c r="A481" s="158">
        <v>46093</v>
      </c>
      <c r="B481" s="187">
        <v>0.1787</v>
      </c>
    </row>
    <row r="482" customHeight="1" spans="1:2">
      <c r="A482" s="158">
        <v>46100</v>
      </c>
      <c r="B482" s="187">
        <v>0.186</v>
      </c>
    </row>
    <row r="483" customHeight="1" spans="1:2">
      <c r="A483" s="158">
        <v>46107</v>
      </c>
      <c r="B483" s="187">
        <v>0.1957</v>
      </c>
    </row>
    <row r="484" customHeight="1" spans="1:2">
      <c r="A484" s="158">
        <v>46114</v>
      </c>
      <c r="B484" s="187">
        <v>0.2105</v>
      </c>
    </row>
    <row r="485" customHeight="1" spans="1:2">
      <c r="A485" s="158">
        <v>46121</v>
      </c>
      <c r="B485" s="187">
        <v>0.2287</v>
      </c>
    </row>
    <row r="486" customHeight="1" spans="1:2">
      <c r="A486" s="158">
        <v>46128</v>
      </c>
      <c r="B486" s="187">
        <v>0.2591</v>
      </c>
    </row>
    <row r="487" customHeight="1" spans="1:2">
      <c r="A487" s="158">
        <v>46135</v>
      </c>
      <c r="B487" s="187">
        <v>0.2716</v>
      </c>
    </row>
    <row r="488" customHeight="1" spans="1:2">
      <c r="A488" s="158">
        <v>46142</v>
      </c>
      <c r="B488" s="187">
        <v>0.2756</v>
      </c>
    </row>
    <row r="489" customHeight="1" spans="1:2">
      <c r="A489" s="158">
        <v>46149</v>
      </c>
      <c r="B489" s="187">
        <v>0.2799</v>
      </c>
    </row>
    <row r="490" customHeight="1" spans="1:2">
      <c r="A490" s="158">
        <v>46156</v>
      </c>
      <c r="B490" s="187">
        <v>0.2813</v>
      </c>
    </row>
    <row r="491" customHeight="1" spans="1:2">
      <c r="A491" s="158">
        <v>46163</v>
      </c>
      <c r="B491" s="187">
        <v>0.2821</v>
      </c>
    </row>
    <row r="492" customHeight="1" spans="1:2">
      <c r="A492" s="158">
        <v>46170</v>
      </c>
      <c r="B492" s="187">
        <v>0.2823</v>
      </c>
    </row>
    <row r="493" customHeight="1" spans="1:2">
      <c r="A493" s="158">
        <v>46177</v>
      </c>
      <c r="B493" s="187">
        <v>0.2826</v>
      </c>
    </row>
    <row r="494" customHeight="1" spans="1:2">
      <c r="A494" s="158">
        <v>46184</v>
      </c>
      <c r="B494" s="187">
        <v>0.2824</v>
      </c>
    </row>
    <row r="495" customHeight="1" spans="1:2">
      <c r="A495" s="158">
        <v>46191</v>
      </c>
      <c r="B495" s="187">
        <v>0.2815</v>
      </c>
    </row>
    <row r="496" customHeight="1" spans="1:2">
      <c r="A496" s="158">
        <v>46198</v>
      </c>
      <c r="B496" s="187">
        <v>0.2773</v>
      </c>
    </row>
    <row r="497" customHeight="1" spans="1:2">
      <c r="A497" s="158">
        <v>46205</v>
      </c>
      <c r="B497" s="187">
        <v>0.2771</v>
      </c>
    </row>
    <row r="498" customHeight="1" spans="1:2">
      <c r="A498" s="158">
        <v>46212</v>
      </c>
      <c r="B498" s="187">
        <v>0.2723</v>
      </c>
    </row>
    <row r="499" customHeight="1" spans="1:2">
      <c r="A499" s="158">
        <v>46219</v>
      </c>
      <c r="B499" s="187">
        <v>0.2707</v>
      </c>
    </row>
    <row r="500" customHeight="1" spans="1:2">
      <c r="A500" s="158">
        <v>46226</v>
      </c>
      <c r="B500" s="187">
        <v>0.2672</v>
      </c>
    </row>
    <row r="501" customHeight="1" spans="1:2">
      <c r="A501" s="158">
        <v>46233</v>
      </c>
      <c r="B501" s="187">
        <v>0.2649</v>
      </c>
    </row>
    <row r="502" customHeight="1" spans="1:2">
      <c r="A502" s="158">
        <v>46240</v>
      </c>
      <c r="B502" s="187">
        <v>0.2626</v>
      </c>
    </row>
    <row r="503" customHeight="1" spans="1:2">
      <c r="A503" s="158">
        <v>46247</v>
      </c>
      <c r="B503" s="187">
        <v>0.2623</v>
      </c>
    </row>
    <row r="504" customHeight="1" spans="1:2">
      <c r="A504" s="158">
        <v>46254</v>
      </c>
      <c r="B504" s="187">
        <v>0.2609</v>
      </c>
    </row>
    <row r="505" customHeight="1" spans="1:2">
      <c r="A505" s="158">
        <v>46261</v>
      </c>
      <c r="B505" s="187">
        <v>0.2613</v>
      </c>
    </row>
    <row r="506" customHeight="1" spans="1:2">
      <c r="A506" s="158">
        <v>46268</v>
      </c>
      <c r="B506" s="187">
        <v>0.2618</v>
      </c>
    </row>
    <row r="507" customHeight="1" spans="1:2">
      <c r="A507" s="158">
        <v>46275</v>
      </c>
      <c r="B507" s="187">
        <v>0.2607</v>
      </c>
    </row>
    <row r="508" customHeight="1" spans="1:2">
      <c r="A508" s="158">
        <v>46282</v>
      </c>
      <c r="B508" s="187">
        <v>0.2581</v>
      </c>
    </row>
    <row r="509" customHeight="1" spans="1:2">
      <c r="A509" s="158">
        <v>46289</v>
      </c>
      <c r="B509" s="187">
        <v>0.2549</v>
      </c>
    </row>
  </sheetData>
  <pageMargins left="0.75" right="0.75" top="1" bottom="1" header="0.5" footer="0.5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U54"/>
  <sheetViews>
    <sheetView workbookViewId="0">
      <pane ySplit="3" topLeftCell="A20" activePane="bottomLeft" state="frozen"/>
      <selection/>
      <selection pane="bottomLeft" activeCell="H41" sqref="H41"/>
    </sheetView>
  </sheetViews>
  <sheetFormatPr defaultColWidth="13.125" defaultRowHeight="20" customHeight="1"/>
  <cols>
    <col min="1" max="1" width="13.125" style="175" customWidth="1"/>
    <col min="2" max="2" width="13.125" style="176" customWidth="1"/>
    <col min="3" max="4" width="13.125" customWidth="1"/>
    <col min="5" max="5" width="13.125" style="150" customWidth="1"/>
    <col min="6" max="16382" width="13.125" customWidth="1"/>
  </cols>
  <sheetData>
    <row r="2" ht="30" customHeight="1" spans="1:21">
      <c r="A2" s="166" t="s">
        <v>77</v>
      </c>
      <c r="B2" s="166"/>
      <c r="C2" s="166"/>
      <c r="D2" s="166"/>
      <c r="E2" s="166"/>
      <c r="F2" s="166"/>
      <c r="G2" s="166"/>
      <c r="H2" s="166"/>
      <c r="K2" s="177" t="s">
        <v>78</v>
      </c>
      <c r="L2" s="177"/>
      <c r="M2" s="177"/>
      <c r="N2" s="177"/>
      <c r="O2" s="177"/>
      <c r="P2" s="177"/>
      <c r="Q2" s="177"/>
      <c r="T2" s="174" t="s">
        <v>79</v>
      </c>
      <c r="U2" s="174"/>
    </row>
    <row r="3" customHeight="1" spans="1:21">
      <c r="A3" s="178"/>
      <c r="B3" s="179" t="s">
        <v>31</v>
      </c>
      <c r="C3" s="179" t="s">
        <v>32</v>
      </c>
      <c r="D3" s="179" t="s">
        <v>33</v>
      </c>
      <c r="E3" s="179" t="s">
        <v>34</v>
      </c>
      <c r="F3" s="179" t="s">
        <v>35</v>
      </c>
      <c r="G3" s="179" t="s">
        <v>36</v>
      </c>
      <c r="H3" s="179" t="s">
        <v>37</v>
      </c>
      <c r="J3" s="176"/>
      <c r="K3" s="180"/>
      <c r="L3" s="181" t="s">
        <v>80</v>
      </c>
      <c r="M3" s="181" t="s">
        <v>81</v>
      </c>
      <c r="N3" s="181" t="s">
        <v>82</v>
      </c>
      <c r="O3" s="181" t="s">
        <v>83</v>
      </c>
      <c r="P3" s="181" t="s">
        <v>84</v>
      </c>
      <c r="Q3" s="181" t="s">
        <v>38</v>
      </c>
      <c r="T3" s="182"/>
      <c r="U3" s="183" t="s">
        <v>30</v>
      </c>
    </row>
    <row r="4" customHeight="1" spans="1:21">
      <c r="A4" s="178">
        <v>43466</v>
      </c>
      <c r="B4" s="184">
        <v>0.2437</v>
      </c>
      <c r="C4" s="184">
        <v>0.112</v>
      </c>
      <c r="D4" s="184">
        <v>0.1623</v>
      </c>
      <c r="E4" s="184">
        <v>0.1343</v>
      </c>
      <c r="F4" s="184">
        <v>0.1953</v>
      </c>
      <c r="G4" s="184">
        <v>0.1496</v>
      </c>
      <c r="H4" s="184">
        <v>0.1989</v>
      </c>
      <c r="J4" s="185"/>
      <c r="K4" s="182">
        <v>44941</v>
      </c>
      <c r="L4" s="186"/>
      <c r="M4" s="186">
        <v>0.2404</v>
      </c>
      <c r="N4" s="186">
        <v>0.4163</v>
      </c>
      <c r="O4" s="186"/>
      <c r="P4" s="186">
        <v>0.1625</v>
      </c>
      <c r="Q4" s="186">
        <v>0.1194</v>
      </c>
      <c r="T4" s="182">
        <v>43468</v>
      </c>
      <c r="U4" s="186"/>
    </row>
    <row r="5" customHeight="1" spans="1:21">
      <c r="A5" s="178">
        <v>43473</v>
      </c>
      <c r="B5" s="184">
        <v>0.2218</v>
      </c>
      <c r="C5" s="184">
        <v>0.098</v>
      </c>
      <c r="D5" s="184">
        <v>0.163</v>
      </c>
      <c r="E5" s="184">
        <v>0.1333</v>
      </c>
      <c r="F5" s="184">
        <v>0.193</v>
      </c>
      <c r="G5" s="184">
        <v>0.1474</v>
      </c>
      <c r="H5" s="184">
        <v>0.1948</v>
      </c>
      <c r="J5" s="185"/>
      <c r="K5" s="182">
        <v>44956</v>
      </c>
      <c r="L5" s="186"/>
      <c r="M5" s="186">
        <v>0.2347</v>
      </c>
      <c r="N5" s="186"/>
      <c r="O5" s="186">
        <v>0.196</v>
      </c>
      <c r="P5" s="186">
        <v>0.1531</v>
      </c>
      <c r="Q5" s="186">
        <v>0.1849</v>
      </c>
      <c r="T5" s="182">
        <v>43475</v>
      </c>
      <c r="U5" s="186"/>
    </row>
    <row r="6" customHeight="1" spans="1:21">
      <c r="A6" s="178">
        <v>43480</v>
      </c>
      <c r="B6" s="184">
        <v>0.2176</v>
      </c>
      <c r="C6" s="184">
        <v>0.095</v>
      </c>
      <c r="D6" s="184">
        <v>0.1592</v>
      </c>
      <c r="E6" s="184"/>
      <c r="F6" s="184">
        <v>0.1905</v>
      </c>
      <c r="G6" s="184">
        <v>0.1467</v>
      </c>
      <c r="H6" s="184">
        <v>0.1922</v>
      </c>
      <c r="J6" s="185"/>
      <c r="K6" s="182">
        <v>44972</v>
      </c>
      <c r="L6" s="186"/>
      <c r="M6" s="186">
        <v>0.2511</v>
      </c>
      <c r="N6" s="186"/>
      <c r="O6" s="186"/>
      <c r="P6" s="186">
        <v>0.1161</v>
      </c>
      <c r="Q6" s="186">
        <v>0.1604</v>
      </c>
      <c r="T6" s="182">
        <v>43482</v>
      </c>
      <c r="U6" s="186">
        <v>0.2859</v>
      </c>
    </row>
    <row r="7" customHeight="1" spans="1:21">
      <c r="A7" s="178">
        <v>43487</v>
      </c>
      <c r="B7" s="184">
        <v>0.2048</v>
      </c>
      <c r="C7" s="184">
        <v>0.101</v>
      </c>
      <c r="D7" s="184">
        <v>0.1575</v>
      </c>
      <c r="E7" s="184">
        <v>0.1405</v>
      </c>
      <c r="F7" s="184">
        <v>0.1888</v>
      </c>
      <c r="G7" s="184">
        <v>0.145</v>
      </c>
      <c r="H7" s="184">
        <v>0.1896</v>
      </c>
      <c r="J7" s="185"/>
      <c r="K7" s="182">
        <v>44985</v>
      </c>
      <c r="L7" s="186"/>
      <c r="M7" s="186">
        <v>0.4001</v>
      </c>
      <c r="N7" s="186">
        <v>0.384</v>
      </c>
      <c r="O7" s="186">
        <v>0.1476</v>
      </c>
      <c r="P7" s="186">
        <v>0.1073</v>
      </c>
      <c r="Q7" s="186">
        <v>0.12</v>
      </c>
      <c r="T7" s="182">
        <v>43489</v>
      </c>
      <c r="U7" s="186">
        <v>0.2546</v>
      </c>
    </row>
    <row r="8" customHeight="1" spans="1:21">
      <c r="A8" s="182">
        <v>43494</v>
      </c>
      <c r="B8" s="184">
        <v>0.2012</v>
      </c>
      <c r="C8" s="184">
        <v>0.1204</v>
      </c>
      <c r="D8" s="184">
        <v>0.1538</v>
      </c>
      <c r="E8" s="184">
        <v>0.1475</v>
      </c>
      <c r="F8" s="184">
        <v>0.1878</v>
      </c>
      <c r="G8" s="187">
        <v>0.1447</v>
      </c>
      <c r="H8" s="184">
        <v>0.1831</v>
      </c>
      <c r="J8" s="185"/>
      <c r="K8" s="182">
        <v>45000</v>
      </c>
      <c r="L8" s="186"/>
      <c r="M8" s="186">
        <v>0.4222</v>
      </c>
      <c r="N8" s="186">
        <v>0.4184</v>
      </c>
      <c r="O8" s="186">
        <v>0.1102</v>
      </c>
      <c r="P8" s="186">
        <v>0.1696</v>
      </c>
      <c r="Q8" s="186">
        <v>0.0905</v>
      </c>
      <c r="T8" s="182">
        <v>43505</v>
      </c>
      <c r="U8" s="186">
        <v>0.211</v>
      </c>
    </row>
    <row r="9" customHeight="1" spans="1:21">
      <c r="A9" s="182">
        <v>43501</v>
      </c>
      <c r="B9" s="184">
        <v>0.1924</v>
      </c>
      <c r="C9" s="184">
        <v>0.1276</v>
      </c>
      <c r="D9" s="184">
        <v>0.1598</v>
      </c>
      <c r="E9" s="184">
        <v>0.1547</v>
      </c>
      <c r="F9" s="184">
        <v>0.1737</v>
      </c>
      <c r="G9" s="184">
        <v>0.1457</v>
      </c>
      <c r="H9" s="184">
        <v>0.1791</v>
      </c>
      <c r="J9" s="185"/>
      <c r="K9" s="182">
        <v>45015</v>
      </c>
      <c r="L9" s="186"/>
      <c r="M9" s="186">
        <v>0.4447</v>
      </c>
      <c r="N9" s="186">
        <v>0.3972</v>
      </c>
      <c r="O9" s="186">
        <v>0.0996</v>
      </c>
      <c r="P9" s="186">
        <v>0.199</v>
      </c>
      <c r="Q9" s="186">
        <v>0.0905</v>
      </c>
      <c r="T9" s="182">
        <v>43512</v>
      </c>
      <c r="U9" s="186">
        <v>0.422</v>
      </c>
    </row>
    <row r="10" customHeight="1" spans="1:21">
      <c r="A10" s="188">
        <v>43508</v>
      </c>
      <c r="B10" s="184">
        <v>0.1856</v>
      </c>
      <c r="C10" s="184">
        <v>0.149</v>
      </c>
      <c r="D10" s="184">
        <v>0.1618</v>
      </c>
      <c r="E10" s="184">
        <v>0.1772</v>
      </c>
      <c r="F10" s="184">
        <v>0.1788</v>
      </c>
      <c r="G10" s="184">
        <v>0.1472</v>
      </c>
      <c r="H10" s="184">
        <v>0.1718</v>
      </c>
      <c r="J10" s="185"/>
      <c r="K10" s="182">
        <v>45031</v>
      </c>
      <c r="L10" s="186"/>
      <c r="M10" s="186">
        <v>0.4556</v>
      </c>
      <c r="N10" s="186">
        <v>0.3758</v>
      </c>
      <c r="O10" s="186">
        <v>0.0821</v>
      </c>
      <c r="P10" s="186">
        <v>0.2143</v>
      </c>
      <c r="Q10" s="186">
        <v>0.0899</v>
      </c>
      <c r="T10" s="182">
        <v>43531</v>
      </c>
      <c r="U10" s="186">
        <v>0.6842</v>
      </c>
    </row>
    <row r="11" customHeight="1" spans="1:21">
      <c r="A11" s="188">
        <v>43522</v>
      </c>
      <c r="B11" s="184">
        <v>0.1888</v>
      </c>
      <c r="C11" s="184">
        <v>0.192</v>
      </c>
      <c r="D11" s="184">
        <v>0.1623</v>
      </c>
      <c r="E11" s="184">
        <v>0.1858</v>
      </c>
      <c r="F11" s="184"/>
      <c r="G11" s="184">
        <v>0.1503</v>
      </c>
      <c r="H11" s="184">
        <v>0.1697</v>
      </c>
      <c r="J11" s="185"/>
      <c r="K11" s="182">
        <v>45046</v>
      </c>
      <c r="L11" s="186"/>
      <c r="M11" s="186">
        <v>0.4617</v>
      </c>
      <c r="N11" s="186">
        <v>0.3746</v>
      </c>
      <c r="O11" s="186">
        <v>0.0708</v>
      </c>
      <c r="P11" s="186">
        <v>0.2201</v>
      </c>
      <c r="Q11" s="186">
        <v>0.0895</v>
      </c>
      <c r="T11" s="182">
        <v>43538</v>
      </c>
      <c r="U11" s="186">
        <v>0.6598</v>
      </c>
    </row>
    <row r="12" customHeight="1" spans="1:21">
      <c r="A12" s="188">
        <v>43529</v>
      </c>
      <c r="B12" s="184">
        <v>0.1906</v>
      </c>
      <c r="C12" s="184">
        <v>0.208</v>
      </c>
      <c r="D12" s="184">
        <v>0.1763</v>
      </c>
      <c r="E12" s="189">
        <v>0.1907</v>
      </c>
      <c r="F12" s="184">
        <v>0.1813</v>
      </c>
      <c r="G12" s="184">
        <v>0.1558</v>
      </c>
      <c r="H12" s="184">
        <v>0.1708</v>
      </c>
      <c r="J12" s="185"/>
      <c r="K12" s="182">
        <v>45061</v>
      </c>
      <c r="L12" s="186"/>
      <c r="M12" s="186">
        <v>0.463</v>
      </c>
      <c r="N12" s="186">
        <v>0.3744</v>
      </c>
      <c r="O12" s="186">
        <v>0.0733</v>
      </c>
      <c r="P12" s="186">
        <v>0.2227</v>
      </c>
      <c r="Q12" s="186">
        <v>0.1013</v>
      </c>
      <c r="T12" s="182">
        <v>43545</v>
      </c>
      <c r="U12" s="186">
        <v>0.5276</v>
      </c>
    </row>
    <row r="13" customHeight="1" spans="1:21">
      <c r="A13" s="188">
        <v>43536</v>
      </c>
      <c r="B13" s="184">
        <v>0.1786</v>
      </c>
      <c r="C13" s="184">
        <v>0.228</v>
      </c>
      <c r="D13" s="184">
        <v>0.178</v>
      </c>
      <c r="E13" s="189">
        <v>0.1972</v>
      </c>
      <c r="F13" s="189">
        <v>0.1845</v>
      </c>
      <c r="G13" s="184">
        <v>0.1606</v>
      </c>
      <c r="H13" s="184">
        <v>0.1787</v>
      </c>
      <c r="J13" s="185"/>
      <c r="K13" s="182">
        <v>45076</v>
      </c>
      <c r="L13" s="186"/>
      <c r="M13" s="186">
        <v>0.4427</v>
      </c>
      <c r="N13" s="186">
        <v>0.3712</v>
      </c>
      <c r="O13" s="186">
        <v>0.0699</v>
      </c>
      <c r="P13" s="186">
        <v>0.225</v>
      </c>
      <c r="Q13" s="186">
        <v>0.1203</v>
      </c>
      <c r="T13" s="182">
        <v>43552</v>
      </c>
      <c r="U13" s="186">
        <v>0.5308</v>
      </c>
    </row>
    <row r="14" customHeight="1" spans="1:21">
      <c r="A14" s="188">
        <v>43543</v>
      </c>
      <c r="B14" s="184">
        <v>0.1712</v>
      </c>
      <c r="C14" s="184">
        <v>0.248</v>
      </c>
      <c r="D14" s="184">
        <v>0.1795</v>
      </c>
      <c r="E14" s="189">
        <v>0.2137</v>
      </c>
      <c r="F14" s="184">
        <v>0.1863</v>
      </c>
      <c r="G14" s="184">
        <v>0.1659</v>
      </c>
      <c r="H14" s="184">
        <v>0.186</v>
      </c>
      <c r="J14" s="185"/>
      <c r="K14" s="182">
        <v>45092</v>
      </c>
      <c r="L14" s="186"/>
      <c r="M14" s="186">
        <v>0.444</v>
      </c>
      <c r="N14" s="186">
        <v>0.3666</v>
      </c>
      <c r="O14" s="186">
        <v>0.08</v>
      </c>
      <c r="P14" s="186">
        <v>0.2293</v>
      </c>
      <c r="Q14" s="186">
        <v>0.1391</v>
      </c>
      <c r="T14" s="182">
        <v>43559</v>
      </c>
      <c r="U14" s="186">
        <v>0.4899</v>
      </c>
    </row>
    <row r="15" customHeight="1" spans="1:21">
      <c r="A15" s="188">
        <v>43550</v>
      </c>
      <c r="B15" s="184">
        <v>0.163</v>
      </c>
      <c r="C15" s="184">
        <v>0.228</v>
      </c>
      <c r="D15" s="184">
        <v>0.189</v>
      </c>
      <c r="E15" s="189">
        <v>0.2303</v>
      </c>
      <c r="F15" s="184">
        <v>0.1835</v>
      </c>
      <c r="G15" s="184">
        <v>0.1685</v>
      </c>
      <c r="H15" s="184">
        <v>0.1957</v>
      </c>
      <c r="J15" s="185"/>
      <c r="K15" s="182">
        <v>45107</v>
      </c>
      <c r="L15" s="186"/>
      <c r="M15" s="186">
        <v>0.4498</v>
      </c>
      <c r="N15" s="186">
        <v>0.3574</v>
      </c>
      <c r="O15" s="186">
        <v>0.0927</v>
      </c>
      <c r="P15" s="186">
        <v>0.2305</v>
      </c>
      <c r="Q15" s="186">
        <v>0.1599</v>
      </c>
      <c r="T15" s="182">
        <v>43566</v>
      </c>
      <c r="U15" s="186">
        <v>0.4524</v>
      </c>
    </row>
    <row r="16" customHeight="1" spans="1:21">
      <c r="A16" s="188">
        <v>43557</v>
      </c>
      <c r="B16" s="184">
        <v>0.1558</v>
      </c>
      <c r="C16" s="184">
        <v>0.26</v>
      </c>
      <c r="D16" s="184">
        <v>0.1913</v>
      </c>
      <c r="E16" s="189">
        <v>0.2333</v>
      </c>
      <c r="F16" s="184">
        <v>0.1783</v>
      </c>
      <c r="G16" s="184">
        <v>0.1704</v>
      </c>
      <c r="H16" s="184">
        <v>0.2105</v>
      </c>
      <c r="J16" s="185"/>
      <c r="K16" s="182">
        <v>45122</v>
      </c>
      <c r="L16" s="186"/>
      <c r="M16" s="186">
        <v>0.4849</v>
      </c>
      <c r="N16" s="186">
        <v>0.3536</v>
      </c>
      <c r="O16" s="186">
        <v>0.0814</v>
      </c>
      <c r="P16" s="186">
        <v>0.2207</v>
      </c>
      <c r="Q16" s="186">
        <v>0.1901</v>
      </c>
      <c r="T16" s="182">
        <v>43572</v>
      </c>
      <c r="U16" s="186">
        <v>0.4092</v>
      </c>
    </row>
    <row r="17" customHeight="1" spans="1:21">
      <c r="A17" s="188">
        <v>43564</v>
      </c>
      <c r="B17" s="184">
        <v>0.1594</v>
      </c>
      <c r="C17" s="184">
        <v>0.268</v>
      </c>
      <c r="D17" s="184">
        <v>0.1942</v>
      </c>
      <c r="E17" s="104">
        <v>0.2432</v>
      </c>
      <c r="F17" s="184">
        <v>0.1745</v>
      </c>
      <c r="G17" s="184">
        <v>0.1716</v>
      </c>
      <c r="H17" s="184">
        <v>0.2287</v>
      </c>
      <c r="J17" s="185"/>
      <c r="K17" s="182">
        <v>45137</v>
      </c>
      <c r="L17" s="186"/>
      <c r="M17" s="186">
        <v>0.4337</v>
      </c>
      <c r="N17" s="186">
        <v>0.3498</v>
      </c>
      <c r="O17" s="186">
        <v>0.1002</v>
      </c>
      <c r="P17" s="186">
        <v>0.2172</v>
      </c>
      <c r="Q17" s="186">
        <v>0.1877</v>
      </c>
      <c r="T17" s="182">
        <v>43587</v>
      </c>
      <c r="U17" s="186">
        <v>0.3984</v>
      </c>
    </row>
    <row r="18" customHeight="1" spans="1:21">
      <c r="A18" s="188">
        <v>43571</v>
      </c>
      <c r="B18" s="184">
        <v>0.16</v>
      </c>
      <c r="C18" s="184">
        <v>0.26</v>
      </c>
      <c r="D18" s="184">
        <v>0.1858</v>
      </c>
      <c r="E18" s="189">
        <v>0.2563</v>
      </c>
      <c r="F18" s="184">
        <v>0.173</v>
      </c>
      <c r="G18" s="184">
        <v>0.1713</v>
      </c>
      <c r="H18" s="184">
        <v>0.2591</v>
      </c>
      <c r="J18" s="185"/>
      <c r="K18" s="182">
        <v>45153</v>
      </c>
      <c r="L18" s="186">
        <v>0.3341</v>
      </c>
      <c r="M18" s="186">
        <v>0.418</v>
      </c>
      <c r="N18" s="186">
        <v>0.3504</v>
      </c>
      <c r="O18" s="186">
        <v>0.1007</v>
      </c>
      <c r="P18" s="186">
        <v>0.184</v>
      </c>
      <c r="Q18" s="186">
        <v>0.1793</v>
      </c>
      <c r="T18" s="182">
        <v>43594</v>
      </c>
      <c r="U18" s="186">
        <v>0.3958</v>
      </c>
    </row>
    <row r="19" customHeight="1" spans="1:21">
      <c r="A19" s="188">
        <v>43578</v>
      </c>
      <c r="B19" s="184">
        <v>0.1559</v>
      </c>
      <c r="C19" s="184">
        <v>0.282</v>
      </c>
      <c r="D19" s="184">
        <v>0.1833</v>
      </c>
      <c r="E19" s="189">
        <v>0.255</v>
      </c>
      <c r="F19" s="184">
        <v>0.173</v>
      </c>
      <c r="G19" s="184">
        <v>0.1702</v>
      </c>
      <c r="H19" s="184">
        <v>0.2716</v>
      </c>
      <c r="J19" s="185"/>
      <c r="K19" s="182">
        <v>45168</v>
      </c>
      <c r="L19" s="186">
        <v>0.3344</v>
      </c>
      <c r="M19" s="186">
        <v>0.409</v>
      </c>
      <c r="N19" s="186">
        <v>0.3403</v>
      </c>
      <c r="O19" s="186">
        <v>0.0971</v>
      </c>
      <c r="P19" s="186">
        <v>0.1617</v>
      </c>
      <c r="Q19" s="186">
        <v>0.1775</v>
      </c>
      <c r="T19" s="182">
        <v>43601</v>
      </c>
      <c r="U19" s="186">
        <v>0.3764</v>
      </c>
    </row>
    <row r="20" customHeight="1" spans="1:21">
      <c r="A20" s="188">
        <v>43585</v>
      </c>
      <c r="B20" s="184">
        <v>0.1595</v>
      </c>
      <c r="C20" s="184">
        <v>0.276</v>
      </c>
      <c r="D20" s="184">
        <v>0.1848</v>
      </c>
      <c r="E20" s="189">
        <v>0.2562</v>
      </c>
      <c r="F20" s="184">
        <v>0.1718</v>
      </c>
      <c r="G20" s="184">
        <v>0.1684</v>
      </c>
      <c r="H20" s="184">
        <v>0.2756</v>
      </c>
      <c r="J20" s="185"/>
      <c r="K20" s="182">
        <v>45184</v>
      </c>
      <c r="L20" s="186">
        <v>0.3707</v>
      </c>
      <c r="M20" s="186">
        <v>0.4252</v>
      </c>
      <c r="N20" s="186"/>
      <c r="O20" s="186">
        <v>0.1276</v>
      </c>
      <c r="P20" s="186">
        <v>0.1659</v>
      </c>
      <c r="Q20" s="186">
        <v>0.1543</v>
      </c>
      <c r="T20" s="182">
        <v>43608</v>
      </c>
      <c r="U20" s="186">
        <v>0.368</v>
      </c>
    </row>
    <row r="21" customHeight="1" spans="1:21">
      <c r="A21" s="188">
        <v>43592</v>
      </c>
      <c r="B21" s="184">
        <v>0.1576</v>
      </c>
      <c r="C21" s="184">
        <v>0.288</v>
      </c>
      <c r="D21" s="184">
        <v>0.1765</v>
      </c>
      <c r="E21" s="189">
        <v>0.2528</v>
      </c>
      <c r="F21" s="184">
        <v>0.1713</v>
      </c>
      <c r="G21" s="184">
        <v>0.165</v>
      </c>
      <c r="H21" s="184">
        <v>0.2799</v>
      </c>
      <c r="J21" s="185"/>
      <c r="K21" s="182">
        <v>45199</v>
      </c>
      <c r="L21" s="186">
        <v>0.3354</v>
      </c>
      <c r="M21" s="186">
        <v>0.4003</v>
      </c>
      <c r="N21" s="186">
        <v>0.3426</v>
      </c>
      <c r="O21" s="186">
        <v>0.1422</v>
      </c>
      <c r="P21" s="186">
        <v>0.1748</v>
      </c>
      <c r="Q21" s="186">
        <v>0.1514</v>
      </c>
      <c r="T21" s="182">
        <v>43615</v>
      </c>
      <c r="U21" s="186">
        <v>0.3796</v>
      </c>
    </row>
    <row r="22" customHeight="1" spans="1:21">
      <c r="A22" s="188">
        <v>43599</v>
      </c>
      <c r="B22" s="184">
        <v>0.1464</v>
      </c>
      <c r="C22" s="184">
        <v>0.302</v>
      </c>
      <c r="D22" s="184">
        <v>0.174</v>
      </c>
      <c r="E22" s="189">
        <v>0.2495</v>
      </c>
      <c r="F22" s="189">
        <v>0.1718</v>
      </c>
      <c r="G22" s="184">
        <v>0.1638</v>
      </c>
      <c r="H22" s="184">
        <v>0.2813</v>
      </c>
      <c r="J22" s="185"/>
      <c r="K22" s="182">
        <v>45214</v>
      </c>
      <c r="L22" s="186">
        <v>0.3305</v>
      </c>
      <c r="M22" s="186">
        <v>0.4035</v>
      </c>
      <c r="N22" s="186"/>
      <c r="O22" s="186">
        <v>0.1857</v>
      </c>
      <c r="P22" s="186">
        <v>0.2389</v>
      </c>
      <c r="Q22" s="186">
        <v>0.1577</v>
      </c>
      <c r="T22" s="182">
        <v>43622</v>
      </c>
      <c r="U22" s="186">
        <v>0.36</v>
      </c>
    </row>
    <row r="23" customHeight="1" spans="1:21">
      <c r="A23" s="188">
        <v>43606</v>
      </c>
      <c r="B23" s="184">
        <v>0.1623</v>
      </c>
      <c r="C23" s="184">
        <v>0.3303</v>
      </c>
      <c r="D23" s="184">
        <v>0.1733</v>
      </c>
      <c r="E23" s="189">
        <v>0.2467</v>
      </c>
      <c r="F23" s="184">
        <v>0.1717</v>
      </c>
      <c r="G23" s="184">
        <v>0.1633</v>
      </c>
      <c r="H23" s="184">
        <v>0.2821</v>
      </c>
      <c r="J23" s="185"/>
      <c r="K23" s="182">
        <v>45229</v>
      </c>
      <c r="L23" s="186">
        <v>0.3</v>
      </c>
      <c r="M23" s="186">
        <v>0.3953</v>
      </c>
      <c r="N23" s="186">
        <v>0.326</v>
      </c>
      <c r="O23" s="186">
        <v>0.201</v>
      </c>
      <c r="P23" s="186">
        <v>0.2492</v>
      </c>
      <c r="Q23" s="186">
        <v>0.1739</v>
      </c>
      <c r="T23" s="182">
        <v>43629</v>
      </c>
      <c r="U23" s="186">
        <v>0.3505</v>
      </c>
    </row>
    <row r="24" customHeight="1" spans="1:21">
      <c r="A24" s="188">
        <v>43613</v>
      </c>
      <c r="B24" s="184">
        <v>0.1526</v>
      </c>
      <c r="C24" s="184">
        <v>0.3306</v>
      </c>
      <c r="D24" s="184">
        <v>0.1772</v>
      </c>
      <c r="E24" s="189">
        <v>0.242</v>
      </c>
      <c r="F24" s="184">
        <v>0.1667</v>
      </c>
      <c r="G24" s="184">
        <v>0.1621</v>
      </c>
      <c r="H24" s="184">
        <v>0.2823</v>
      </c>
      <c r="J24" s="185"/>
      <c r="K24" s="182">
        <v>45245</v>
      </c>
      <c r="L24" s="186">
        <v>0.2752</v>
      </c>
      <c r="M24" s="186">
        <v>0.4236</v>
      </c>
      <c r="N24" s="186"/>
      <c r="O24" s="186">
        <v>0.1853</v>
      </c>
      <c r="P24" s="186">
        <v>0.234</v>
      </c>
      <c r="Q24" s="186">
        <v>0.2081</v>
      </c>
      <c r="T24" s="182">
        <v>43636</v>
      </c>
      <c r="U24" s="186">
        <v>0.3248</v>
      </c>
    </row>
    <row r="25" customHeight="1" spans="1:21">
      <c r="A25" s="188">
        <v>43620</v>
      </c>
      <c r="B25" s="184">
        <v>0.146</v>
      </c>
      <c r="C25" s="184">
        <v>0.3158</v>
      </c>
      <c r="D25" s="184">
        <v>0.1785</v>
      </c>
      <c r="E25" s="189">
        <v>0.2593</v>
      </c>
      <c r="F25" s="184">
        <v>0.1648</v>
      </c>
      <c r="G25" s="184">
        <v>0.1625</v>
      </c>
      <c r="H25" s="184">
        <v>0.2826</v>
      </c>
      <c r="J25" s="185"/>
      <c r="K25" s="182">
        <v>45260</v>
      </c>
      <c r="L25" s="186">
        <v>0.2607</v>
      </c>
      <c r="M25" s="186">
        <v>0.4037</v>
      </c>
      <c r="N25" s="186">
        <v>0.2968</v>
      </c>
      <c r="O25" s="186">
        <v>0.1745</v>
      </c>
      <c r="P25" s="186">
        <v>0.2216</v>
      </c>
      <c r="Q25" s="186">
        <v>0.2332</v>
      </c>
      <c r="T25" s="182">
        <v>43643</v>
      </c>
      <c r="U25" s="186">
        <v>0.3162</v>
      </c>
    </row>
    <row r="26" customHeight="1" spans="1:21">
      <c r="A26" s="188">
        <v>43627</v>
      </c>
      <c r="B26" s="184">
        <v>0.138</v>
      </c>
      <c r="C26" s="184">
        <v>0.3033</v>
      </c>
      <c r="D26" s="184">
        <v>0.1802</v>
      </c>
      <c r="E26" s="189">
        <v>0.2547</v>
      </c>
      <c r="F26" s="184">
        <v>0.1655</v>
      </c>
      <c r="G26" s="184">
        <v>0.1634</v>
      </c>
      <c r="H26" s="184">
        <v>0.2824</v>
      </c>
      <c r="J26" s="185"/>
      <c r="K26" s="182">
        <v>45275</v>
      </c>
      <c r="L26" s="186">
        <v>0.2381</v>
      </c>
      <c r="M26" s="186">
        <v>0.3988</v>
      </c>
      <c r="N26" s="186"/>
      <c r="O26" s="186">
        <v>0.1775</v>
      </c>
      <c r="P26" s="186">
        <v>0.1858</v>
      </c>
      <c r="Q26" s="186">
        <v>0.2565</v>
      </c>
      <c r="T26" s="182">
        <v>43650</v>
      </c>
      <c r="U26" s="186">
        <v>0.315</v>
      </c>
    </row>
    <row r="27" customHeight="1" spans="1:21">
      <c r="A27" s="188">
        <v>43634</v>
      </c>
      <c r="B27" s="184">
        <v>0.138</v>
      </c>
      <c r="C27" s="184">
        <v>0.305</v>
      </c>
      <c r="D27" s="184">
        <v>0.1807</v>
      </c>
      <c r="E27" s="189">
        <v>0.2508</v>
      </c>
      <c r="F27" s="184">
        <v>0.1664</v>
      </c>
      <c r="G27" s="184">
        <v>0.1649</v>
      </c>
      <c r="H27" s="184">
        <v>0.2815</v>
      </c>
      <c r="J27" s="185"/>
      <c r="K27" s="182">
        <v>45290</v>
      </c>
      <c r="L27" s="186">
        <v>0.2369</v>
      </c>
      <c r="M27" s="186">
        <v>0.4048</v>
      </c>
      <c r="N27" s="186">
        <v>0.2764</v>
      </c>
      <c r="O27" s="186">
        <v>0.173</v>
      </c>
      <c r="P27" s="186">
        <v>0.1596</v>
      </c>
      <c r="Q27" s="186">
        <v>0.3024</v>
      </c>
      <c r="T27" s="182">
        <v>43657</v>
      </c>
      <c r="U27" s="186">
        <v>0.311</v>
      </c>
    </row>
    <row r="28" customHeight="1" spans="1:21">
      <c r="A28" s="188">
        <v>43641</v>
      </c>
      <c r="B28" s="184">
        <v>0.1324</v>
      </c>
      <c r="C28" s="184">
        <v>0.3033</v>
      </c>
      <c r="D28" s="184">
        <v>0.1743</v>
      </c>
      <c r="E28" s="189">
        <v>0.2497</v>
      </c>
      <c r="F28" s="184">
        <v>0.1679</v>
      </c>
      <c r="G28" s="184">
        <v>0.1657</v>
      </c>
      <c r="H28" s="184">
        <v>0.2773</v>
      </c>
      <c r="J28" s="185"/>
      <c r="K28" s="175"/>
      <c r="L28" s="176"/>
      <c r="T28" s="182">
        <v>43664</v>
      </c>
      <c r="U28" s="186">
        <v>0.2992</v>
      </c>
    </row>
    <row r="29" customHeight="1" spans="1:21">
      <c r="A29" s="188">
        <v>43648</v>
      </c>
      <c r="B29" s="184">
        <v>0.129</v>
      </c>
      <c r="C29" s="184">
        <v>0.3005</v>
      </c>
      <c r="D29" s="184">
        <v>0.1725</v>
      </c>
      <c r="E29" s="189">
        <v>0.2463</v>
      </c>
      <c r="F29" s="184">
        <v>0.1701</v>
      </c>
      <c r="G29" s="184">
        <v>0.1667</v>
      </c>
      <c r="H29" s="184">
        <v>0.2771</v>
      </c>
      <c r="J29" s="185"/>
      <c r="K29" s="185"/>
      <c r="T29" s="182">
        <v>43671</v>
      </c>
      <c r="U29" s="186">
        <v>0.27</v>
      </c>
    </row>
    <row r="30" customHeight="1" spans="1:21">
      <c r="A30" s="188">
        <v>43655</v>
      </c>
      <c r="B30" s="184">
        <v>0.129</v>
      </c>
      <c r="C30" s="184">
        <v>0.3017</v>
      </c>
      <c r="D30" s="184">
        <v>0.173</v>
      </c>
      <c r="E30" s="189">
        <v>0.2367</v>
      </c>
      <c r="F30" s="187">
        <v>0.1705</v>
      </c>
      <c r="G30" s="184">
        <v>0.1678</v>
      </c>
      <c r="H30" s="184">
        <v>0.2723</v>
      </c>
      <c r="J30" s="185"/>
      <c r="K30" s="185"/>
      <c r="T30" s="182">
        <v>43678</v>
      </c>
      <c r="U30" s="186">
        <v>0.262</v>
      </c>
    </row>
    <row r="31" customHeight="1" spans="1:21">
      <c r="A31" s="188">
        <v>43662</v>
      </c>
      <c r="B31" s="184">
        <v>0.1392</v>
      </c>
      <c r="C31" s="184">
        <v>0.3167</v>
      </c>
      <c r="D31" s="184">
        <v>0.1722</v>
      </c>
      <c r="E31" s="189">
        <v>0.2222</v>
      </c>
      <c r="F31" s="189">
        <v>0.1688</v>
      </c>
      <c r="G31" s="184">
        <v>0.1685</v>
      </c>
      <c r="H31" s="184">
        <v>0.2707</v>
      </c>
      <c r="J31" s="185"/>
      <c r="K31" s="185"/>
      <c r="T31" s="182">
        <v>43688</v>
      </c>
      <c r="U31" s="186">
        <v>0.2596</v>
      </c>
    </row>
    <row r="32" customHeight="1" spans="1:21">
      <c r="A32" s="188">
        <v>43669</v>
      </c>
      <c r="B32" s="184">
        <v>0.138</v>
      </c>
      <c r="C32" s="184">
        <v>0.3217</v>
      </c>
      <c r="D32" s="184">
        <v>0.1652</v>
      </c>
      <c r="E32" s="189">
        <v>0.2132</v>
      </c>
      <c r="F32" s="184">
        <v>0.1674</v>
      </c>
      <c r="G32" s="184">
        <v>0.1694</v>
      </c>
      <c r="H32" s="184">
        <v>0.2672</v>
      </c>
      <c r="J32" s="185"/>
      <c r="K32" s="185"/>
      <c r="T32" s="182">
        <v>43695</v>
      </c>
      <c r="U32" s="186">
        <v>0.2484</v>
      </c>
    </row>
    <row r="33" customHeight="1" spans="1:21">
      <c r="A33" s="188">
        <v>43676</v>
      </c>
      <c r="B33" s="184">
        <v>0.14</v>
      </c>
      <c r="C33" s="184">
        <v>0.31</v>
      </c>
      <c r="D33" s="184">
        <v>0.1633</v>
      </c>
      <c r="E33" s="189">
        <v>0.205</v>
      </c>
      <c r="F33" s="184">
        <v>0.1666</v>
      </c>
      <c r="G33" s="184">
        <v>0.1705</v>
      </c>
      <c r="H33" s="184">
        <v>0.2649</v>
      </c>
      <c r="J33" s="185"/>
      <c r="K33" s="185"/>
      <c r="T33" s="182">
        <v>43702</v>
      </c>
      <c r="U33" s="186">
        <v>0.2386</v>
      </c>
    </row>
    <row r="34" customHeight="1" spans="1:21">
      <c r="A34" s="188">
        <v>43683</v>
      </c>
      <c r="B34" s="184">
        <v>0.1352</v>
      </c>
      <c r="C34" s="184">
        <v>0.3083</v>
      </c>
      <c r="D34" s="184">
        <v>0.1592</v>
      </c>
      <c r="E34" s="104">
        <v>0.2023</v>
      </c>
      <c r="F34" s="184">
        <v>0.1656</v>
      </c>
      <c r="G34" s="184">
        <v>0.1711</v>
      </c>
      <c r="H34" s="184">
        <v>0.2626</v>
      </c>
      <c r="J34" s="185"/>
      <c r="K34" s="185"/>
      <c r="T34" s="182">
        <v>43709</v>
      </c>
      <c r="U34" s="186">
        <v>0.2288</v>
      </c>
    </row>
    <row r="35" customHeight="1" spans="1:21">
      <c r="A35" s="188">
        <v>43690</v>
      </c>
      <c r="B35" s="184">
        <v>0.132</v>
      </c>
      <c r="C35" s="184">
        <v>0.3095</v>
      </c>
      <c r="D35" s="184">
        <v>0.1615</v>
      </c>
      <c r="E35" s="189">
        <v>0.2008</v>
      </c>
      <c r="F35" s="184">
        <v>0.1638</v>
      </c>
      <c r="G35" s="184">
        <v>0.172</v>
      </c>
      <c r="H35" s="184">
        <v>0.2623</v>
      </c>
      <c r="J35" s="185"/>
      <c r="K35" s="185"/>
      <c r="T35" s="182">
        <v>43716</v>
      </c>
      <c r="U35" s="186">
        <v>0.2226</v>
      </c>
    </row>
    <row r="36" customHeight="1" spans="1:21">
      <c r="A36" s="188">
        <v>43697</v>
      </c>
      <c r="B36" s="184">
        <v>0.132</v>
      </c>
      <c r="C36" s="184">
        <v>0.3133</v>
      </c>
      <c r="D36" s="184">
        <v>0.1597</v>
      </c>
      <c r="E36" s="189">
        <v>0.1983</v>
      </c>
      <c r="F36" s="184">
        <v>0.1589</v>
      </c>
      <c r="G36" s="184">
        <v>0.1732</v>
      </c>
      <c r="H36" s="184">
        <v>0.2609</v>
      </c>
      <c r="J36" s="185"/>
      <c r="K36" s="185"/>
      <c r="T36" s="182">
        <v>43723</v>
      </c>
      <c r="U36" s="186">
        <v>0.2182</v>
      </c>
    </row>
    <row r="37" customHeight="1" spans="1:21">
      <c r="A37" s="188">
        <v>43704</v>
      </c>
      <c r="B37" s="184">
        <v>0.1436</v>
      </c>
      <c r="C37" s="184">
        <v>0.315</v>
      </c>
      <c r="D37" s="184">
        <v>0.157</v>
      </c>
      <c r="E37" s="189">
        <v>0.198</v>
      </c>
      <c r="F37" s="184">
        <v>0.1597</v>
      </c>
      <c r="G37" s="184">
        <v>0.1738</v>
      </c>
      <c r="H37" s="184">
        <v>0.2613</v>
      </c>
      <c r="J37" s="185"/>
      <c r="K37" s="185"/>
      <c r="T37" s="182">
        <v>43730</v>
      </c>
      <c r="U37" s="186">
        <v>0.222</v>
      </c>
    </row>
    <row r="38" customHeight="1" spans="1:21">
      <c r="A38" s="188">
        <v>43711</v>
      </c>
      <c r="B38" s="184">
        <v>0.1392</v>
      </c>
      <c r="C38" s="184">
        <v>0.2842</v>
      </c>
      <c r="D38" s="184">
        <v>0.1538</v>
      </c>
      <c r="E38" s="189">
        <v>0.1956</v>
      </c>
      <c r="F38" s="184">
        <v>0.158</v>
      </c>
      <c r="G38" s="184">
        <v>0.1749</v>
      </c>
      <c r="H38" s="184">
        <v>0.2618</v>
      </c>
      <c r="J38" s="185"/>
      <c r="K38" s="185"/>
      <c r="T38" s="182">
        <v>43737</v>
      </c>
      <c r="U38" s="186">
        <v>0.2202</v>
      </c>
    </row>
    <row r="39" customHeight="1" spans="1:21">
      <c r="A39" s="188">
        <v>43718</v>
      </c>
      <c r="B39" s="184">
        <v>0.136</v>
      </c>
      <c r="C39" s="184">
        <v>0.2805</v>
      </c>
      <c r="D39" s="184">
        <v>0.1517</v>
      </c>
      <c r="E39" s="189">
        <v>0.1902</v>
      </c>
      <c r="F39" s="184">
        <v>0.1578</v>
      </c>
      <c r="G39" s="184">
        <v>0.1765</v>
      </c>
      <c r="H39" s="184">
        <v>0.2607</v>
      </c>
      <c r="J39" s="185"/>
      <c r="K39" s="185"/>
      <c r="T39" s="182">
        <v>43751</v>
      </c>
      <c r="U39" s="186">
        <v>0.2191</v>
      </c>
    </row>
    <row r="40" customHeight="1" spans="1:21">
      <c r="A40" s="188">
        <v>43725</v>
      </c>
      <c r="B40" s="184">
        <v>0.131</v>
      </c>
      <c r="C40" s="184">
        <v>0.2532</v>
      </c>
      <c r="D40" s="184">
        <v>0.145</v>
      </c>
      <c r="E40" s="104">
        <v>0.1875</v>
      </c>
      <c r="F40" s="189">
        <v>0.1557</v>
      </c>
      <c r="G40" s="184">
        <v>0.1791</v>
      </c>
      <c r="H40" s="184">
        <v>0.2581</v>
      </c>
      <c r="J40" s="185"/>
      <c r="K40" s="185"/>
      <c r="T40" s="182">
        <v>43758</v>
      </c>
      <c r="U40" s="186">
        <v>0.201</v>
      </c>
    </row>
    <row r="41" customHeight="1" spans="1:21">
      <c r="A41" s="188">
        <v>43732</v>
      </c>
      <c r="B41" s="184">
        <v>0.127</v>
      </c>
      <c r="C41" s="184">
        <v>0.2407</v>
      </c>
      <c r="D41" s="184">
        <v>0.1428</v>
      </c>
      <c r="E41" s="189">
        <v>0.1862</v>
      </c>
      <c r="F41" s="184">
        <v>0.1584</v>
      </c>
      <c r="G41" s="184">
        <v>0.1866</v>
      </c>
      <c r="H41" s="184">
        <v>0.2549</v>
      </c>
      <c r="J41" s="185"/>
      <c r="K41" s="185"/>
      <c r="T41" s="182">
        <v>43765</v>
      </c>
      <c r="U41" s="186">
        <v>0.1958</v>
      </c>
    </row>
    <row r="42" customHeight="1" spans="1:21">
      <c r="A42" s="178">
        <v>43740</v>
      </c>
      <c r="B42" s="184">
        <v>0.1264</v>
      </c>
      <c r="C42" s="184">
        <v>0.23</v>
      </c>
      <c r="D42" s="184">
        <v>0.1378</v>
      </c>
      <c r="E42" s="189">
        <v>0.1858</v>
      </c>
      <c r="F42" s="184"/>
      <c r="G42" s="184"/>
      <c r="H42" s="184"/>
      <c r="J42" s="185"/>
      <c r="K42" s="185"/>
      <c r="T42" s="182">
        <v>43769</v>
      </c>
      <c r="U42" s="186">
        <v>0.19</v>
      </c>
    </row>
    <row r="43" customHeight="1" spans="1:21">
      <c r="A43" s="178">
        <v>43747</v>
      </c>
      <c r="B43" s="184">
        <v>0.126</v>
      </c>
      <c r="C43" s="184">
        <v>0.235</v>
      </c>
      <c r="D43" s="184">
        <v>0.1363</v>
      </c>
      <c r="E43" s="189">
        <v>0.186</v>
      </c>
      <c r="F43" s="184">
        <v>0.1607</v>
      </c>
      <c r="G43" s="184">
        <v>0.1914</v>
      </c>
      <c r="H43" s="184"/>
      <c r="J43" s="185"/>
      <c r="K43" s="185"/>
      <c r="T43" s="182">
        <v>43776</v>
      </c>
      <c r="U43" s="186">
        <v>0.1955</v>
      </c>
    </row>
    <row r="44" customHeight="1" spans="1:21">
      <c r="A44" s="178">
        <v>43754</v>
      </c>
      <c r="B44" s="184">
        <v>0.124</v>
      </c>
      <c r="C44" s="184">
        <v>0.2138</v>
      </c>
      <c r="D44" s="184">
        <v>0.1358</v>
      </c>
      <c r="E44" s="189">
        <v>0.1885</v>
      </c>
      <c r="F44" s="184">
        <v>0.1605</v>
      </c>
      <c r="G44" s="184">
        <v>0.1968</v>
      </c>
      <c r="H44" s="184"/>
      <c r="J44" s="185"/>
      <c r="K44" s="185"/>
      <c r="T44" s="182">
        <v>43783</v>
      </c>
      <c r="U44" s="186">
        <v>0.1938</v>
      </c>
    </row>
    <row r="45" customHeight="1" spans="1:21">
      <c r="A45" s="178">
        <v>43761</v>
      </c>
      <c r="B45" s="184">
        <v>0.1406</v>
      </c>
      <c r="C45" s="184">
        <v>0.205</v>
      </c>
      <c r="D45" s="190">
        <v>0.1355</v>
      </c>
      <c r="E45" s="189">
        <v>0.1962</v>
      </c>
      <c r="F45" s="184">
        <v>0.1603</v>
      </c>
      <c r="G45" s="184">
        <v>0.1987</v>
      </c>
      <c r="H45" s="184"/>
      <c r="J45" s="185"/>
      <c r="K45" s="185"/>
      <c r="T45" s="182">
        <v>43790</v>
      </c>
      <c r="U45" s="186">
        <v>0.1994</v>
      </c>
    </row>
    <row r="46" customHeight="1" spans="1:21">
      <c r="A46" s="178">
        <v>43768</v>
      </c>
      <c r="B46" s="184">
        <v>0.149</v>
      </c>
      <c r="C46" s="184">
        <v>0.1988</v>
      </c>
      <c r="D46" s="190">
        <v>0.1408</v>
      </c>
      <c r="E46" s="189">
        <v>0.205</v>
      </c>
      <c r="F46" s="184">
        <v>0.1596</v>
      </c>
      <c r="G46" s="184">
        <v>0.1999</v>
      </c>
      <c r="H46" s="184"/>
      <c r="J46" s="185"/>
      <c r="K46" s="185"/>
      <c r="T46" s="182">
        <v>43800</v>
      </c>
      <c r="U46" s="186">
        <v>0.2092</v>
      </c>
    </row>
    <row r="47" customHeight="1" spans="1:21">
      <c r="A47" s="178">
        <v>43775</v>
      </c>
      <c r="B47" s="184">
        <v>0.141</v>
      </c>
      <c r="C47" s="184">
        <v>0.1951</v>
      </c>
      <c r="D47" s="190">
        <v>0.1393</v>
      </c>
      <c r="E47" s="189">
        <v>0.2075</v>
      </c>
      <c r="F47" s="184">
        <v>0.1597</v>
      </c>
      <c r="G47" s="184">
        <v>0.2003</v>
      </c>
      <c r="H47" s="184"/>
      <c r="J47" s="185"/>
      <c r="K47" s="185"/>
      <c r="T47" s="182">
        <v>43807</v>
      </c>
      <c r="U47" s="186">
        <v>0.2176</v>
      </c>
    </row>
    <row r="48" customHeight="1" spans="1:21">
      <c r="A48" s="178">
        <v>43782</v>
      </c>
      <c r="B48" s="184">
        <v>0.14</v>
      </c>
      <c r="C48" s="184">
        <v>0.1974</v>
      </c>
      <c r="D48" s="190">
        <v>0.1378</v>
      </c>
      <c r="E48" s="189">
        <v>0.207</v>
      </c>
      <c r="F48" s="184">
        <v>0.1592</v>
      </c>
      <c r="G48" s="184">
        <v>0.2011</v>
      </c>
      <c r="H48" s="184"/>
      <c r="J48" s="185"/>
      <c r="K48" s="185"/>
      <c r="T48" s="182">
        <v>43814</v>
      </c>
      <c r="U48" s="186">
        <v>0.22</v>
      </c>
    </row>
    <row r="49" customHeight="1" spans="1:21">
      <c r="A49" s="178">
        <v>43789</v>
      </c>
      <c r="B49" s="184">
        <v>0.136</v>
      </c>
      <c r="C49" s="184">
        <v>0.1812</v>
      </c>
      <c r="D49" s="190">
        <v>0.1368</v>
      </c>
      <c r="E49" s="189">
        <v>0.2093</v>
      </c>
      <c r="F49" s="184">
        <v>0.1593</v>
      </c>
      <c r="G49" s="184">
        <v>0.2022</v>
      </c>
      <c r="H49" s="184"/>
      <c r="J49" s="185"/>
      <c r="K49" s="185"/>
      <c r="T49" s="182">
        <v>43821</v>
      </c>
      <c r="U49" s="186">
        <v>0.2296</v>
      </c>
    </row>
    <row r="50" customHeight="1" spans="1:21">
      <c r="A50" s="178">
        <v>43796</v>
      </c>
      <c r="B50" s="184">
        <v>0.1338</v>
      </c>
      <c r="C50" s="184">
        <v>0.1767</v>
      </c>
      <c r="D50" s="190">
        <v>0.1325</v>
      </c>
      <c r="E50" s="189">
        <v>0.2077</v>
      </c>
      <c r="F50" s="189">
        <v>0.1588</v>
      </c>
      <c r="G50" s="184">
        <v>0.2015</v>
      </c>
      <c r="H50" s="184"/>
      <c r="J50" s="185"/>
      <c r="K50" s="185"/>
      <c r="T50" s="182">
        <v>43828</v>
      </c>
      <c r="U50" s="186">
        <v>0.2308</v>
      </c>
    </row>
    <row r="51" customHeight="1" spans="1:21">
      <c r="A51" s="178">
        <v>43803</v>
      </c>
      <c r="B51" s="184">
        <v>0.1318</v>
      </c>
      <c r="C51" s="184">
        <v>0.1802</v>
      </c>
      <c r="D51" s="190">
        <v>0.1325</v>
      </c>
      <c r="E51" s="189">
        <v>0.2088</v>
      </c>
      <c r="F51" s="184">
        <v>0.1582</v>
      </c>
      <c r="G51" s="184">
        <v>0.2016</v>
      </c>
      <c r="H51" s="184"/>
      <c r="J51" s="185"/>
      <c r="K51" s="185"/>
    </row>
    <row r="52" customHeight="1" spans="1:21">
      <c r="A52" s="178">
        <v>43810</v>
      </c>
      <c r="B52" s="184">
        <v>0.129</v>
      </c>
      <c r="C52" s="184">
        <v>0.175</v>
      </c>
      <c r="D52" s="190">
        <v>0.1297</v>
      </c>
      <c r="E52" s="189">
        <v>0.2057</v>
      </c>
      <c r="F52" s="184">
        <v>0.1556</v>
      </c>
      <c r="G52" s="184">
        <v>0.2059</v>
      </c>
      <c r="H52" s="184"/>
      <c r="J52" s="185"/>
      <c r="K52" s="185"/>
    </row>
    <row r="53" customHeight="1" spans="1:21">
      <c r="A53" s="178">
        <v>43817</v>
      </c>
      <c r="B53" s="184">
        <v>0.12</v>
      </c>
      <c r="C53" s="184">
        <v>0.1728</v>
      </c>
      <c r="D53" s="190">
        <v>0.1298</v>
      </c>
      <c r="E53" s="189">
        <v>0.2048</v>
      </c>
      <c r="F53" s="184">
        <v>0.1501</v>
      </c>
      <c r="G53" s="184">
        <v>0.2036</v>
      </c>
      <c r="H53" s="184"/>
      <c r="J53" s="185"/>
      <c r="K53" s="185"/>
    </row>
    <row r="54" customHeight="1" spans="1:21">
      <c r="A54" s="178">
        <v>43824</v>
      </c>
      <c r="B54" s="184">
        <v>0.108</v>
      </c>
      <c r="C54" s="184">
        <v>0.165</v>
      </c>
      <c r="D54" s="190">
        <v>0.1292</v>
      </c>
      <c r="E54" s="189">
        <v>0.2017</v>
      </c>
      <c r="F54" s="184">
        <v>0.1505</v>
      </c>
      <c r="G54" s="184">
        <v>0.2017</v>
      </c>
      <c r="H54" s="184"/>
      <c r="J54" s="185"/>
      <c r="K54" s="185"/>
    </row>
  </sheetData>
  <mergeCells count="3">
    <mergeCell ref="A2:H2"/>
    <mergeCell ref="K2:Q2"/>
    <mergeCell ref="T2:U2"/>
  </mergeCells>
  <pageMargins left="0.7" right="0.7" top="0.75" bottom="0.75" header="0.3" footer="0.3"/>
  <pageSetup paperSize="9" orientation="portrait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3"/>
  <sheetViews>
    <sheetView workbookViewId="0">
      <pane ySplit="2" topLeftCell="A174" activePane="bottomLeft" state="frozen"/>
      <selection/>
      <selection pane="bottomLeft" activeCell="B201" sqref="B201"/>
    </sheetView>
  </sheetViews>
  <sheetFormatPr defaultColWidth="9" defaultRowHeight="13.5" outlineLevelCol="1"/>
  <cols>
    <col min="1" max="1" width="15.875" customWidth="1"/>
    <col min="2" max="2" width="26.125" customWidth="1"/>
    <col min="5" max="5" width="13.7583333333333"/>
  </cols>
  <sheetData>
    <row r="1" ht="20" customHeight="1"/>
    <row r="2" ht="20" customHeight="1" spans="1:2">
      <c r="A2" s="166" t="s">
        <v>29</v>
      </c>
      <c r="B2" s="174" t="s">
        <v>85</v>
      </c>
    </row>
    <row r="3" ht="20" customHeight="1" spans="1:2">
      <c r="A3" s="158">
        <v>44861</v>
      </c>
      <c r="B3" s="168">
        <v>1474623</v>
      </c>
    </row>
    <row r="4" ht="20" customHeight="1" spans="1:2">
      <c r="A4" s="158">
        <v>44868</v>
      </c>
      <c r="B4" s="168">
        <v>1511427</v>
      </c>
    </row>
    <row r="5" ht="20" customHeight="1" spans="1:2">
      <c r="A5" s="158">
        <v>44875</v>
      </c>
      <c r="B5" s="168">
        <v>1584650</v>
      </c>
    </row>
    <row r="6" ht="20" customHeight="1" spans="1:2">
      <c r="A6" s="158">
        <v>44882</v>
      </c>
      <c r="B6" s="168">
        <v>1593080</v>
      </c>
    </row>
    <row r="7" ht="20" customHeight="1" spans="1:2">
      <c r="A7" s="158">
        <v>44889</v>
      </c>
      <c r="B7" s="168">
        <v>1627956</v>
      </c>
    </row>
    <row r="8" ht="20" customHeight="1" spans="1:2">
      <c r="A8" s="158">
        <v>44896</v>
      </c>
      <c r="B8" s="168">
        <v>1654317</v>
      </c>
    </row>
    <row r="9" ht="20" customHeight="1" spans="1:2">
      <c r="A9" s="158">
        <v>44903</v>
      </c>
      <c r="B9" s="168">
        <v>1734024</v>
      </c>
    </row>
    <row r="10" ht="20" customHeight="1" spans="1:2">
      <c r="A10" s="158">
        <v>44910</v>
      </c>
      <c r="B10" s="168">
        <v>1808665</v>
      </c>
    </row>
    <row r="11" ht="20" customHeight="1" spans="1:2">
      <c r="A11" s="158">
        <v>44917</v>
      </c>
      <c r="B11" s="168">
        <v>1791569</v>
      </c>
    </row>
    <row r="12" ht="20" customHeight="1" spans="1:2">
      <c r="A12" s="158">
        <v>44924</v>
      </c>
      <c r="B12" s="168">
        <v>1832126</v>
      </c>
    </row>
    <row r="13" ht="20" customHeight="1" spans="1:2">
      <c r="A13" s="158">
        <v>44931</v>
      </c>
      <c r="B13" s="168">
        <v>2151515</v>
      </c>
    </row>
    <row r="14" ht="20" customHeight="1" spans="1:2">
      <c r="A14" s="158">
        <v>44938</v>
      </c>
      <c r="B14" s="168">
        <v>2416108</v>
      </c>
    </row>
    <row r="15" ht="20" customHeight="1" spans="1:2">
      <c r="A15" s="158">
        <v>44959</v>
      </c>
      <c r="B15" s="168">
        <v>1424052</v>
      </c>
    </row>
    <row r="16" ht="20" customHeight="1" spans="1:2">
      <c r="A16" s="158">
        <v>44966</v>
      </c>
      <c r="B16" s="168">
        <v>1870205</v>
      </c>
    </row>
    <row r="17" ht="20" customHeight="1" spans="1:2">
      <c r="A17" s="158">
        <v>44973</v>
      </c>
      <c r="B17" s="168">
        <v>1871434</v>
      </c>
    </row>
    <row r="18" ht="20" customHeight="1" spans="1:2">
      <c r="A18" s="158">
        <v>44980</v>
      </c>
      <c r="B18" s="168">
        <v>1835840</v>
      </c>
    </row>
    <row r="19" ht="20" customHeight="1" spans="1:2">
      <c r="A19" s="158">
        <v>44987</v>
      </c>
      <c r="B19" s="168">
        <v>1848044</v>
      </c>
    </row>
    <row r="20" ht="20" customHeight="1" spans="1:2">
      <c r="A20" s="158">
        <v>44994</v>
      </c>
      <c r="B20" s="168">
        <v>1759855</v>
      </c>
    </row>
    <row r="21" ht="20" customHeight="1" spans="1:2">
      <c r="A21" s="158">
        <v>45001</v>
      </c>
      <c r="B21" s="168">
        <v>1786873</v>
      </c>
    </row>
    <row r="22" ht="20" customHeight="1" spans="1:2">
      <c r="A22" s="158">
        <v>45008</v>
      </c>
      <c r="B22" s="168">
        <v>1834380</v>
      </c>
    </row>
    <row r="23" ht="20" customHeight="1" spans="1:2">
      <c r="A23" s="158">
        <v>45015</v>
      </c>
      <c r="B23" s="168">
        <v>1865934</v>
      </c>
    </row>
    <row r="24" ht="20" customHeight="1" spans="1:2">
      <c r="A24" s="158">
        <v>45022</v>
      </c>
      <c r="B24" s="168">
        <v>1887794</v>
      </c>
    </row>
    <row r="25" ht="20" customHeight="1" spans="1:2">
      <c r="A25" s="158">
        <v>45029</v>
      </c>
      <c r="B25" s="168">
        <v>1941615</v>
      </c>
    </row>
    <row r="26" ht="20" customHeight="1" spans="1:2">
      <c r="A26" s="158">
        <v>45036</v>
      </c>
      <c r="B26" s="168">
        <v>2034445</v>
      </c>
    </row>
    <row r="27" ht="20" customHeight="1" spans="1:2">
      <c r="A27" s="158">
        <v>45043</v>
      </c>
      <c r="B27" s="168">
        <v>2093325</v>
      </c>
    </row>
    <row r="28" ht="20" customHeight="1" spans="1:2">
      <c r="A28" s="158">
        <v>45050</v>
      </c>
      <c r="B28" s="168">
        <v>2058504</v>
      </c>
    </row>
    <row r="29" ht="20" customHeight="1" spans="1:2">
      <c r="A29" s="158">
        <v>45057</v>
      </c>
      <c r="B29" s="168">
        <v>1974158</v>
      </c>
    </row>
    <row r="30" ht="20" customHeight="1" spans="1:2">
      <c r="A30" s="158">
        <v>45064</v>
      </c>
      <c r="B30" s="168">
        <v>1922497</v>
      </c>
    </row>
    <row r="31" ht="20" customHeight="1" spans="1:2">
      <c r="A31" s="158">
        <v>45071</v>
      </c>
      <c r="B31" s="168">
        <v>1931705</v>
      </c>
    </row>
    <row r="32" ht="20" customHeight="1" spans="1:2">
      <c r="A32" s="158">
        <v>45078</v>
      </c>
      <c r="B32" s="168">
        <v>1957419</v>
      </c>
    </row>
    <row r="33" ht="20" customHeight="1" spans="1:2">
      <c r="A33" s="158">
        <v>45085</v>
      </c>
      <c r="B33" s="168">
        <v>1924694</v>
      </c>
    </row>
    <row r="34" ht="20" customHeight="1" spans="1:2">
      <c r="A34" s="158">
        <v>45092</v>
      </c>
      <c r="B34" s="168">
        <v>1957345</v>
      </c>
    </row>
    <row r="35" ht="20" customHeight="1" spans="1:2">
      <c r="A35" s="158">
        <v>45098</v>
      </c>
      <c r="B35" s="168">
        <v>2001750</v>
      </c>
    </row>
    <row r="36" ht="20" customHeight="1" spans="1:2">
      <c r="A36" s="158">
        <v>45106</v>
      </c>
      <c r="B36" s="168">
        <v>1973467</v>
      </c>
    </row>
    <row r="37" ht="20" customHeight="1" spans="1:2">
      <c r="A37" s="158">
        <v>45113</v>
      </c>
      <c r="B37" s="168">
        <v>1981229</v>
      </c>
    </row>
    <row r="38" ht="20" customHeight="1" spans="1:2">
      <c r="A38" s="158">
        <v>45120</v>
      </c>
      <c r="B38" s="168">
        <v>2001543</v>
      </c>
    </row>
    <row r="39" ht="20" customHeight="1" spans="1:2">
      <c r="A39" s="158">
        <v>45127</v>
      </c>
      <c r="B39" s="168">
        <v>2022325</v>
      </c>
    </row>
    <row r="40" ht="20" customHeight="1" spans="1:2">
      <c r="A40" s="158">
        <v>45134</v>
      </c>
      <c r="B40" s="168">
        <v>2036254</v>
      </c>
    </row>
    <row r="41" ht="20" customHeight="1" spans="1:2">
      <c r="A41" s="158">
        <v>45141</v>
      </c>
      <c r="B41" s="168">
        <v>1991959</v>
      </c>
    </row>
    <row r="42" ht="20" customHeight="1" spans="1:2">
      <c r="A42" s="158">
        <v>45148</v>
      </c>
      <c r="B42" s="168">
        <v>1939686</v>
      </c>
    </row>
    <row r="43" ht="20" customHeight="1" spans="1:2">
      <c r="A43" s="158">
        <v>45155</v>
      </c>
      <c r="B43" s="168">
        <v>1910161</v>
      </c>
    </row>
    <row r="44" ht="20" customHeight="1" spans="1:2">
      <c r="A44" s="158">
        <v>45162</v>
      </c>
      <c r="B44" s="168">
        <v>1905417</v>
      </c>
    </row>
    <row r="45" ht="20" customHeight="1" spans="1:2">
      <c r="A45" s="158">
        <v>45169</v>
      </c>
      <c r="B45" s="168">
        <v>1937763</v>
      </c>
    </row>
    <row r="46" ht="20" customHeight="1" spans="1:2">
      <c r="A46" s="158">
        <v>45176</v>
      </c>
      <c r="B46" s="168">
        <v>1910570</v>
      </c>
    </row>
    <row r="47" ht="20" customHeight="1" spans="1:2">
      <c r="A47" s="158">
        <v>45183</v>
      </c>
      <c r="B47" s="168">
        <v>1933381</v>
      </c>
    </row>
    <row r="48" ht="20" customHeight="1" spans="1:2">
      <c r="A48" s="158">
        <v>45190</v>
      </c>
      <c r="B48" s="168">
        <v>1977077</v>
      </c>
    </row>
    <row r="49" ht="20" customHeight="1" spans="1:2">
      <c r="A49" s="158">
        <v>45197</v>
      </c>
      <c r="B49" s="168">
        <v>2124466</v>
      </c>
    </row>
    <row r="50" ht="20" customHeight="1" spans="1:2">
      <c r="A50" s="158">
        <v>45204</v>
      </c>
      <c r="B50" s="168">
        <v>1930845</v>
      </c>
    </row>
    <row r="51" ht="20" customHeight="1" spans="1:2">
      <c r="A51" s="158">
        <v>45211</v>
      </c>
      <c r="B51" s="168">
        <v>1963224</v>
      </c>
    </row>
    <row r="52" ht="20" customHeight="1" spans="1:2">
      <c r="A52" s="158">
        <v>45218</v>
      </c>
      <c r="B52" s="168">
        <v>1978059</v>
      </c>
    </row>
    <row r="53" ht="20" customHeight="1" spans="1:2">
      <c r="A53" s="158">
        <v>45225</v>
      </c>
      <c r="B53" s="168">
        <v>2013379</v>
      </c>
    </row>
    <row r="54" ht="20" customHeight="1" spans="1:2">
      <c r="A54" s="158">
        <v>45232</v>
      </c>
      <c r="B54" s="168">
        <v>2041009</v>
      </c>
    </row>
    <row r="55" ht="20" customHeight="1" spans="1:2">
      <c r="A55" s="158">
        <v>45239</v>
      </c>
      <c r="B55" s="168">
        <v>2080755</v>
      </c>
    </row>
    <row r="56" ht="20" customHeight="1" spans="1:2">
      <c r="A56" s="158">
        <v>45246</v>
      </c>
      <c r="B56" s="168">
        <v>2114713</v>
      </c>
    </row>
    <row r="57" ht="20" customHeight="1" spans="1:2">
      <c r="A57" s="158">
        <v>45253</v>
      </c>
      <c r="B57" s="168">
        <v>2140446</v>
      </c>
    </row>
    <row r="58" ht="20" customHeight="1" spans="1:2">
      <c r="A58" s="158">
        <v>45260</v>
      </c>
      <c r="B58" s="168">
        <v>2151415</v>
      </c>
    </row>
    <row r="59" ht="20" customHeight="1" spans="1:2">
      <c r="A59" s="158">
        <v>45267</v>
      </c>
      <c r="B59" s="168">
        <v>2212031</v>
      </c>
    </row>
    <row r="60" ht="20" customHeight="1" spans="1:2">
      <c r="A60" s="158">
        <v>45274</v>
      </c>
      <c r="B60" s="168">
        <v>2298781</v>
      </c>
    </row>
    <row r="61" ht="20" customHeight="1" spans="1:2">
      <c r="A61" s="158">
        <v>45281</v>
      </c>
      <c r="B61" s="168">
        <v>2404156</v>
      </c>
    </row>
    <row r="62" ht="20" customHeight="1" spans="1:2">
      <c r="A62" s="158">
        <v>45288</v>
      </c>
      <c r="B62" s="168">
        <v>2348820</v>
      </c>
    </row>
    <row r="63" ht="20" customHeight="1" spans="1:2">
      <c r="A63" s="158">
        <v>45295</v>
      </c>
      <c r="B63" s="168">
        <v>2295466</v>
      </c>
    </row>
    <row r="64" ht="20" customHeight="1" spans="1:2">
      <c r="A64" s="158">
        <v>45302</v>
      </c>
      <c r="B64" s="168">
        <v>2260229</v>
      </c>
    </row>
    <row r="65" ht="20" customHeight="1" spans="1:2">
      <c r="A65" s="158">
        <v>45309</v>
      </c>
      <c r="B65" s="168">
        <v>2302516</v>
      </c>
    </row>
    <row r="66" ht="20" customHeight="1" spans="1:2">
      <c r="A66" s="158">
        <v>45316</v>
      </c>
      <c r="B66" s="168">
        <v>2367620</v>
      </c>
    </row>
    <row r="67" ht="20" customHeight="1" spans="1:2">
      <c r="A67" s="158">
        <v>45323</v>
      </c>
      <c r="B67" s="168">
        <v>3012238</v>
      </c>
    </row>
    <row r="68" ht="20" customHeight="1" spans="1:2">
      <c r="A68" s="158">
        <v>45344</v>
      </c>
      <c r="B68" s="168">
        <v>1249856</v>
      </c>
    </row>
    <row r="69" ht="20" customHeight="1" spans="1:2">
      <c r="A69" s="158">
        <v>45351</v>
      </c>
      <c r="B69" s="168">
        <v>1412720</v>
      </c>
    </row>
    <row r="70" ht="20" customHeight="1" spans="1:2">
      <c r="A70" s="158">
        <v>45358</v>
      </c>
      <c r="B70" s="168">
        <v>1427530</v>
      </c>
    </row>
    <row r="71" ht="20" customHeight="1" spans="1:2">
      <c r="A71" s="158">
        <v>45365</v>
      </c>
      <c r="B71" s="168">
        <v>1380209</v>
      </c>
    </row>
    <row r="72" ht="20" customHeight="1" spans="1:2">
      <c r="A72" s="158">
        <v>45372</v>
      </c>
      <c r="B72" s="168">
        <v>1329669</v>
      </c>
    </row>
    <row r="73" ht="20" customHeight="1" spans="1:2">
      <c r="A73" s="158">
        <v>45379</v>
      </c>
      <c r="B73" s="168">
        <v>1314492</v>
      </c>
    </row>
    <row r="74" ht="20" customHeight="1" spans="1:2">
      <c r="A74" s="158">
        <v>45386</v>
      </c>
      <c r="B74" s="168">
        <v>1338567</v>
      </c>
    </row>
    <row r="75" ht="20" customHeight="1" spans="1:2">
      <c r="A75" s="158">
        <v>45393</v>
      </c>
      <c r="B75" s="168">
        <v>1358916</v>
      </c>
    </row>
    <row r="76" ht="20" customHeight="1" spans="1:2">
      <c r="A76" s="158">
        <v>45400</v>
      </c>
      <c r="B76" s="168">
        <v>1361606</v>
      </c>
    </row>
    <row r="77" ht="20" customHeight="1" spans="1:2">
      <c r="A77" s="158">
        <v>45407</v>
      </c>
      <c r="B77" s="168">
        <v>1401465</v>
      </c>
    </row>
    <row r="78" ht="20" customHeight="1" spans="1:2">
      <c r="A78" s="158">
        <v>45414</v>
      </c>
      <c r="B78" s="168">
        <v>1475288</v>
      </c>
    </row>
    <row r="79" ht="20" customHeight="1" spans="1:2">
      <c r="A79" s="158">
        <v>45421</v>
      </c>
      <c r="B79" s="168">
        <v>1447580</v>
      </c>
    </row>
    <row r="80" ht="20" customHeight="1" spans="1:2">
      <c r="A80" s="158">
        <v>45428</v>
      </c>
      <c r="B80" s="168">
        <v>1437098</v>
      </c>
    </row>
    <row r="81" ht="20" customHeight="1" spans="1:2">
      <c r="A81" s="158">
        <v>45435</v>
      </c>
      <c r="B81" s="168">
        <v>1432345</v>
      </c>
    </row>
    <row r="82" ht="20" customHeight="1" spans="1:2">
      <c r="A82" s="158">
        <v>45442</v>
      </c>
      <c r="B82" s="168">
        <v>1422633</v>
      </c>
    </row>
    <row r="83" ht="20" customHeight="1" spans="1:2">
      <c r="A83" s="158">
        <v>45449</v>
      </c>
      <c r="B83" s="168">
        <v>1381545</v>
      </c>
    </row>
    <row r="84" ht="20" customHeight="1" spans="1:2">
      <c r="A84" s="158">
        <v>45456</v>
      </c>
      <c r="B84" s="168">
        <v>1427312</v>
      </c>
    </row>
    <row r="85" ht="20" customHeight="1" spans="1:2">
      <c r="A85" s="158">
        <v>45463</v>
      </c>
      <c r="B85" s="168">
        <v>1374007</v>
      </c>
    </row>
    <row r="86" ht="20" customHeight="1" spans="1:2">
      <c r="A86" s="158">
        <v>45470</v>
      </c>
      <c r="B86" s="168">
        <v>1402190</v>
      </c>
    </row>
    <row r="87" ht="20" customHeight="1" spans="1:2">
      <c r="A87" s="158">
        <v>45477</v>
      </c>
      <c r="B87" s="168">
        <v>1436016</v>
      </c>
    </row>
    <row r="88" ht="20" customHeight="1" spans="1:2">
      <c r="A88" s="158">
        <v>45484</v>
      </c>
      <c r="B88" s="168">
        <v>1446734</v>
      </c>
    </row>
    <row r="89" ht="20" customHeight="1" spans="1:2">
      <c r="A89" s="158">
        <v>45491</v>
      </c>
      <c r="B89" s="168">
        <v>1441231</v>
      </c>
    </row>
    <row r="90" ht="20" customHeight="1" spans="1:2">
      <c r="A90" s="158">
        <v>45498</v>
      </c>
      <c r="B90" s="168">
        <v>1434741</v>
      </c>
    </row>
    <row r="91" ht="20" customHeight="1" spans="1:2">
      <c r="A91" s="158">
        <v>45505</v>
      </c>
      <c r="B91" s="168">
        <v>1446820</v>
      </c>
    </row>
    <row r="92" ht="20" customHeight="1" spans="1:2">
      <c r="A92" s="158">
        <v>45512</v>
      </c>
      <c r="B92" s="168">
        <v>1496131</v>
      </c>
    </row>
    <row r="93" ht="20" customHeight="1" spans="1:2">
      <c r="A93" s="158">
        <v>45519</v>
      </c>
      <c r="B93" s="168">
        <v>1506529</v>
      </c>
    </row>
    <row r="94" ht="20" customHeight="1" spans="1:2">
      <c r="A94" s="158">
        <v>45526</v>
      </c>
      <c r="B94" s="168">
        <v>1499904</v>
      </c>
    </row>
    <row r="95" ht="20" customHeight="1" spans="1:2">
      <c r="A95" s="158">
        <v>45533</v>
      </c>
      <c r="B95" s="168">
        <v>1520498</v>
      </c>
    </row>
    <row r="96" ht="20" customHeight="1" spans="1:2">
      <c r="A96" s="158">
        <v>45540</v>
      </c>
      <c r="B96" s="168">
        <v>1601322</v>
      </c>
    </row>
    <row r="97" ht="20" customHeight="1" spans="1:2">
      <c r="A97" s="158">
        <v>45547</v>
      </c>
      <c r="B97" s="168">
        <v>1678671</v>
      </c>
    </row>
    <row r="98" ht="20" customHeight="1" spans="1:2">
      <c r="A98" s="158">
        <v>45554</v>
      </c>
      <c r="B98" s="168">
        <v>1825726</v>
      </c>
    </row>
    <row r="99" ht="20" customHeight="1" spans="1:2">
      <c r="A99" s="158">
        <v>45561</v>
      </c>
      <c r="B99" s="168">
        <v>1672564</v>
      </c>
    </row>
    <row r="100" ht="20" customHeight="1" spans="1:2">
      <c r="A100" s="158">
        <v>45568</v>
      </c>
      <c r="B100" s="168">
        <v>1777088</v>
      </c>
    </row>
    <row r="101" ht="20" customHeight="1" spans="1:2">
      <c r="A101" s="158">
        <v>45575</v>
      </c>
      <c r="B101" s="168">
        <v>1700976</v>
      </c>
    </row>
    <row r="102" ht="20" customHeight="1" spans="1:2">
      <c r="A102" s="158">
        <v>45582</v>
      </c>
      <c r="B102" s="168">
        <v>1697964</v>
      </c>
    </row>
    <row r="103" ht="20" customHeight="1" spans="1:2">
      <c r="A103" s="158">
        <v>45589</v>
      </c>
      <c r="B103" s="168">
        <v>1757212</v>
      </c>
    </row>
    <row r="104" ht="20" customHeight="1" spans="1:2">
      <c r="A104" s="158">
        <v>45596</v>
      </c>
      <c r="B104" s="168">
        <v>1817156</v>
      </c>
    </row>
    <row r="105" ht="20" customHeight="1" spans="1:2">
      <c r="A105" s="158">
        <v>45603</v>
      </c>
      <c r="B105" s="168">
        <v>1851044</v>
      </c>
    </row>
    <row r="106" ht="20" customHeight="1" spans="1:2">
      <c r="A106" s="158">
        <v>45610</v>
      </c>
      <c r="B106" s="168">
        <v>1872655</v>
      </c>
    </row>
    <row r="107" ht="20" customHeight="1" spans="1:2">
      <c r="A107" s="158">
        <v>45617</v>
      </c>
      <c r="B107" s="168">
        <v>1943478</v>
      </c>
    </row>
    <row r="108" ht="20" customHeight="1" spans="1:2">
      <c r="A108" s="158">
        <v>45624</v>
      </c>
      <c r="B108" s="168">
        <v>2104114</v>
      </c>
    </row>
    <row r="109" ht="20" customHeight="1" spans="1:2">
      <c r="A109" s="158">
        <v>45631</v>
      </c>
      <c r="B109" s="168">
        <v>2127385</v>
      </c>
    </row>
    <row r="110" ht="20" customHeight="1" spans="1:2">
      <c r="A110" s="158">
        <v>45638</v>
      </c>
      <c r="B110" s="168">
        <v>2247161</v>
      </c>
    </row>
    <row r="111" ht="20" customHeight="1" spans="1:2">
      <c r="A111" s="158">
        <v>45645</v>
      </c>
      <c r="B111" s="168">
        <v>2446398</v>
      </c>
    </row>
    <row r="112" ht="20" customHeight="1" spans="1:2">
      <c r="A112" s="158">
        <v>45652</v>
      </c>
      <c r="B112" s="168">
        <v>2453295</v>
      </c>
    </row>
    <row r="113" ht="20" customHeight="1" spans="1:2">
      <c r="A113" s="158">
        <v>45659</v>
      </c>
      <c r="B113" s="168">
        <v>2386326</v>
      </c>
    </row>
    <row r="114" ht="20" customHeight="1" spans="1:2">
      <c r="A114" s="158">
        <v>45666</v>
      </c>
      <c r="B114" s="168">
        <v>2300358</v>
      </c>
    </row>
    <row r="115" ht="20" customHeight="1" spans="1:2">
      <c r="A115" s="158">
        <v>45673</v>
      </c>
      <c r="B115" s="168">
        <v>2467268</v>
      </c>
    </row>
    <row r="116" ht="20" customHeight="1" spans="1:2">
      <c r="A116" s="158">
        <v>45680</v>
      </c>
      <c r="B116" s="168">
        <v>3068754</v>
      </c>
    </row>
    <row r="117" ht="20" customHeight="1" spans="1:2">
      <c r="A117" s="158">
        <v>45694</v>
      </c>
      <c r="B117" s="168">
        <v>652511</v>
      </c>
    </row>
    <row r="118" ht="20" customHeight="1" spans="1:2">
      <c r="A118" s="158">
        <v>45701</v>
      </c>
      <c r="B118" s="168">
        <v>1200331</v>
      </c>
    </row>
    <row r="119" ht="20" customHeight="1" spans="1:2">
      <c r="A119" s="158">
        <v>45708</v>
      </c>
      <c r="B119" s="168">
        <v>1319407</v>
      </c>
    </row>
    <row r="120" ht="20" customHeight="1" spans="1:2">
      <c r="A120" s="158">
        <v>45715</v>
      </c>
      <c r="B120" s="168">
        <v>1435812</v>
      </c>
    </row>
    <row r="121" ht="20" customHeight="1" spans="1:2">
      <c r="A121" s="158">
        <v>45722</v>
      </c>
      <c r="B121" s="168">
        <v>1534612</v>
      </c>
    </row>
    <row r="122" ht="20" customHeight="1" spans="1:2">
      <c r="A122" s="158">
        <v>45729</v>
      </c>
      <c r="B122" s="168">
        <v>1602800</v>
      </c>
    </row>
    <row r="123" ht="20" customHeight="1" spans="1:2">
      <c r="A123" s="158">
        <v>45736</v>
      </c>
      <c r="B123" s="168">
        <v>1563838</v>
      </c>
    </row>
    <row r="124" ht="20" customHeight="1" spans="1:2">
      <c r="A124" s="158">
        <v>45743</v>
      </c>
      <c r="B124" s="168">
        <v>1551756</v>
      </c>
    </row>
    <row r="125" ht="20" customHeight="1" spans="1:2">
      <c r="A125" s="158">
        <v>45750</v>
      </c>
      <c r="B125" s="168">
        <v>1530887</v>
      </c>
    </row>
    <row r="126" ht="20" customHeight="1" spans="1:2">
      <c r="A126" s="158">
        <v>45757</v>
      </c>
      <c r="B126" s="168">
        <v>1500134</v>
      </c>
    </row>
    <row r="127" ht="20" customHeight="1" spans="1:2">
      <c r="A127" s="158">
        <v>45764</v>
      </c>
      <c r="B127" s="168">
        <v>1467990</v>
      </c>
    </row>
    <row r="128" ht="20" customHeight="1" spans="1:2">
      <c r="A128" s="158">
        <v>45771</v>
      </c>
      <c r="B128" s="168">
        <v>1497931</v>
      </c>
    </row>
    <row r="129" ht="20" customHeight="1" spans="1:2">
      <c r="A129" s="158">
        <v>45778</v>
      </c>
      <c r="B129" s="168">
        <v>1605864</v>
      </c>
    </row>
    <row r="130" ht="20" customHeight="1" spans="1:2">
      <c r="A130" s="158">
        <v>45785</v>
      </c>
      <c r="B130" s="168">
        <v>1642568</v>
      </c>
    </row>
    <row r="131" ht="20" customHeight="1" spans="1:2">
      <c r="A131" s="158">
        <v>45792</v>
      </c>
      <c r="B131" s="168">
        <v>1596364</v>
      </c>
    </row>
    <row r="132" ht="20" customHeight="1" spans="1:2">
      <c r="A132" s="158">
        <v>45799</v>
      </c>
      <c r="B132" s="168">
        <v>1595878</v>
      </c>
    </row>
    <row r="133" ht="20" customHeight="1" spans="1:2">
      <c r="A133" s="158">
        <v>45806</v>
      </c>
      <c r="B133" s="168">
        <v>1685571</v>
      </c>
    </row>
    <row r="134" ht="20" customHeight="1" spans="1:2">
      <c r="A134" s="158">
        <v>45813</v>
      </c>
      <c r="B134" s="168">
        <v>1702057</v>
      </c>
    </row>
    <row r="135" ht="20" customHeight="1" spans="1:2">
      <c r="A135" s="158">
        <v>45820</v>
      </c>
      <c r="B135" s="168">
        <v>1681034</v>
      </c>
    </row>
    <row r="136" ht="20" customHeight="1" spans="1:2">
      <c r="A136" s="158">
        <v>45827</v>
      </c>
      <c r="B136" s="168">
        <v>1713589</v>
      </c>
    </row>
    <row r="137" ht="20" customHeight="1" spans="1:2">
      <c r="A137" s="158">
        <v>45834</v>
      </c>
      <c r="B137" s="168">
        <v>1686196</v>
      </c>
    </row>
    <row r="138" ht="20" customHeight="1" spans="1:2">
      <c r="A138" s="158">
        <v>45841</v>
      </c>
      <c r="B138" s="168">
        <v>1560285</v>
      </c>
    </row>
    <row r="139" ht="20" customHeight="1" spans="1:2">
      <c r="A139" s="158">
        <v>45848</v>
      </c>
      <c r="B139" s="168">
        <v>1469509</v>
      </c>
    </row>
    <row r="140" ht="20" customHeight="1" spans="1:2">
      <c r="A140" s="158">
        <v>45855</v>
      </c>
      <c r="B140" s="168">
        <v>1513944</v>
      </c>
    </row>
    <row r="141" ht="20" customHeight="1" spans="1:2">
      <c r="A141" s="158">
        <v>45862</v>
      </c>
      <c r="B141" s="168">
        <v>1555424</v>
      </c>
    </row>
    <row r="142" ht="20" customHeight="1" spans="1:2">
      <c r="A142" s="158">
        <v>45869</v>
      </c>
      <c r="B142" s="168">
        <v>1605599</v>
      </c>
    </row>
    <row r="143" ht="20" customHeight="1" spans="1:2">
      <c r="A143" s="158">
        <v>45876</v>
      </c>
      <c r="B143" s="168">
        <v>1602904</v>
      </c>
    </row>
    <row r="144" ht="20" customHeight="1" spans="1:2">
      <c r="A144" s="158">
        <v>45883</v>
      </c>
      <c r="B144" s="168">
        <v>1632939</v>
      </c>
    </row>
    <row r="145" ht="20" customHeight="1" spans="1:2">
      <c r="A145" s="158">
        <v>45890</v>
      </c>
      <c r="B145" s="168">
        <v>1674503</v>
      </c>
    </row>
    <row r="146" ht="20" customHeight="1" spans="1:2">
      <c r="A146" s="158">
        <v>45897</v>
      </c>
      <c r="B146" s="168">
        <v>1705511</v>
      </c>
    </row>
    <row r="147" ht="20" customHeight="1" spans="1:2">
      <c r="A147" s="158">
        <v>45904</v>
      </c>
      <c r="B147" s="168">
        <v>1804249</v>
      </c>
    </row>
    <row r="148" ht="20" customHeight="1" spans="1:2">
      <c r="A148" s="158">
        <v>45911</v>
      </c>
      <c r="B148" s="168">
        <v>1815250</v>
      </c>
    </row>
    <row r="149" ht="20" customHeight="1" spans="1:2">
      <c r="A149" s="158">
        <v>45918</v>
      </c>
      <c r="B149" s="168">
        <v>1833487</v>
      </c>
    </row>
    <row r="150" ht="20" customHeight="1" spans="1:2">
      <c r="A150" s="158">
        <v>45925</v>
      </c>
      <c r="B150" s="168">
        <v>1937412</v>
      </c>
    </row>
    <row r="151" ht="20" customHeight="1" spans="1:2">
      <c r="A151" s="158">
        <v>45932</v>
      </c>
      <c r="B151" s="168">
        <v>2105149</v>
      </c>
    </row>
    <row r="152" ht="20" customHeight="1" spans="1:2">
      <c r="A152" s="158">
        <v>45939</v>
      </c>
      <c r="B152" s="168">
        <v>2091933</v>
      </c>
    </row>
    <row r="153" ht="20" customHeight="1" spans="1:2">
      <c r="A153" s="158">
        <v>45946</v>
      </c>
      <c r="B153" s="168">
        <v>2181566</v>
      </c>
    </row>
    <row r="154" ht="20" customHeight="1" spans="1:2">
      <c r="A154" s="158">
        <v>45953</v>
      </c>
      <c r="B154" s="168">
        <v>2262881</v>
      </c>
    </row>
    <row r="155" ht="20" customHeight="1" spans="1:2">
      <c r="A155" s="158">
        <v>45960</v>
      </c>
      <c r="B155" s="168">
        <v>2229199</v>
      </c>
    </row>
    <row r="156" ht="20" customHeight="1" spans="1:2">
      <c r="A156" s="158">
        <v>45967</v>
      </c>
      <c r="B156" s="168">
        <v>2181750</v>
      </c>
    </row>
    <row r="157" ht="20" customHeight="1" spans="1:2">
      <c r="A157" s="158">
        <v>45974</v>
      </c>
      <c r="B157" s="168">
        <v>2198890</v>
      </c>
    </row>
    <row r="158" ht="20" customHeight="1" spans="1:2">
      <c r="A158" s="158">
        <v>45981</v>
      </c>
      <c r="B158" s="168">
        <v>2267795</v>
      </c>
    </row>
    <row r="159" ht="20" customHeight="1" spans="1:2">
      <c r="A159" s="158">
        <v>45988</v>
      </c>
      <c r="B159" s="168">
        <v>2401436</v>
      </c>
    </row>
    <row r="160" ht="20" customHeight="1" spans="1:2">
      <c r="A160" s="158">
        <v>45995</v>
      </c>
      <c r="B160" s="168">
        <v>2484727</v>
      </c>
    </row>
    <row r="161" ht="20" customHeight="1" spans="1:2">
      <c r="A161" s="158">
        <v>46002</v>
      </c>
      <c r="B161" s="168">
        <v>2578073</v>
      </c>
    </row>
    <row r="162" ht="20" customHeight="1" spans="1:2">
      <c r="A162" s="158">
        <v>46009</v>
      </c>
      <c r="B162" s="168">
        <v>2742725</v>
      </c>
    </row>
    <row r="163" ht="20" customHeight="1" spans="1:2">
      <c r="A163" s="158">
        <v>46016</v>
      </c>
      <c r="B163" s="168">
        <v>2836867</v>
      </c>
    </row>
    <row r="164" ht="20" customHeight="1" spans="1:2">
      <c r="A164" s="158">
        <v>46023</v>
      </c>
      <c r="B164" s="168">
        <v>2816387</v>
      </c>
    </row>
    <row r="165" ht="20" customHeight="1" spans="1:2">
      <c r="A165" s="158">
        <v>46030</v>
      </c>
      <c r="B165" s="168">
        <v>2595456</v>
      </c>
    </row>
    <row r="166" ht="20" customHeight="1" spans="1:2">
      <c r="A166" s="158">
        <v>46037</v>
      </c>
      <c r="B166" s="168">
        <v>2469285</v>
      </c>
    </row>
    <row r="167" ht="20" customHeight="1" spans="1:2">
      <c r="A167" s="158">
        <v>46044</v>
      </c>
      <c r="B167" s="168">
        <v>2400463</v>
      </c>
    </row>
    <row r="168" ht="20" customHeight="1" spans="1:2">
      <c r="A168" s="158">
        <v>46051</v>
      </c>
      <c r="B168" s="168">
        <v>2553518</v>
      </c>
    </row>
    <row r="169" ht="20" customHeight="1" spans="1:2">
      <c r="A169" s="158">
        <v>46058</v>
      </c>
      <c r="B169" s="168">
        <v>2681030</v>
      </c>
    </row>
    <row r="170" ht="20" customHeight="1" spans="1:2">
      <c r="A170" s="158">
        <v>46065</v>
      </c>
      <c r="B170" s="168">
        <v>3510844</v>
      </c>
    </row>
    <row r="171" ht="20" customHeight="1" spans="1:2">
      <c r="A171" s="158">
        <v>46079</v>
      </c>
      <c r="B171" s="168">
        <v>1081180</v>
      </c>
    </row>
    <row r="172" ht="20" customHeight="1" spans="1:2">
      <c r="A172" s="158">
        <v>46086</v>
      </c>
      <c r="B172" s="168">
        <v>1560728</v>
      </c>
    </row>
    <row r="173" ht="20" customHeight="1" spans="1:2">
      <c r="A173" s="158">
        <v>46093</v>
      </c>
      <c r="B173" s="168">
        <v>1845952</v>
      </c>
    </row>
    <row r="174" ht="20" customHeight="1" spans="1:2">
      <c r="A174" s="158">
        <v>46100</v>
      </c>
      <c r="B174" s="168">
        <v>2107460</v>
      </c>
    </row>
    <row r="175" ht="20" customHeight="1" spans="1:2">
      <c r="A175" s="158">
        <v>46107</v>
      </c>
      <c r="B175" s="168">
        <v>2137204</v>
      </c>
    </row>
    <row r="176" ht="20" customHeight="1" spans="1:2">
      <c r="A176" s="158">
        <v>46114</v>
      </c>
      <c r="B176" s="168">
        <v>2271489</v>
      </c>
    </row>
    <row r="177" ht="20" customHeight="1" spans="1:2">
      <c r="A177" s="158">
        <v>46121</v>
      </c>
      <c r="B177" s="168">
        <v>2394977</v>
      </c>
    </row>
    <row r="178" ht="20" customHeight="1" spans="1:2">
      <c r="A178" s="158">
        <v>46128</v>
      </c>
      <c r="B178" s="168">
        <v>2458763</v>
      </c>
    </row>
    <row r="179" ht="20" customHeight="1" spans="1:2">
      <c r="A179" s="158">
        <v>46135</v>
      </c>
      <c r="B179" s="168">
        <v>2330434</v>
      </c>
    </row>
    <row r="180" ht="20" customHeight="1" spans="1:2">
      <c r="A180" s="158">
        <v>46142</v>
      </c>
      <c r="B180" s="168">
        <v>2281872</v>
      </c>
    </row>
    <row r="181" ht="20" customHeight="1" spans="1:2">
      <c r="A181" s="158">
        <v>46149</v>
      </c>
      <c r="B181" s="168">
        <v>2180677</v>
      </c>
    </row>
    <row r="182" ht="20" customHeight="1" spans="1:2">
      <c r="A182" s="158">
        <v>46156</v>
      </c>
      <c r="B182" s="168">
        <v>2244130</v>
      </c>
    </row>
    <row r="183" ht="20" customHeight="1" spans="1:2">
      <c r="A183" s="158">
        <v>46163</v>
      </c>
      <c r="B183" s="168">
        <v>2289057</v>
      </c>
    </row>
    <row r="184" ht="20" customHeight="1" spans="1:2">
      <c r="A184" s="158">
        <v>46170</v>
      </c>
      <c r="B184" s="168">
        <v>2269150</v>
      </c>
    </row>
    <row r="185" ht="20" customHeight="1" spans="1:2">
      <c r="A185" s="158">
        <v>46177</v>
      </c>
      <c r="B185" s="168">
        <v>2220900</v>
      </c>
    </row>
    <row r="186" ht="20" customHeight="1" spans="1:2">
      <c r="A186" s="158">
        <v>46184</v>
      </c>
      <c r="B186" s="168">
        <v>2240472</v>
      </c>
    </row>
    <row r="187" ht="20" customHeight="1" spans="1:2">
      <c r="A187" s="158">
        <v>46191</v>
      </c>
      <c r="B187" s="168">
        <v>2339530</v>
      </c>
    </row>
    <row r="188" ht="20" customHeight="1" spans="1:2">
      <c r="A188" s="158">
        <v>46198</v>
      </c>
      <c r="B188" s="168">
        <v>2216783</v>
      </c>
    </row>
    <row r="189" ht="20" customHeight="1" spans="1:2">
      <c r="A189" s="158">
        <v>46205</v>
      </c>
      <c r="B189" s="168">
        <v>2116131</v>
      </c>
    </row>
    <row r="190" ht="20" customHeight="1" spans="1:2">
      <c r="A190" s="158">
        <v>46212</v>
      </c>
      <c r="B190" s="168">
        <v>1997728</v>
      </c>
    </row>
    <row r="191" ht="20" customHeight="1" spans="1:2">
      <c r="A191" s="158">
        <v>46219</v>
      </c>
      <c r="B191" s="168">
        <v>1972172</v>
      </c>
    </row>
    <row r="192" ht="20" customHeight="1" spans="1:2">
      <c r="A192" s="158">
        <v>46226</v>
      </c>
      <c r="B192" s="168">
        <v>1962644</v>
      </c>
    </row>
    <row r="193" ht="20" customHeight="1" spans="1:2">
      <c r="A193" s="158">
        <v>46233</v>
      </c>
      <c r="B193" s="168">
        <v>2005857</v>
      </c>
    </row>
    <row r="194" ht="20" customHeight="1" spans="1:2">
      <c r="A194" s="158">
        <v>46240</v>
      </c>
      <c r="B194" s="168">
        <v>2035454</v>
      </c>
    </row>
    <row r="195" ht="20" customHeight="1" spans="1:2">
      <c r="A195" s="158">
        <v>46247</v>
      </c>
      <c r="B195" s="168">
        <v>2133445</v>
      </c>
    </row>
    <row r="196" ht="20" customHeight="1" spans="1:2">
      <c r="A196" s="158">
        <v>46254</v>
      </c>
      <c r="B196" s="168">
        <v>2166629</v>
      </c>
    </row>
    <row r="197" ht="20" customHeight="1" spans="1:2">
      <c r="A197" s="158">
        <v>46261</v>
      </c>
      <c r="B197" s="168">
        <v>2207378</v>
      </c>
    </row>
    <row r="198" ht="20" customHeight="1" spans="1:2">
      <c r="A198" s="158">
        <v>46268</v>
      </c>
      <c r="B198" s="168">
        <v>2248078</v>
      </c>
    </row>
    <row r="199" ht="20" customHeight="1" spans="1:2">
      <c r="A199" s="158">
        <v>46275</v>
      </c>
      <c r="B199" s="168">
        <v>2291155</v>
      </c>
    </row>
    <row r="200" ht="20" customHeight="1" spans="1:2">
      <c r="A200" s="158">
        <v>46282</v>
      </c>
      <c r="B200" s="168">
        <v>2331893</v>
      </c>
    </row>
    <row r="201" ht="20" customHeight="1" spans="1:2">
      <c r="A201" s="158">
        <v>46289</v>
      </c>
      <c r="B201" s="168">
        <v>2583184</v>
      </c>
    </row>
    <row r="202" ht="20" customHeight="1"/>
    <row r="203" ht="20" customHeight="1"/>
    <row r="204" ht="20" customHeight="1"/>
    <row r="205" ht="20" customHeight="1"/>
    <row r="206" ht="20" customHeight="1"/>
    <row r="207" ht="20" customHeight="1"/>
    <row r="208" ht="20" customHeight="1"/>
    <row r="209" ht="20" customHeight="1"/>
    <row r="210" ht="20" customHeight="1"/>
    <row r="211" ht="20" customHeight="1"/>
    <row r="212" ht="20" customHeight="1"/>
    <row r="213" ht="20" customHeight="1"/>
    <row r="214" ht="20" customHeight="1"/>
    <row r="215" ht="20" customHeight="1"/>
    <row r="216" ht="20" customHeight="1"/>
    <row r="217" ht="20" customHeight="1"/>
    <row r="218" ht="20" customHeight="1"/>
    <row r="219" ht="20" customHeight="1"/>
    <row r="220" ht="20" customHeight="1"/>
    <row r="221" ht="20" customHeight="1"/>
    <row r="222" ht="20" customHeight="1"/>
    <row r="223" ht="20" customHeight="1"/>
    <row r="224" ht="20" customHeight="1"/>
    <row r="225" ht="20" customHeight="1"/>
    <row r="226" ht="20" customHeight="1"/>
    <row r="227" ht="20" customHeight="1"/>
    <row r="228" ht="20" customHeight="1"/>
    <row r="229" ht="20" customHeight="1"/>
    <row r="230" ht="20" customHeight="1"/>
    <row r="231" ht="20" customHeight="1"/>
    <row r="232" ht="20" customHeight="1"/>
    <row r="233" ht="20" customHeight="1"/>
    <row r="234" ht="20" customHeight="1"/>
    <row r="235" ht="20" customHeight="1"/>
    <row r="236" ht="20" customHeight="1"/>
    <row r="237" ht="20" customHeight="1"/>
    <row r="238" ht="20" customHeight="1"/>
    <row r="239" ht="20" customHeight="1"/>
    <row r="240" ht="20" customHeight="1"/>
    <row r="241" ht="20" customHeight="1"/>
    <row r="242" ht="20" customHeight="1"/>
    <row r="243" ht="20" customHeight="1"/>
    <row r="244" ht="20" customHeight="1"/>
    <row r="245" ht="20" customHeight="1"/>
    <row r="246" ht="20" customHeight="1"/>
    <row r="247" ht="20" customHeight="1"/>
    <row r="248" ht="20" customHeight="1"/>
    <row r="249" ht="20" customHeight="1"/>
    <row r="250" ht="20" customHeight="1"/>
    <row r="251" ht="20" customHeight="1"/>
    <row r="252" ht="20" customHeight="1"/>
    <row r="253" ht="20" customHeight="1"/>
    <row r="254" ht="20" customHeight="1"/>
    <row r="255" ht="20" customHeight="1"/>
    <row r="256" ht="20" customHeight="1"/>
    <row r="257" ht="20" customHeight="1"/>
    <row r="258" ht="20" customHeight="1"/>
    <row r="259" ht="20" customHeight="1"/>
    <row r="260" ht="20" customHeight="1"/>
    <row r="261" ht="20" customHeight="1"/>
    <row r="262" ht="20" customHeight="1"/>
    <row r="263" ht="20" customHeight="1"/>
    <row r="264" ht="20" customHeight="1"/>
    <row r="265" ht="20" customHeight="1"/>
    <row r="266" ht="20" customHeight="1"/>
    <row r="267" ht="20" customHeight="1"/>
    <row r="268" ht="20" customHeight="1"/>
    <row r="269" ht="20" customHeight="1"/>
    <row r="270" ht="20" customHeight="1"/>
    <row r="271" ht="20" customHeight="1"/>
    <row r="272" ht="20" customHeight="1"/>
    <row r="273" ht="20" customHeight="1"/>
    <row r="274" ht="20" customHeight="1"/>
    <row r="275" ht="20" customHeight="1"/>
    <row r="276" ht="20" customHeight="1"/>
    <row r="277" ht="20" customHeight="1"/>
    <row r="278" ht="20" customHeight="1"/>
    <row r="279" ht="20" customHeight="1"/>
    <row r="280" ht="20" customHeight="1"/>
    <row r="281" ht="20" customHeight="1"/>
    <row r="282" ht="20" customHeight="1"/>
    <row r="283" ht="20" customHeight="1"/>
    <row r="284" ht="20" customHeight="1"/>
    <row r="285" ht="20" customHeight="1"/>
    <row r="286" ht="20" customHeight="1"/>
    <row r="287" ht="20" customHeight="1"/>
    <row r="288" ht="20" customHeight="1"/>
    <row r="289" ht="20" customHeight="1"/>
    <row r="290" ht="20" customHeight="1"/>
    <row r="291" ht="20" customHeight="1"/>
    <row r="292" ht="20" customHeight="1"/>
    <row r="293" ht="20" customHeight="1"/>
    <row r="294" ht="20" customHeight="1"/>
    <row r="295" ht="20" customHeight="1"/>
    <row r="296" ht="20" customHeight="1"/>
    <row r="297" ht="20" customHeight="1"/>
    <row r="298" ht="20" customHeight="1"/>
    <row r="299" ht="20" customHeight="1"/>
    <row r="300" ht="20" customHeight="1"/>
    <row r="301" ht="20" customHeight="1"/>
    <row r="302" ht="20" customHeight="1"/>
    <row r="303" ht="20" customHeight="1"/>
    <row r="304" ht="20" customHeight="1"/>
    <row r="305" ht="20" customHeight="1"/>
    <row r="306" ht="20" customHeight="1"/>
    <row r="307" ht="20" customHeight="1"/>
    <row r="308" ht="20" customHeight="1"/>
    <row r="309" ht="20" customHeight="1"/>
    <row r="310" ht="20" customHeight="1"/>
    <row r="311" ht="20" customHeight="1"/>
    <row r="312" ht="20" customHeight="1"/>
    <row r="313" ht="20" customHeight="1"/>
    <row r="314" ht="20" customHeight="1"/>
    <row r="315" ht="20" customHeight="1"/>
    <row r="316" ht="20" customHeight="1"/>
    <row r="317" ht="20" customHeight="1"/>
    <row r="318" ht="20" customHeight="1"/>
    <row r="319" ht="20" customHeight="1"/>
    <row r="320" ht="20" customHeight="1"/>
    <row r="321" ht="20" customHeight="1"/>
    <row r="322" ht="20" customHeight="1"/>
    <row r="323" ht="20" customHeight="1"/>
    <row r="324" ht="20" customHeight="1"/>
    <row r="325" ht="20" customHeight="1"/>
    <row r="326" ht="20" customHeight="1"/>
    <row r="327" ht="20" customHeight="1"/>
    <row r="328" ht="20" customHeight="1"/>
    <row r="329" ht="20" customHeight="1"/>
    <row r="330" ht="20" customHeight="1"/>
    <row r="331" ht="20" customHeight="1"/>
    <row r="332" ht="20" customHeight="1"/>
    <row r="333" ht="20" customHeight="1"/>
    <row r="334" ht="20" customHeight="1"/>
    <row r="335" ht="20" customHeight="1"/>
    <row r="336" ht="20" customHeight="1"/>
    <row r="337" ht="20" customHeight="1"/>
    <row r="338" ht="20" customHeight="1"/>
    <row r="339" ht="20" customHeight="1"/>
    <row r="340" ht="20" customHeight="1"/>
    <row r="341" ht="20" customHeight="1"/>
    <row r="342" ht="20" customHeight="1"/>
    <row r="343" ht="20" customHeight="1"/>
  </sheetData>
  <pageMargins left="0.75" right="0.75" top="1" bottom="1" header="0.5" footer="0.5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2593"/>
  <sheetViews>
    <sheetView workbookViewId="0">
      <pane ySplit="2" topLeftCell="A2564" activePane="bottomLeft" state="frozen"/>
      <selection/>
      <selection pane="bottomLeft" activeCell="B2593" sqref="B2593"/>
    </sheetView>
  </sheetViews>
  <sheetFormatPr defaultColWidth="13.125" defaultRowHeight="20" customHeight="1" outlineLevelCol="1"/>
  <cols>
    <col min="1" max="1" width="13.125" style="149" customWidth="1"/>
    <col min="2" max="2" width="13.125" style="165" customWidth="1"/>
    <col min="3" max="16369" width="13.125" customWidth="1"/>
  </cols>
  <sheetData>
    <row r="2" customHeight="1" spans="1:2">
      <c r="A2" s="166" t="s">
        <v>29</v>
      </c>
      <c r="B2" s="167" t="s">
        <v>86</v>
      </c>
    </row>
    <row r="3" s="89" customFormat="1" customHeight="1" spans="1:2">
      <c r="A3" s="158">
        <v>43614</v>
      </c>
      <c r="B3" s="168">
        <v>443520</v>
      </c>
    </row>
    <row r="4" s="89" customFormat="1" customHeight="1" spans="1:2">
      <c r="A4" s="158">
        <v>43615</v>
      </c>
      <c r="B4" s="168">
        <v>462300</v>
      </c>
    </row>
    <row r="5" s="89" customFormat="1" customHeight="1" spans="1:2">
      <c r="A5" s="158">
        <v>43616</v>
      </c>
      <c r="B5" s="168">
        <v>464700</v>
      </c>
    </row>
    <row r="6" s="89" customFormat="1" customHeight="1" spans="1:2">
      <c r="A6" s="158">
        <v>43619</v>
      </c>
      <c r="B6" s="168">
        <v>431130</v>
      </c>
    </row>
    <row r="7" s="89" customFormat="1" customHeight="1" spans="1:2">
      <c r="A7" s="158">
        <v>43620</v>
      </c>
      <c r="B7" s="168">
        <v>451242</v>
      </c>
    </row>
    <row r="8" s="89" customFormat="1" customHeight="1" spans="1:2">
      <c r="A8" s="158">
        <v>43621</v>
      </c>
      <c r="B8" s="168">
        <v>459402</v>
      </c>
    </row>
    <row r="9" s="89" customFormat="1" customHeight="1" spans="1:2">
      <c r="A9" s="158">
        <v>43622</v>
      </c>
      <c r="B9" s="168">
        <v>434076</v>
      </c>
    </row>
    <row r="10" s="89" customFormat="1" customHeight="1" spans="1:2">
      <c r="A10" s="158">
        <v>43626</v>
      </c>
      <c r="B10" s="168">
        <v>354538</v>
      </c>
    </row>
    <row r="11" s="89" customFormat="1" customHeight="1" spans="1:2">
      <c r="A11" s="158">
        <v>43627</v>
      </c>
      <c r="B11" s="168">
        <v>386896</v>
      </c>
    </row>
    <row r="12" s="89" customFormat="1" customHeight="1" spans="1:2">
      <c r="A12" s="158">
        <v>43628</v>
      </c>
      <c r="B12" s="168">
        <v>402402</v>
      </c>
    </row>
    <row r="13" s="89" customFormat="1" customHeight="1" spans="1:2">
      <c r="A13" s="158">
        <v>43629</v>
      </c>
      <c r="B13" s="168">
        <v>422184</v>
      </c>
    </row>
    <row r="14" s="89" customFormat="1" customHeight="1" spans="1:2">
      <c r="A14" s="158">
        <v>43630</v>
      </c>
      <c r="B14" s="168">
        <v>396714</v>
      </c>
    </row>
    <row r="15" s="89" customFormat="1" customHeight="1" spans="1:2">
      <c r="A15" s="158">
        <v>43633</v>
      </c>
      <c r="B15" s="168">
        <v>386736</v>
      </c>
    </row>
    <row r="16" s="89" customFormat="1" customHeight="1" spans="1:2">
      <c r="A16" s="158">
        <v>43634</v>
      </c>
      <c r="B16" s="168">
        <v>369420</v>
      </c>
    </row>
    <row r="17" s="89" customFormat="1" customHeight="1" spans="1:2">
      <c r="A17" s="158">
        <v>43635</v>
      </c>
      <c r="B17" s="168">
        <v>398352</v>
      </c>
    </row>
    <row r="18" s="89" customFormat="1" customHeight="1" spans="1:2">
      <c r="A18" s="158">
        <v>43636</v>
      </c>
      <c r="B18" s="168">
        <v>399600</v>
      </c>
    </row>
    <row r="19" s="89" customFormat="1" customHeight="1" spans="1:2">
      <c r="A19" s="158">
        <v>43637</v>
      </c>
      <c r="B19" s="168">
        <v>366325</v>
      </c>
    </row>
    <row r="20" s="89" customFormat="1" customHeight="1" spans="1:2">
      <c r="A20" s="158">
        <v>43638</v>
      </c>
      <c r="B20" s="168">
        <v>350825</v>
      </c>
    </row>
    <row r="21" s="89" customFormat="1" customHeight="1" spans="1:2">
      <c r="A21" s="158">
        <v>43639</v>
      </c>
      <c r="B21" s="168">
        <v>329950</v>
      </c>
    </row>
    <row r="22" s="89" customFormat="1" customHeight="1" spans="1:2">
      <c r="A22" s="158">
        <v>43640</v>
      </c>
      <c r="B22" s="168">
        <v>329500</v>
      </c>
    </row>
    <row r="23" s="89" customFormat="1" customHeight="1" spans="1:2">
      <c r="A23" s="158">
        <v>43641</v>
      </c>
      <c r="B23" s="168">
        <v>329320</v>
      </c>
    </row>
    <row r="24" s="89" customFormat="1" customHeight="1" spans="1:2">
      <c r="A24" s="158">
        <v>43642</v>
      </c>
      <c r="B24" s="168">
        <v>318447</v>
      </c>
    </row>
    <row r="25" s="89" customFormat="1" customHeight="1" spans="1:2">
      <c r="A25" s="158">
        <v>43643</v>
      </c>
      <c r="B25" s="168">
        <v>316200</v>
      </c>
    </row>
    <row r="26" s="89" customFormat="1" customHeight="1" spans="1:2">
      <c r="A26" s="158">
        <v>43644</v>
      </c>
      <c r="B26" s="168">
        <v>316404</v>
      </c>
    </row>
    <row r="27" s="89" customFormat="1" customHeight="1" spans="1:2">
      <c r="A27" s="158">
        <v>43645</v>
      </c>
      <c r="B27" s="168">
        <v>326304</v>
      </c>
    </row>
    <row r="28" s="89" customFormat="1" customHeight="1" spans="1:2">
      <c r="A28" s="158">
        <v>43646</v>
      </c>
      <c r="B28" s="168">
        <v>324230</v>
      </c>
    </row>
    <row r="29" s="89" customFormat="1" customHeight="1" spans="1:2">
      <c r="A29" s="158">
        <v>43647</v>
      </c>
      <c r="B29" s="168">
        <v>320451</v>
      </c>
    </row>
    <row r="30" s="89" customFormat="1" customHeight="1" spans="1:2">
      <c r="A30" s="158">
        <v>43648</v>
      </c>
      <c r="B30" s="168">
        <v>317570</v>
      </c>
    </row>
    <row r="31" s="89" customFormat="1" customHeight="1" spans="1:2">
      <c r="A31" s="158">
        <v>43649</v>
      </c>
      <c r="B31" s="168">
        <v>316735</v>
      </c>
    </row>
    <row r="32" s="89" customFormat="1" customHeight="1" spans="1:2">
      <c r="A32" s="158">
        <v>43650</v>
      </c>
      <c r="B32" s="168">
        <v>318027</v>
      </c>
    </row>
    <row r="33" s="89" customFormat="1" customHeight="1" spans="1:2">
      <c r="A33" s="158">
        <v>43651</v>
      </c>
      <c r="B33" s="168">
        <v>326304</v>
      </c>
    </row>
    <row r="34" s="89" customFormat="1" customHeight="1" spans="1:2">
      <c r="A34" s="158">
        <v>43652</v>
      </c>
      <c r="B34" s="168">
        <v>324230</v>
      </c>
    </row>
    <row r="35" s="89" customFormat="1" customHeight="1" spans="1:2">
      <c r="A35" s="158">
        <v>43653</v>
      </c>
      <c r="B35" s="168">
        <v>320765</v>
      </c>
    </row>
    <row r="36" s="89" customFormat="1" customHeight="1" spans="1:2">
      <c r="A36" s="158">
        <v>43654</v>
      </c>
      <c r="B36" s="168">
        <v>318196</v>
      </c>
    </row>
    <row r="37" s="89" customFormat="1" customHeight="1" spans="1:2">
      <c r="A37" s="158">
        <v>43655</v>
      </c>
      <c r="B37" s="168">
        <v>314506</v>
      </c>
    </row>
    <row r="38" s="89" customFormat="1" customHeight="1" spans="1:2">
      <c r="A38" s="158">
        <v>43656</v>
      </c>
      <c r="B38" s="168">
        <v>315636</v>
      </c>
    </row>
    <row r="39" s="89" customFormat="1" customHeight="1" spans="1:2">
      <c r="A39" s="158">
        <v>43657</v>
      </c>
      <c r="B39" s="168">
        <v>308133</v>
      </c>
    </row>
    <row r="40" s="89" customFormat="1" customHeight="1" spans="1:2">
      <c r="A40" s="158">
        <v>43658</v>
      </c>
      <c r="B40" s="168">
        <v>301821</v>
      </c>
    </row>
    <row r="41" s="89" customFormat="1" customHeight="1" spans="1:2">
      <c r="A41" s="158">
        <v>43659</v>
      </c>
      <c r="B41" s="168">
        <v>297862</v>
      </c>
    </row>
    <row r="42" s="89" customFormat="1" customHeight="1" spans="1:2">
      <c r="A42" s="158">
        <v>43660</v>
      </c>
      <c r="B42" s="168">
        <v>297234</v>
      </c>
    </row>
    <row r="43" s="89" customFormat="1" customHeight="1" spans="1:2">
      <c r="A43" s="158">
        <v>43661</v>
      </c>
      <c r="B43" s="168">
        <v>296638</v>
      </c>
    </row>
    <row r="44" s="89" customFormat="1" customHeight="1" spans="1:2">
      <c r="A44" s="158">
        <v>43662</v>
      </c>
      <c r="B44" s="168">
        <v>291160</v>
      </c>
    </row>
    <row r="45" s="89" customFormat="1" customHeight="1" spans="1:2">
      <c r="A45" s="158">
        <v>43663</v>
      </c>
      <c r="B45" s="168">
        <v>286849</v>
      </c>
    </row>
    <row r="46" s="89" customFormat="1" customHeight="1" spans="1:2">
      <c r="A46" s="158">
        <v>43664</v>
      </c>
      <c r="B46" s="168">
        <v>287329</v>
      </c>
    </row>
    <row r="47" s="89" customFormat="1" customHeight="1" spans="1:2">
      <c r="A47" s="158">
        <v>43665</v>
      </c>
      <c r="B47" s="168">
        <v>285295</v>
      </c>
    </row>
    <row r="48" s="89" customFormat="1" customHeight="1" spans="1:2">
      <c r="A48" s="158">
        <v>43666</v>
      </c>
      <c r="B48" s="168">
        <v>287942</v>
      </c>
    </row>
    <row r="49" s="89" customFormat="1" customHeight="1" spans="1:2">
      <c r="A49" s="158">
        <v>43667</v>
      </c>
      <c r="B49" s="168">
        <v>283993</v>
      </c>
    </row>
    <row r="50" s="89" customFormat="1" customHeight="1" spans="1:2">
      <c r="A50" s="158">
        <v>43668</v>
      </c>
      <c r="B50" s="168">
        <v>281391</v>
      </c>
    </row>
    <row r="51" s="89" customFormat="1" customHeight="1" spans="1:2">
      <c r="A51" s="158">
        <v>43669</v>
      </c>
      <c r="B51" s="168">
        <v>282551</v>
      </c>
    </row>
    <row r="52" s="89" customFormat="1" customHeight="1" spans="1:2">
      <c r="A52" s="158">
        <v>43670</v>
      </c>
      <c r="B52" s="168">
        <v>281385</v>
      </c>
    </row>
    <row r="53" s="89" customFormat="1" customHeight="1" spans="1:2">
      <c r="A53" s="158">
        <v>43671</v>
      </c>
      <c r="B53" s="168">
        <v>281571</v>
      </c>
    </row>
    <row r="54" s="89" customFormat="1" customHeight="1" spans="1:2">
      <c r="A54" s="158">
        <v>43672</v>
      </c>
      <c r="B54" s="168">
        <v>275790</v>
      </c>
    </row>
    <row r="55" s="89" customFormat="1" customHeight="1" spans="1:2">
      <c r="A55" s="158">
        <v>43673</v>
      </c>
      <c r="B55" s="168">
        <v>274655</v>
      </c>
    </row>
    <row r="56" s="89" customFormat="1" customHeight="1" spans="1:2">
      <c r="A56" s="158">
        <v>43674</v>
      </c>
      <c r="B56" s="168">
        <v>273400</v>
      </c>
    </row>
    <row r="57" s="89" customFormat="1" customHeight="1" spans="1:2">
      <c r="A57" s="158">
        <v>43675</v>
      </c>
      <c r="B57" s="168">
        <v>269555</v>
      </c>
    </row>
    <row r="58" s="89" customFormat="1" customHeight="1" spans="1:2">
      <c r="A58" s="158">
        <v>43676</v>
      </c>
      <c r="B58" s="168">
        <v>265850</v>
      </c>
    </row>
    <row r="59" s="89" customFormat="1" customHeight="1" spans="1:2">
      <c r="A59" s="158">
        <v>43677</v>
      </c>
      <c r="B59" s="168">
        <v>267840</v>
      </c>
    </row>
    <row r="60" s="89" customFormat="1" customHeight="1" spans="1:2">
      <c r="A60" s="158">
        <v>43678</v>
      </c>
      <c r="B60" s="168">
        <v>269130</v>
      </c>
    </row>
    <row r="61" s="89" customFormat="1" customHeight="1" spans="1:2">
      <c r="A61" s="158">
        <v>43679</v>
      </c>
      <c r="B61" s="168">
        <v>262685</v>
      </c>
    </row>
    <row r="62" s="89" customFormat="1" customHeight="1" spans="1:2">
      <c r="A62" s="158">
        <v>43680</v>
      </c>
      <c r="B62" s="168">
        <v>261930</v>
      </c>
    </row>
    <row r="63" s="89" customFormat="1" customHeight="1" spans="1:2">
      <c r="A63" s="158">
        <v>43681</v>
      </c>
      <c r="B63" s="168">
        <v>258431</v>
      </c>
    </row>
    <row r="64" s="89" customFormat="1" customHeight="1" spans="1:2">
      <c r="A64" s="158">
        <v>43682</v>
      </c>
      <c r="B64" s="168">
        <v>257525</v>
      </c>
    </row>
    <row r="65" s="89" customFormat="1" customHeight="1" spans="1:2">
      <c r="A65" s="158">
        <v>43683</v>
      </c>
      <c r="B65" s="168">
        <v>258163</v>
      </c>
    </row>
    <row r="66" s="89" customFormat="1" customHeight="1" spans="1:2">
      <c r="A66" s="158">
        <v>43684</v>
      </c>
      <c r="B66" s="168">
        <v>252961</v>
      </c>
    </row>
    <row r="67" s="89" customFormat="1" customHeight="1" spans="1:2">
      <c r="A67" s="158">
        <v>43685</v>
      </c>
      <c r="B67" s="168">
        <v>250732</v>
      </c>
    </row>
    <row r="68" s="89" customFormat="1" customHeight="1" spans="1:2">
      <c r="A68" s="158">
        <v>43686</v>
      </c>
      <c r="B68" s="168">
        <v>254851</v>
      </c>
    </row>
    <row r="69" s="89" customFormat="1" customHeight="1" spans="1:2">
      <c r="A69" s="158">
        <v>43687</v>
      </c>
      <c r="B69" s="168">
        <v>258109</v>
      </c>
    </row>
    <row r="70" s="89" customFormat="1" customHeight="1" spans="1:2">
      <c r="A70" s="158">
        <v>43688</v>
      </c>
      <c r="B70" s="168">
        <v>260880</v>
      </c>
    </row>
    <row r="71" s="89" customFormat="1" customHeight="1" spans="1:2">
      <c r="A71" s="158">
        <v>43689</v>
      </c>
      <c r="B71" s="168">
        <v>263988</v>
      </c>
    </row>
    <row r="72" s="89" customFormat="1" customHeight="1" spans="1:2">
      <c r="A72" s="158">
        <v>43690</v>
      </c>
      <c r="B72" s="168">
        <v>268336</v>
      </c>
    </row>
    <row r="73" s="89" customFormat="1" customHeight="1" spans="1:2">
      <c r="A73" s="158">
        <v>43691</v>
      </c>
      <c r="B73" s="168">
        <v>273660</v>
      </c>
    </row>
    <row r="74" s="89" customFormat="1" customHeight="1" spans="1:2">
      <c r="A74" s="158">
        <v>43692</v>
      </c>
      <c r="B74" s="168">
        <v>267897</v>
      </c>
    </row>
    <row r="75" s="89" customFormat="1" customHeight="1" spans="1:2">
      <c r="A75" s="158">
        <v>43693</v>
      </c>
      <c r="B75" s="168">
        <v>242615</v>
      </c>
    </row>
    <row r="76" s="89" customFormat="1" customHeight="1" spans="1:2">
      <c r="A76" s="158">
        <v>43696</v>
      </c>
      <c r="B76" s="168">
        <v>237665</v>
      </c>
    </row>
    <row r="77" s="89" customFormat="1" customHeight="1" spans="1:2">
      <c r="A77" s="158">
        <v>43697</v>
      </c>
      <c r="B77" s="168">
        <v>235245</v>
      </c>
    </row>
    <row r="78" s="89" customFormat="1" customHeight="1" spans="1:2">
      <c r="A78" s="158">
        <v>43698</v>
      </c>
      <c r="B78" s="168">
        <v>231123</v>
      </c>
    </row>
    <row r="79" s="89" customFormat="1" customHeight="1" spans="1:2">
      <c r="A79" s="158">
        <v>43699</v>
      </c>
      <c r="B79" s="168">
        <v>224264</v>
      </c>
    </row>
    <row r="80" s="89" customFormat="1" customHeight="1" spans="1:2">
      <c r="A80" s="158">
        <v>43700</v>
      </c>
      <c r="B80" s="168">
        <v>220726</v>
      </c>
    </row>
    <row r="81" s="89" customFormat="1" customHeight="1" spans="1:2">
      <c r="A81" s="158">
        <v>43701</v>
      </c>
      <c r="B81" s="168">
        <v>214091</v>
      </c>
    </row>
    <row r="82" s="89" customFormat="1" customHeight="1" spans="1:2">
      <c r="A82" s="158">
        <v>43702</v>
      </c>
      <c r="B82" s="168">
        <v>214448</v>
      </c>
    </row>
    <row r="83" s="89" customFormat="1" customHeight="1" spans="1:2">
      <c r="A83" s="158">
        <v>43703</v>
      </c>
      <c r="B83" s="168">
        <v>202145</v>
      </c>
    </row>
    <row r="84" s="89" customFormat="1" customHeight="1" spans="1:2">
      <c r="A84" s="158">
        <v>43704</v>
      </c>
      <c r="B84" s="168">
        <v>203885</v>
      </c>
    </row>
    <row r="85" s="89" customFormat="1" customHeight="1" spans="1:2">
      <c r="A85" s="158">
        <v>43705</v>
      </c>
      <c r="B85" s="168">
        <v>203755</v>
      </c>
    </row>
    <row r="86" s="89" customFormat="1" customHeight="1" spans="1:2">
      <c r="A86" s="158">
        <v>43706</v>
      </c>
      <c r="B86" s="168">
        <v>199480</v>
      </c>
    </row>
    <row r="87" s="89" customFormat="1" customHeight="1" spans="1:2">
      <c r="A87" s="158">
        <v>43707</v>
      </c>
      <c r="B87" s="168">
        <v>203755</v>
      </c>
    </row>
    <row r="88" s="89" customFormat="1" customHeight="1" spans="1:2">
      <c r="A88" s="158">
        <v>43708</v>
      </c>
      <c r="B88" s="168">
        <v>199480</v>
      </c>
    </row>
    <row r="89" s="89" customFormat="1" customHeight="1" spans="1:2">
      <c r="A89" s="158">
        <v>43709</v>
      </c>
      <c r="B89" s="168">
        <v>186566</v>
      </c>
    </row>
    <row r="90" s="89" customFormat="1" customHeight="1" spans="1:2">
      <c r="A90" s="158">
        <v>43710</v>
      </c>
      <c r="B90" s="168">
        <v>181185</v>
      </c>
    </row>
    <row r="91" s="89" customFormat="1" customHeight="1" spans="1:2">
      <c r="A91" s="158">
        <v>43711</v>
      </c>
      <c r="B91" s="168">
        <v>171778</v>
      </c>
    </row>
    <row r="92" s="89" customFormat="1" customHeight="1" spans="1:2">
      <c r="A92" s="158">
        <v>43712</v>
      </c>
      <c r="B92" s="168">
        <v>170658</v>
      </c>
    </row>
    <row r="93" s="89" customFormat="1" customHeight="1" spans="1:2">
      <c r="A93" s="158">
        <v>43713</v>
      </c>
      <c r="B93" s="168">
        <v>162967</v>
      </c>
    </row>
    <row r="94" s="89" customFormat="1" customHeight="1" spans="1:2">
      <c r="A94" s="158">
        <v>43714</v>
      </c>
      <c r="B94" s="168">
        <v>154468</v>
      </c>
    </row>
    <row r="95" s="89" customFormat="1" customHeight="1" spans="1:2">
      <c r="A95" s="158">
        <v>43715</v>
      </c>
      <c r="B95" s="168">
        <v>174853</v>
      </c>
    </row>
    <row r="96" s="89" customFormat="1" customHeight="1" spans="1:2">
      <c r="A96" s="158">
        <v>43716</v>
      </c>
      <c r="B96" s="168">
        <v>168475</v>
      </c>
    </row>
    <row r="97" s="89" customFormat="1" customHeight="1" spans="1:2">
      <c r="A97" s="158">
        <v>43717</v>
      </c>
      <c r="B97" s="168">
        <v>164924</v>
      </c>
    </row>
    <row r="98" s="89" customFormat="1" customHeight="1" spans="1:2">
      <c r="A98" s="158">
        <v>43718</v>
      </c>
      <c r="B98" s="168">
        <v>160742</v>
      </c>
    </row>
    <row r="99" s="89" customFormat="1" customHeight="1" spans="1:2">
      <c r="A99" s="158">
        <v>43719</v>
      </c>
      <c r="B99" s="168">
        <v>158170</v>
      </c>
    </row>
    <row r="100" s="89" customFormat="1" customHeight="1" spans="1:2">
      <c r="A100" s="158">
        <v>43720</v>
      </c>
      <c r="B100" s="168">
        <v>156153</v>
      </c>
    </row>
    <row r="101" s="89" customFormat="1" customHeight="1" spans="1:2">
      <c r="A101" s="158">
        <v>43721</v>
      </c>
      <c r="B101" s="168">
        <v>154570</v>
      </c>
    </row>
    <row r="102" s="89" customFormat="1" customHeight="1" spans="1:2">
      <c r="A102" s="158">
        <v>43722</v>
      </c>
      <c r="B102" s="168">
        <v>167215</v>
      </c>
    </row>
    <row r="103" s="89" customFormat="1" customHeight="1" spans="1:2">
      <c r="A103" s="158">
        <v>43723</v>
      </c>
      <c r="B103" s="168">
        <v>160124</v>
      </c>
    </row>
    <row r="104" s="89" customFormat="1" customHeight="1" spans="1:2">
      <c r="A104" s="158">
        <v>43724</v>
      </c>
      <c r="B104" s="168">
        <v>155873</v>
      </c>
    </row>
    <row r="105" s="89" customFormat="1" customHeight="1" spans="1:2">
      <c r="A105" s="158">
        <v>43725</v>
      </c>
      <c r="B105" s="168">
        <v>154246</v>
      </c>
    </row>
    <row r="106" s="89" customFormat="1" customHeight="1" spans="1:2">
      <c r="A106" s="158">
        <v>43726</v>
      </c>
      <c r="B106" s="168">
        <v>153624</v>
      </c>
    </row>
    <row r="107" s="89" customFormat="1" customHeight="1" spans="1:2">
      <c r="A107" s="158">
        <v>43727</v>
      </c>
      <c r="B107" s="168">
        <v>152790</v>
      </c>
    </row>
    <row r="108" s="89" customFormat="1" customHeight="1" spans="1:2">
      <c r="A108" s="158">
        <v>43728</v>
      </c>
      <c r="B108" s="168">
        <v>151487</v>
      </c>
    </row>
    <row r="109" s="89" customFormat="1" customHeight="1" spans="1:2">
      <c r="A109" s="158">
        <v>43729</v>
      </c>
      <c r="B109" s="168">
        <v>148897</v>
      </c>
    </row>
    <row r="110" s="89" customFormat="1" customHeight="1" spans="1:2">
      <c r="A110" s="158">
        <v>43730</v>
      </c>
      <c r="B110" s="168">
        <v>148063</v>
      </c>
    </row>
    <row r="111" s="89" customFormat="1" customHeight="1" spans="1:2">
      <c r="A111" s="158">
        <v>43731</v>
      </c>
      <c r="B111" s="168">
        <v>146055</v>
      </c>
    </row>
    <row r="112" s="89" customFormat="1" customHeight="1" spans="1:2">
      <c r="A112" s="158">
        <v>43732</v>
      </c>
      <c r="B112" s="168">
        <v>144187</v>
      </c>
    </row>
    <row r="113" s="89" customFormat="1" customHeight="1" spans="1:2">
      <c r="A113" s="158">
        <v>43733</v>
      </c>
      <c r="B113" s="168">
        <v>143961</v>
      </c>
    </row>
    <row r="114" s="89" customFormat="1" customHeight="1" spans="1:2">
      <c r="A114" s="158">
        <v>43734</v>
      </c>
      <c r="B114" s="168">
        <v>141804</v>
      </c>
    </row>
    <row r="115" s="89" customFormat="1" customHeight="1" spans="1:2">
      <c r="A115" s="158">
        <v>43735</v>
      </c>
      <c r="B115" s="168">
        <v>140837</v>
      </c>
    </row>
    <row r="116" s="89" customFormat="1" customHeight="1" spans="1:2">
      <c r="A116" s="158">
        <v>43736</v>
      </c>
      <c r="B116" s="168">
        <v>138779</v>
      </c>
    </row>
    <row r="117" s="89" customFormat="1" customHeight="1" spans="1:2">
      <c r="A117" s="158">
        <v>43737</v>
      </c>
      <c r="B117" s="168">
        <v>133029</v>
      </c>
    </row>
    <row r="118" s="89" customFormat="1" customHeight="1" spans="1:2">
      <c r="A118" s="158">
        <v>43738</v>
      </c>
      <c r="B118" s="168">
        <v>133230</v>
      </c>
    </row>
    <row r="119" s="89" customFormat="1" customHeight="1" spans="1:2">
      <c r="A119" s="158">
        <v>43745</v>
      </c>
      <c r="B119" s="168">
        <v>119573</v>
      </c>
    </row>
    <row r="120" s="89" customFormat="1" customHeight="1" spans="1:2">
      <c r="A120" s="158">
        <v>43746</v>
      </c>
      <c r="B120" s="168">
        <v>117471</v>
      </c>
    </row>
    <row r="121" s="89" customFormat="1" customHeight="1" spans="1:2">
      <c r="A121" s="158">
        <v>43747</v>
      </c>
      <c r="B121" s="168">
        <v>115066</v>
      </c>
    </row>
    <row r="122" s="89" customFormat="1" customHeight="1" spans="1:2">
      <c r="A122" s="158">
        <v>43748</v>
      </c>
      <c r="B122" s="168">
        <v>103639</v>
      </c>
    </row>
    <row r="123" s="89" customFormat="1" customHeight="1" spans="1:2">
      <c r="A123" s="158">
        <v>43749</v>
      </c>
      <c r="B123" s="168">
        <v>98883</v>
      </c>
    </row>
    <row r="124" s="89" customFormat="1" customHeight="1" spans="1:2">
      <c r="A124" s="158">
        <v>43750</v>
      </c>
      <c r="B124" s="168">
        <v>100474</v>
      </c>
    </row>
    <row r="125" s="89" customFormat="1" customHeight="1" spans="1:2">
      <c r="A125" s="158">
        <v>43751</v>
      </c>
      <c r="B125" s="168">
        <v>100437</v>
      </c>
    </row>
    <row r="126" s="89" customFormat="1" customHeight="1" spans="1:2">
      <c r="A126" s="158">
        <v>43752</v>
      </c>
      <c r="B126" s="168">
        <v>101206</v>
      </c>
    </row>
    <row r="127" s="89" customFormat="1" customHeight="1" spans="1:2">
      <c r="A127" s="158">
        <v>43753</v>
      </c>
      <c r="B127" s="168">
        <v>100121</v>
      </c>
    </row>
    <row r="128" s="89" customFormat="1" customHeight="1" spans="1:2">
      <c r="A128" s="158">
        <v>43754</v>
      </c>
      <c r="B128" s="168">
        <v>99573</v>
      </c>
    </row>
    <row r="129" s="89" customFormat="1" customHeight="1" spans="1:2">
      <c r="A129" s="158">
        <v>43755</v>
      </c>
      <c r="B129" s="168">
        <v>99599</v>
      </c>
    </row>
    <row r="130" s="89" customFormat="1" customHeight="1" spans="1:2">
      <c r="A130" s="158">
        <v>43756</v>
      </c>
      <c r="B130" s="168">
        <v>98549</v>
      </c>
    </row>
    <row r="131" s="89" customFormat="1" customHeight="1" spans="1:2">
      <c r="A131" s="158">
        <v>43757</v>
      </c>
      <c r="B131" s="168">
        <v>98667</v>
      </c>
    </row>
    <row r="132" s="89" customFormat="1" customHeight="1" spans="1:2">
      <c r="A132" s="158">
        <v>43758</v>
      </c>
      <c r="B132" s="168">
        <v>99216</v>
      </c>
    </row>
    <row r="133" s="89" customFormat="1" customHeight="1" spans="1:2">
      <c r="A133" s="158">
        <v>43759</v>
      </c>
      <c r="B133" s="168">
        <v>98877</v>
      </c>
    </row>
    <row r="134" s="89" customFormat="1" customHeight="1" spans="1:2">
      <c r="A134" s="158">
        <v>43760</v>
      </c>
      <c r="B134" s="168">
        <v>98676</v>
      </c>
    </row>
    <row r="135" s="89" customFormat="1" customHeight="1" spans="1:2">
      <c r="A135" s="158">
        <v>43761</v>
      </c>
      <c r="B135" s="168">
        <v>99381</v>
      </c>
    </row>
    <row r="136" s="89" customFormat="1" customHeight="1" spans="1:2">
      <c r="A136" s="158">
        <v>43762</v>
      </c>
      <c r="B136" s="168">
        <v>99716</v>
      </c>
    </row>
    <row r="137" s="89" customFormat="1" customHeight="1" spans="1:2">
      <c r="A137" s="158">
        <v>43763</v>
      </c>
      <c r="B137" s="168">
        <v>98818</v>
      </c>
    </row>
    <row r="138" s="89" customFormat="1" customHeight="1" spans="1:2">
      <c r="A138" s="158">
        <v>43764</v>
      </c>
      <c r="B138" s="168">
        <v>102911</v>
      </c>
    </row>
    <row r="139" s="89" customFormat="1" customHeight="1" spans="1:2">
      <c r="A139" s="158">
        <v>43765</v>
      </c>
      <c r="B139" s="168">
        <v>101480</v>
      </c>
    </row>
    <row r="140" s="89" customFormat="1" customHeight="1" spans="1:2">
      <c r="A140" s="158">
        <v>43766</v>
      </c>
      <c r="B140" s="168">
        <v>101651</v>
      </c>
    </row>
    <row r="141" s="89" customFormat="1" customHeight="1" spans="1:2">
      <c r="A141" s="158">
        <v>43767</v>
      </c>
      <c r="B141" s="168">
        <v>103931</v>
      </c>
    </row>
    <row r="142" s="89" customFormat="1" customHeight="1" spans="1:2">
      <c r="A142" s="158">
        <v>43768</v>
      </c>
      <c r="B142" s="168">
        <v>101006</v>
      </c>
    </row>
    <row r="143" s="89" customFormat="1" customHeight="1" spans="1:2">
      <c r="A143" s="158">
        <v>43769</v>
      </c>
      <c r="B143" s="168">
        <v>102262</v>
      </c>
    </row>
    <row r="144" s="89" customFormat="1" customHeight="1" spans="1:2">
      <c r="A144" s="158">
        <v>43770</v>
      </c>
      <c r="B144" s="168">
        <v>101905</v>
      </c>
    </row>
    <row r="145" s="89" customFormat="1" customHeight="1" spans="1:2">
      <c r="A145" s="158">
        <v>43771</v>
      </c>
      <c r="B145" s="168">
        <v>101779</v>
      </c>
    </row>
    <row r="146" s="89" customFormat="1" customHeight="1" spans="1:2">
      <c r="A146" s="158">
        <v>43772</v>
      </c>
      <c r="B146" s="168">
        <v>96340</v>
      </c>
    </row>
    <row r="147" s="89" customFormat="1" customHeight="1" spans="1:2">
      <c r="A147" s="158">
        <v>43773</v>
      </c>
      <c r="B147" s="168">
        <v>93722</v>
      </c>
    </row>
    <row r="148" s="89" customFormat="1" customHeight="1" spans="1:2">
      <c r="A148" s="158">
        <v>43774</v>
      </c>
      <c r="B148" s="168">
        <v>96117</v>
      </c>
    </row>
    <row r="149" s="89" customFormat="1" customHeight="1" spans="1:2">
      <c r="A149" s="158">
        <v>43775</v>
      </c>
      <c r="B149" s="168">
        <v>100574</v>
      </c>
    </row>
    <row r="150" s="89" customFormat="1" customHeight="1" spans="1:2">
      <c r="A150" s="158">
        <v>43776</v>
      </c>
      <c r="B150" s="168">
        <v>102240</v>
      </c>
    </row>
    <row r="151" s="89" customFormat="1" customHeight="1" spans="1:2">
      <c r="A151" s="158">
        <v>43777</v>
      </c>
      <c r="B151" s="168">
        <v>123044</v>
      </c>
    </row>
    <row r="152" s="89" customFormat="1" customHeight="1" spans="1:2">
      <c r="A152" s="158">
        <v>43778</v>
      </c>
      <c r="B152" s="168">
        <v>136382</v>
      </c>
    </row>
    <row r="153" s="89" customFormat="1" customHeight="1" spans="1:2">
      <c r="A153" s="158">
        <v>43779</v>
      </c>
      <c r="B153" s="168">
        <v>98617</v>
      </c>
    </row>
    <row r="154" s="89" customFormat="1" customHeight="1" spans="1:2">
      <c r="A154" s="158">
        <v>43780</v>
      </c>
      <c r="B154" s="168">
        <v>145088</v>
      </c>
    </row>
    <row r="155" s="89" customFormat="1" customHeight="1" spans="1:2">
      <c r="A155" s="158">
        <v>43781</v>
      </c>
      <c r="B155" s="168">
        <v>101277</v>
      </c>
    </row>
    <row r="156" s="89" customFormat="1" customHeight="1" spans="1:2">
      <c r="A156" s="158">
        <v>43782</v>
      </c>
      <c r="B156" s="168">
        <v>102251</v>
      </c>
    </row>
    <row r="157" s="89" customFormat="1" customHeight="1" spans="1:2">
      <c r="A157" s="158">
        <v>43783</v>
      </c>
      <c r="B157" s="168">
        <v>104500</v>
      </c>
    </row>
    <row r="158" s="89" customFormat="1" customHeight="1" spans="1:2">
      <c r="A158" s="158">
        <v>43784</v>
      </c>
      <c r="B158" s="168">
        <v>117484</v>
      </c>
    </row>
    <row r="159" s="89" customFormat="1" customHeight="1" spans="1:2">
      <c r="A159" s="158">
        <v>43785</v>
      </c>
      <c r="B159" s="168">
        <v>124943</v>
      </c>
    </row>
    <row r="160" s="89" customFormat="1" customHeight="1" spans="1:2">
      <c r="A160" s="158">
        <v>43786</v>
      </c>
      <c r="B160" s="168">
        <v>123137</v>
      </c>
    </row>
    <row r="161" s="89" customFormat="1" customHeight="1" spans="1:2">
      <c r="A161" s="158">
        <v>43787</v>
      </c>
      <c r="B161" s="168">
        <v>124900</v>
      </c>
    </row>
    <row r="162" s="89" customFormat="1" customHeight="1" spans="1:2">
      <c r="A162" s="158">
        <v>43788</v>
      </c>
      <c r="B162" s="168">
        <v>128684</v>
      </c>
    </row>
    <row r="163" s="89" customFormat="1" customHeight="1" spans="1:2">
      <c r="A163" s="158">
        <v>43789</v>
      </c>
      <c r="B163" s="168">
        <v>127472</v>
      </c>
    </row>
    <row r="164" s="89" customFormat="1" customHeight="1" spans="1:2">
      <c r="A164" s="158">
        <v>43790</v>
      </c>
      <c r="B164" s="168">
        <v>125274</v>
      </c>
    </row>
    <row r="165" s="89" customFormat="1" customHeight="1" spans="1:2">
      <c r="A165" s="158">
        <v>43791</v>
      </c>
      <c r="B165" s="168">
        <v>134283</v>
      </c>
    </row>
    <row r="166" s="89" customFormat="1" customHeight="1" spans="1:2">
      <c r="A166" s="158">
        <v>43792</v>
      </c>
      <c r="B166" s="168">
        <v>138120</v>
      </c>
    </row>
    <row r="167" s="89" customFormat="1" customHeight="1" spans="1:2">
      <c r="A167" s="158">
        <v>43793</v>
      </c>
      <c r="B167" s="168">
        <v>143542</v>
      </c>
    </row>
    <row r="168" s="89" customFormat="1" customHeight="1" spans="1:2">
      <c r="A168" s="158">
        <v>43794</v>
      </c>
      <c r="B168" s="168">
        <v>145453</v>
      </c>
    </row>
    <row r="169" s="89" customFormat="1" customHeight="1" spans="1:2">
      <c r="A169" s="158">
        <v>43795</v>
      </c>
      <c r="B169" s="168">
        <v>146243</v>
      </c>
    </row>
    <row r="170" s="89" customFormat="1" customHeight="1" spans="1:2">
      <c r="A170" s="158">
        <v>43796</v>
      </c>
      <c r="B170" s="168">
        <v>146449</v>
      </c>
    </row>
    <row r="171" s="89" customFormat="1" customHeight="1" spans="1:2">
      <c r="A171" s="158">
        <v>43797</v>
      </c>
      <c r="B171" s="168">
        <v>152236</v>
      </c>
    </row>
    <row r="172" s="89" customFormat="1" customHeight="1" spans="1:2">
      <c r="A172" s="158">
        <v>43798</v>
      </c>
      <c r="B172" s="168">
        <v>154616</v>
      </c>
    </row>
    <row r="173" s="89" customFormat="1" customHeight="1" spans="1:2">
      <c r="A173" s="158">
        <v>43799</v>
      </c>
      <c r="B173" s="168">
        <v>157384</v>
      </c>
    </row>
    <row r="174" s="89" customFormat="1" customHeight="1" spans="1:2">
      <c r="A174" s="158">
        <v>43800</v>
      </c>
      <c r="B174" s="168">
        <v>160185</v>
      </c>
    </row>
    <row r="175" s="89" customFormat="1" customHeight="1" spans="1:2">
      <c r="A175" s="158">
        <v>43801</v>
      </c>
      <c r="B175" s="168">
        <v>162855</v>
      </c>
    </row>
    <row r="176" s="89" customFormat="1" customHeight="1" spans="1:2">
      <c r="A176" s="158">
        <v>43802</v>
      </c>
      <c r="B176" s="168">
        <v>165224</v>
      </c>
    </row>
    <row r="177" s="89" customFormat="1" customHeight="1" spans="1:2">
      <c r="A177" s="158">
        <v>43803</v>
      </c>
      <c r="B177" s="168">
        <v>167423</v>
      </c>
    </row>
    <row r="178" s="89" customFormat="1" customHeight="1" spans="1:2">
      <c r="A178" s="158">
        <v>43804</v>
      </c>
      <c r="B178" s="168">
        <v>169564</v>
      </c>
    </row>
    <row r="179" s="89" customFormat="1" customHeight="1" spans="1:2">
      <c r="A179" s="158">
        <v>43805</v>
      </c>
      <c r="B179" s="168">
        <v>177678</v>
      </c>
    </row>
    <row r="180" s="89" customFormat="1" customHeight="1" spans="1:2">
      <c r="A180" s="158">
        <v>43806</v>
      </c>
      <c r="B180" s="168">
        <v>188050</v>
      </c>
    </row>
    <row r="181" s="89" customFormat="1" customHeight="1" spans="1:2">
      <c r="A181" s="158">
        <v>43807</v>
      </c>
      <c r="B181" s="168">
        <v>183895</v>
      </c>
    </row>
    <row r="182" s="89" customFormat="1" customHeight="1" spans="1:2">
      <c r="A182" s="158">
        <v>43808</v>
      </c>
      <c r="B182" s="168">
        <v>183106</v>
      </c>
    </row>
    <row r="183" s="89" customFormat="1" customHeight="1" spans="1:2">
      <c r="A183" s="158">
        <v>43809</v>
      </c>
      <c r="B183" s="168">
        <v>183736</v>
      </c>
    </row>
    <row r="184" s="89" customFormat="1" customHeight="1" spans="1:2">
      <c r="A184" s="158">
        <v>43810</v>
      </c>
      <c r="B184" s="168">
        <v>187796</v>
      </c>
    </row>
    <row r="185" s="89" customFormat="1" customHeight="1" spans="1:2">
      <c r="A185" s="158">
        <v>43811</v>
      </c>
      <c r="B185" s="168">
        <v>191636</v>
      </c>
    </row>
    <row r="186" s="89" customFormat="1" customHeight="1" spans="1:2">
      <c r="A186" s="158">
        <v>43812</v>
      </c>
      <c r="B186" s="168">
        <v>199832</v>
      </c>
    </row>
    <row r="187" s="89" customFormat="1" customHeight="1" spans="1:2">
      <c r="A187" s="158">
        <v>43813</v>
      </c>
      <c r="B187" s="168">
        <v>205597</v>
      </c>
    </row>
    <row r="188" s="89" customFormat="1" customHeight="1" spans="1:2">
      <c r="A188" s="158">
        <v>43814</v>
      </c>
      <c r="B188" s="168">
        <v>209270</v>
      </c>
    </row>
    <row r="189" s="89" customFormat="1" customHeight="1" spans="1:2">
      <c r="A189" s="158">
        <v>43815</v>
      </c>
      <c r="B189" s="168">
        <v>208133</v>
      </c>
    </row>
    <row r="190" s="89" customFormat="1" customHeight="1" spans="1:2">
      <c r="A190" s="158">
        <v>43816</v>
      </c>
      <c r="B190" s="168">
        <v>212664</v>
      </c>
    </row>
    <row r="191" s="89" customFormat="1" customHeight="1" spans="1:2">
      <c r="A191" s="158">
        <v>43817</v>
      </c>
      <c r="B191" s="168">
        <v>215355</v>
      </c>
    </row>
    <row r="192" s="89" customFormat="1" customHeight="1" spans="1:2">
      <c r="A192" s="158">
        <v>43818</v>
      </c>
      <c r="B192" s="168">
        <v>218360</v>
      </c>
    </row>
    <row r="193" s="89" customFormat="1" customHeight="1" spans="1:2">
      <c r="A193" s="158">
        <v>43819</v>
      </c>
      <c r="B193" s="168">
        <v>221107</v>
      </c>
    </row>
    <row r="194" s="89" customFormat="1" customHeight="1" spans="1:2">
      <c r="A194" s="158">
        <v>43820</v>
      </c>
      <c r="B194" s="168">
        <v>224825</v>
      </c>
    </row>
    <row r="195" s="89" customFormat="1" customHeight="1" spans="1:2">
      <c r="A195" s="158">
        <v>43821</v>
      </c>
      <c r="B195" s="168">
        <v>226952</v>
      </c>
    </row>
    <row r="196" s="89" customFormat="1" customHeight="1" spans="1:2">
      <c r="A196" s="158">
        <v>43822</v>
      </c>
      <c r="B196" s="168">
        <v>228472</v>
      </c>
    </row>
    <row r="197" s="89" customFormat="1" customHeight="1" spans="1:2">
      <c r="A197" s="158">
        <v>43823</v>
      </c>
      <c r="B197" s="168">
        <v>229943</v>
      </c>
    </row>
    <row r="198" s="89" customFormat="1" customHeight="1" spans="1:2">
      <c r="A198" s="158">
        <v>43824</v>
      </c>
      <c r="B198" s="168">
        <v>231423</v>
      </c>
    </row>
    <row r="199" s="89" customFormat="1" customHeight="1" spans="1:2">
      <c r="A199" s="158">
        <v>43825</v>
      </c>
      <c r="B199" s="168">
        <v>232578</v>
      </c>
    </row>
    <row r="200" s="89" customFormat="1" customHeight="1" spans="1:2">
      <c r="A200" s="158">
        <v>43826</v>
      </c>
      <c r="B200" s="168">
        <v>234335</v>
      </c>
    </row>
    <row r="201" s="89" customFormat="1" customHeight="1" spans="1:2">
      <c r="A201" s="158">
        <v>43827</v>
      </c>
      <c r="B201" s="168">
        <v>235728</v>
      </c>
    </row>
    <row r="202" s="89" customFormat="1" customHeight="1" spans="1:2">
      <c r="A202" s="158">
        <v>43828</v>
      </c>
      <c r="B202" s="168">
        <v>230722</v>
      </c>
    </row>
    <row r="203" s="89" customFormat="1" customHeight="1" spans="1:2">
      <c r="A203" s="158">
        <v>43829</v>
      </c>
      <c r="B203" s="168">
        <v>239697</v>
      </c>
    </row>
    <row r="204" s="89" customFormat="1" customHeight="1" spans="1:2">
      <c r="A204" s="158">
        <v>43830</v>
      </c>
      <c r="B204" s="168">
        <v>245238</v>
      </c>
    </row>
    <row r="205" s="89" customFormat="1" customHeight="1" spans="1:2">
      <c r="A205" s="158">
        <v>43831</v>
      </c>
      <c r="B205" s="168">
        <v>245238</v>
      </c>
    </row>
    <row r="206" s="89" customFormat="1" customHeight="1" spans="1:2">
      <c r="A206" s="158">
        <v>43832</v>
      </c>
      <c r="B206" s="168">
        <v>228812</v>
      </c>
    </row>
    <row r="207" s="89" customFormat="1" customHeight="1" spans="1:2">
      <c r="A207" s="158">
        <v>43833</v>
      </c>
      <c r="B207" s="168">
        <v>229021</v>
      </c>
    </row>
    <row r="208" s="89" customFormat="1" customHeight="1" spans="1:2">
      <c r="A208" s="158">
        <v>43834</v>
      </c>
      <c r="B208" s="168">
        <v>231440</v>
      </c>
    </row>
    <row r="209" s="89" customFormat="1" customHeight="1" spans="1:2">
      <c r="A209" s="158">
        <v>43835</v>
      </c>
      <c r="B209" s="168">
        <v>233806</v>
      </c>
    </row>
    <row r="210" s="89" customFormat="1" customHeight="1" spans="1:2">
      <c r="A210" s="158">
        <v>43836</v>
      </c>
      <c r="B210" s="168">
        <v>233054</v>
      </c>
    </row>
    <row r="211" s="89" customFormat="1" customHeight="1" spans="1:2">
      <c r="A211" s="158">
        <v>43837</v>
      </c>
      <c r="B211" s="168">
        <v>235408</v>
      </c>
    </row>
    <row r="212" s="89" customFormat="1" customHeight="1" spans="1:2">
      <c r="A212" s="158">
        <v>43838</v>
      </c>
      <c r="B212" s="168">
        <v>232398</v>
      </c>
    </row>
    <row r="213" s="89" customFormat="1" customHeight="1" spans="1:2">
      <c r="A213" s="158">
        <v>43839</v>
      </c>
      <c r="B213" s="168">
        <v>234872</v>
      </c>
    </row>
    <row r="214" s="89" customFormat="1" customHeight="1" spans="1:2">
      <c r="A214" s="158">
        <v>43840</v>
      </c>
      <c r="B214" s="168">
        <v>238952</v>
      </c>
    </row>
    <row r="215" s="89" customFormat="1" customHeight="1" spans="1:2">
      <c r="A215" s="158">
        <v>43841</v>
      </c>
      <c r="B215" s="168">
        <v>238946</v>
      </c>
    </row>
    <row r="216" s="89" customFormat="1" customHeight="1" spans="1:2">
      <c r="A216" s="158">
        <v>43842</v>
      </c>
      <c r="B216" s="168">
        <v>249596</v>
      </c>
    </row>
    <row r="217" s="89" customFormat="1" customHeight="1" spans="1:2">
      <c r="A217" s="158">
        <v>43843</v>
      </c>
      <c r="B217" s="168">
        <v>263101</v>
      </c>
    </row>
    <row r="218" s="89" customFormat="1" customHeight="1" spans="1:2">
      <c r="A218" s="158">
        <v>43844</v>
      </c>
      <c r="B218" s="168">
        <v>253559</v>
      </c>
    </row>
    <row r="219" s="89" customFormat="1" customHeight="1" spans="1:2">
      <c r="A219" s="158">
        <v>43845</v>
      </c>
      <c r="B219" s="168">
        <v>238795</v>
      </c>
    </row>
    <row r="220" s="89" customFormat="1" customHeight="1" spans="1:2">
      <c r="A220" s="158">
        <v>43846</v>
      </c>
      <c r="B220" s="168">
        <v>238034</v>
      </c>
    </row>
    <row r="221" s="89" customFormat="1" customHeight="1" spans="1:2">
      <c r="A221" s="158">
        <v>43847</v>
      </c>
      <c r="B221" s="168">
        <v>259912</v>
      </c>
    </row>
    <row r="222" s="89" customFormat="1" customHeight="1" spans="1:2">
      <c r="A222" s="158">
        <v>43848</v>
      </c>
      <c r="B222" s="168">
        <v>262718</v>
      </c>
    </row>
    <row r="223" s="89" customFormat="1" customHeight="1" spans="1:2">
      <c r="A223" s="158">
        <v>43849</v>
      </c>
      <c r="B223" s="168">
        <v>251705</v>
      </c>
    </row>
    <row r="224" s="89" customFormat="1" customHeight="1" spans="1:2">
      <c r="A224" s="158">
        <v>43850</v>
      </c>
      <c r="B224" s="168">
        <v>242875</v>
      </c>
    </row>
    <row r="225" s="89" customFormat="1" customHeight="1" spans="1:2">
      <c r="A225" s="169">
        <v>43851</v>
      </c>
      <c r="B225" s="170">
        <v>237597</v>
      </c>
    </row>
    <row r="226" s="89" customFormat="1" customHeight="1" spans="1:2">
      <c r="A226" s="169">
        <v>43861</v>
      </c>
      <c r="B226" s="168">
        <v>27815</v>
      </c>
    </row>
    <row r="227" s="89" customFormat="1" customHeight="1" spans="1:2">
      <c r="A227" s="158">
        <v>43862</v>
      </c>
      <c r="B227" s="168">
        <v>26160</v>
      </c>
    </row>
    <row r="228" s="89" customFormat="1" customHeight="1" spans="1:2">
      <c r="A228" s="158">
        <v>43863</v>
      </c>
      <c r="B228" s="168">
        <v>24016</v>
      </c>
    </row>
    <row r="229" s="89" customFormat="1" customHeight="1" spans="1:2">
      <c r="A229" s="158">
        <v>43864</v>
      </c>
      <c r="B229" s="168">
        <v>29120</v>
      </c>
    </row>
    <row r="230" s="89" customFormat="1" customHeight="1" spans="1:2">
      <c r="A230" s="158">
        <v>43865</v>
      </c>
      <c r="B230" s="168">
        <v>34378</v>
      </c>
    </row>
    <row r="231" s="89" customFormat="1" customHeight="1" spans="1:2">
      <c r="A231" s="158">
        <v>43866</v>
      </c>
      <c r="B231" s="168">
        <v>35857</v>
      </c>
    </row>
    <row r="232" s="89" customFormat="1" customHeight="1" spans="1:2">
      <c r="A232" s="158">
        <v>43867</v>
      </c>
      <c r="B232" s="168">
        <v>36457</v>
      </c>
    </row>
    <row r="233" s="89" customFormat="1" customHeight="1" spans="1:2">
      <c r="A233" s="158">
        <v>43868</v>
      </c>
      <c r="B233" s="168">
        <v>40105</v>
      </c>
    </row>
    <row r="234" s="89" customFormat="1" customHeight="1" spans="1:2">
      <c r="A234" s="158">
        <v>43869</v>
      </c>
      <c r="B234" s="168">
        <v>38301</v>
      </c>
    </row>
    <row r="235" s="89" customFormat="1" customHeight="1" spans="1:2">
      <c r="A235" s="158">
        <v>43870</v>
      </c>
      <c r="B235" s="168">
        <v>39014</v>
      </c>
    </row>
    <row r="236" s="89" customFormat="1" customHeight="1" spans="1:2">
      <c r="A236" s="158">
        <v>43871</v>
      </c>
      <c r="B236" s="168">
        <v>38810</v>
      </c>
    </row>
    <row r="237" s="89" customFormat="1" customHeight="1" spans="1:2">
      <c r="A237" s="158">
        <v>43872</v>
      </c>
      <c r="B237" s="168">
        <v>37220</v>
      </c>
    </row>
    <row r="238" s="89" customFormat="1" customHeight="1" spans="1:2">
      <c r="A238" s="158">
        <v>43873</v>
      </c>
      <c r="B238" s="168">
        <v>36788</v>
      </c>
    </row>
    <row r="239" s="89" customFormat="1" customHeight="1" spans="1:2">
      <c r="A239" s="158">
        <v>43874</v>
      </c>
      <c r="B239" s="168">
        <v>31379</v>
      </c>
    </row>
    <row r="240" s="89" customFormat="1" customHeight="1" spans="1:2">
      <c r="A240" s="158">
        <v>43875</v>
      </c>
      <c r="B240" s="168">
        <v>39030</v>
      </c>
    </row>
    <row r="241" s="89" customFormat="1" customHeight="1" spans="1:2">
      <c r="A241" s="158">
        <v>43876</v>
      </c>
      <c r="B241" s="168">
        <v>43990</v>
      </c>
    </row>
    <row r="242" s="89" customFormat="1" customHeight="1" spans="1:2">
      <c r="A242" s="158">
        <v>43877</v>
      </c>
      <c r="B242" s="168">
        <v>44434</v>
      </c>
    </row>
    <row r="243" s="89" customFormat="1" customHeight="1" spans="1:2">
      <c r="A243" s="158">
        <v>43878</v>
      </c>
      <c r="B243" s="168">
        <v>46043</v>
      </c>
    </row>
    <row r="244" s="89" customFormat="1" customHeight="1" spans="1:2">
      <c r="A244" s="158">
        <v>43879</v>
      </c>
      <c r="B244" s="168">
        <v>46946</v>
      </c>
    </row>
    <row r="245" s="89" customFormat="1" customHeight="1" spans="1:2">
      <c r="A245" s="158">
        <v>43880</v>
      </c>
      <c r="B245" s="168">
        <v>45663</v>
      </c>
    </row>
    <row r="246" s="89" customFormat="1" customHeight="1" spans="1:2">
      <c r="A246" s="158">
        <v>43881</v>
      </c>
      <c r="B246" s="168">
        <v>46209</v>
      </c>
    </row>
    <row r="247" s="89" customFormat="1" customHeight="1" spans="1:2">
      <c r="A247" s="158">
        <v>43882</v>
      </c>
      <c r="B247" s="168">
        <v>50763</v>
      </c>
    </row>
    <row r="248" s="89" customFormat="1" customHeight="1" spans="1:2">
      <c r="A248" s="158">
        <v>43883</v>
      </c>
      <c r="B248" s="168">
        <v>53040</v>
      </c>
    </row>
    <row r="249" s="89" customFormat="1" customHeight="1" spans="1:2">
      <c r="A249" s="158">
        <v>43884</v>
      </c>
      <c r="B249" s="168">
        <v>51858</v>
      </c>
    </row>
    <row r="250" s="89" customFormat="1" customHeight="1" spans="1:2">
      <c r="A250" s="158">
        <v>43885</v>
      </c>
      <c r="B250" s="168">
        <v>54326</v>
      </c>
    </row>
    <row r="251" s="89" customFormat="1" customHeight="1" spans="1:2">
      <c r="A251" s="158">
        <v>43886</v>
      </c>
      <c r="B251" s="168">
        <v>53273</v>
      </c>
    </row>
    <row r="252" s="89" customFormat="1" customHeight="1" spans="1:2">
      <c r="A252" s="158">
        <v>43887</v>
      </c>
      <c r="B252" s="168">
        <v>56155</v>
      </c>
    </row>
    <row r="253" s="89" customFormat="1" customHeight="1" spans="1:2">
      <c r="A253" s="158">
        <v>43888</v>
      </c>
      <c r="B253" s="168">
        <v>53989</v>
      </c>
    </row>
    <row r="254" s="89" customFormat="1" customHeight="1" spans="1:2">
      <c r="A254" s="158">
        <v>43889</v>
      </c>
      <c r="B254" s="168">
        <v>54778</v>
      </c>
    </row>
    <row r="255" s="89" customFormat="1" customHeight="1" spans="1:2">
      <c r="A255" s="158">
        <v>43890</v>
      </c>
      <c r="B255" s="168">
        <v>54168</v>
      </c>
    </row>
    <row r="256" s="89" customFormat="1" customHeight="1" spans="1:2">
      <c r="A256" s="158">
        <v>43891</v>
      </c>
      <c r="B256" s="168">
        <v>54759</v>
      </c>
    </row>
    <row r="257" s="89" customFormat="1" customHeight="1" spans="1:2">
      <c r="A257" s="158">
        <v>43892</v>
      </c>
      <c r="B257" s="168">
        <v>56506</v>
      </c>
    </row>
    <row r="258" s="89" customFormat="1" customHeight="1" spans="1:2">
      <c r="A258" s="158">
        <v>43893</v>
      </c>
      <c r="B258" s="168">
        <v>57426</v>
      </c>
    </row>
    <row r="259" s="89" customFormat="1" customHeight="1" spans="1:2">
      <c r="A259" s="158">
        <v>43894</v>
      </c>
      <c r="B259" s="168">
        <v>58317</v>
      </c>
    </row>
    <row r="260" s="89" customFormat="1" customHeight="1" spans="1:2">
      <c r="A260" s="158">
        <v>43895</v>
      </c>
      <c r="B260" s="168">
        <v>59007</v>
      </c>
    </row>
    <row r="261" s="89" customFormat="1" customHeight="1" spans="1:2">
      <c r="A261" s="158">
        <v>43896</v>
      </c>
      <c r="B261" s="168">
        <v>58982</v>
      </c>
    </row>
    <row r="262" s="89" customFormat="1" customHeight="1" spans="1:2">
      <c r="A262" s="158">
        <v>43897</v>
      </c>
      <c r="B262" s="168">
        <v>59087</v>
      </c>
    </row>
    <row r="263" s="89" customFormat="1" customHeight="1" spans="1:2">
      <c r="A263" s="158">
        <v>43898</v>
      </c>
      <c r="B263" s="168">
        <v>59292</v>
      </c>
    </row>
    <row r="264" s="89" customFormat="1" customHeight="1" spans="1:2">
      <c r="A264" s="158">
        <v>43899</v>
      </c>
      <c r="B264" s="168">
        <v>60478</v>
      </c>
    </row>
    <row r="265" s="89" customFormat="1" customHeight="1" spans="1:2">
      <c r="A265" s="158">
        <v>43900</v>
      </c>
      <c r="B265" s="168">
        <v>61412</v>
      </c>
    </row>
    <row r="266" s="89" customFormat="1" customHeight="1" spans="1:2">
      <c r="A266" s="158">
        <v>43901</v>
      </c>
      <c r="B266" s="168">
        <v>61800</v>
      </c>
    </row>
    <row r="267" s="89" customFormat="1" customHeight="1" spans="1:2">
      <c r="A267" s="158">
        <v>43902</v>
      </c>
      <c r="B267" s="168">
        <v>61317</v>
      </c>
    </row>
    <row r="268" s="89" customFormat="1" customHeight="1" spans="1:2">
      <c r="A268" s="158">
        <v>43903</v>
      </c>
      <c r="B268" s="168">
        <v>62943</v>
      </c>
    </row>
    <row r="269" s="89" customFormat="1" customHeight="1" spans="1:2">
      <c r="A269" s="158">
        <v>43904</v>
      </c>
      <c r="B269" s="168">
        <v>62742</v>
      </c>
    </row>
    <row r="270" s="89" customFormat="1" customHeight="1" spans="1:2">
      <c r="A270" s="158">
        <v>43905</v>
      </c>
      <c r="B270" s="168">
        <v>64960</v>
      </c>
    </row>
    <row r="271" s="89" customFormat="1" customHeight="1" spans="1:2">
      <c r="A271" s="158">
        <v>43906</v>
      </c>
      <c r="B271" s="168">
        <v>68093</v>
      </c>
    </row>
    <row r="272" s="89" customFormat="1" customHeight="1" spans="1:2">
      <c r="A272" s="158">
        <v>43907</v>
      </c>
      <c r="B272" s="168">
        <v>68450</v>
      </c>
    </row>
    <row r="273" s="89" customFormat="1" customHeight="1" spans="1:2">
      <c r="A273" s="158">
        <v>43908</v>
      </c>
      <c r="B273" s="168">
        <v>71435</v>
      </c>
    </row>
    <row r="274" s="89" customFormat="1" customHeight="1" spans="1:2">
      <c r="A274" s="158">
        <v>43909</v>
      </c>
      <c r="B274" s="168">
        <v>70980</v>
      </c>
    </row>
    <row r="275" s="89" customFormat="1" customHeight="1" spans="1:2">
      <c r="A275" s="158">
        <v>43910</v>
      </c>
      <c r="B275" s="168">
        <v>70264</v>
      </c>
    </row>
    <row r="276" s="89" customFormat="1" customHeight="1" spans="1:2">
      <c r="A276" s="158">
        <v>43911</v>
      </c>
      <c r="B276" s="168">
        <v>72578</v>
      </c>
    </row>
    <row r="277" s="89" customFormat="1" customHeight="1" spans="1:2">
      <c r="A277" s="158">
        <v>43912</v>
      </c>
      <c r="B277" s="168">
        <v>71849</v>
      </c>
    </row>
    <row r="278" s="89" customFormat="1" customHeight="1" spans="1:2">
      <c r="A278" s="158">
        <v>43913</v>
      </c>
      <c r="B278" s="168">
        <v>72766</v>
      </c>
    </row>
    <row r="279" s="89" customFormat="1" customHeight="1" spans="1:2">
      <c r="A279" s="158">
        <v>43914</v>
      </c>
      <c r="B279" s="168">
        <v>71760</v>
      </c>
    </row>
    <row r="280" s="89" customFormat="1" customHeight="1" spans="1:2">
      <c r="A280" s="158">
        <v>43915</v>
      </c>
      <c r="B280" s="168">
        <v>69597</v>
      </c>
    </row>
    <row r="281" s="89" customFormat="1" customHeight="1" spans="1:2">
      <c r="A281" s="158">
        <v>43916</v>
      </c>
      <c r="B281" s="168">
        <v>69598</v>
      </c>
    </row>
    <row r="282" s="89" customFormat="1" customHeight="1" spans="1:2">
      <c r="A282" s="158">
        <v>43917</v>
      </c>
      <c r="B282" s="168">
        <v>72096</v>
      </c>
    </row>
    <row r="283" s="89" customFormat="1" customHeight="1" spans="1:2">
      <c r="A283" s="158">
        <v>43918</v>
      </c>
      <c r="B283" s="168">
        <v>71365</v>
      </c>
    </row>
    <row r="284" s="89" customFormat="1" customHeight="1" spans="1:2">
      <c r="A284" s="158">
        <v>43919</v>
      </c>
      <c r="B284" s="168">
        <v>70691</v>
      </c>
    </row>
    <row r="285" s="89" customFormat="1" customHeight="1" spans="1:2">
      <c r="A285" s="158">
        <v>43920</v>
      </c>
      <c r="B285" s="168">
        <v>71493</v>
      </c>
    </row>
    <row r="286" s="89" customFormat="1" customHeight="1" spans="1:2">
      <c r="A286" s="158">
        <v>43921</v>
      </c>
      <c r="B286" s="168">
        <v>72822</v>
      </c>
    </row>
    <row r="287" s="89" customFormat="1" customHeight="1" spans="1:2">
      <c r="A287" s="158">
        <v>43922</v>
      </c>
      <c r="B287" s="168">
        <v>74820</v>
      </c>
    </row>
    <row r="288" s="89" customFormat="1" customHeight="1" spans="1:2">
      <c r="A288" s="158">
        <v>43923</v>
      </c>
      <c r="B288" s="168">
        <v>74674</v>
      </c>
    </row>
    <row r="289" s="89" customFormat="1" customHeight="1" spans="1:2">
      <c r="A289" s="158">
        <v>43924</v>
      </c>
      <c r="B289" s="168">
        <v>74962</v>
      </c>
    </row>
    <row r="290" s="89" customFormat="1" customHeight="1" spans="1:2">
      <c r="A290" s="158">
        <v>43925</v>
      </c>
      <c r="B290" s="168">
        <v>75683</v>
      </c>
    </row>
    <row r="291" s="89" customFormat="1" customHeight="1" spans="1:2">
      <c r="A291" s="158">
        <v>43926</v>
      </c>
      <c r="B291" s="168">
        <v>74938</v>
      </c>
    </row>
    <row r="292" s="89" customFormat="1" customHeight="1" spans="1:2">
      <c r="A292" s="158">
        <v>43927</v>
      </c>
      <c r="B292" s="168">
        <v>74369</v>
      </c>
    </row>
    <row r="293" s="89" customFormat="1" customHeight="1" spans="1:2">
      <c r="A293" s="158">
        <v>43928</v>
      </c>
      <c r="B293" s="168">
        <v>74073</v>
      </c>
    </row>
    <row r="294" s="89" customFormat="1" customHeight="1" spans="1:2">
      <c r="A294" s="158">
        <v>43929</v>
      </c>
      <c r="B294" s="168">
        <v>75188</v>
      </c>
    </row>
    <row r="295" s="89" customFormat="1" customHeight="1" spans="1:2">
      <c r="A295" s="158">
        <v>43930</v>
      </c>
      <c r="B295" s="168">
        <v>74808</v>
      </c>
    </row>
    <row r="296" s="89" customFormat="1" customHeight="1" spans="1:2">
      <c r="A296" s="158">
        <v>43931</v>
      </c>
      <c r="B296" s="168">
        <v>75178</v>
      </c>
    </row>
    <row r="297" s="89" customFormat="1" customHeight="1" spans="1:2">
      <c r="A297" s="158">
        <v>43932</v>
      </c>
      <c r="B297" s="168">
        <v>75227</v>
      </c>
    </row>
    <row r="298" s="89" customFormat="1" customHeight="1" spans="1:2">
      <c r="A298" s="158">
        <v>43933</v>
      </c>
      <c r="B298" s="168">
        <v>75610</v>
      </c>
    </row>
    <row r="299" s="89" customFormat="1" customHeight="1" spans="1:2">
      <c r="A299" s="158">
        <v>43934</v>
      </c>
      <c r="B299" s="168">
        <v>75995</v>
      </c>
    </row>
    <row r="300" s="89" customFormat="1" customHeight="1" spans="1:2">
      <c r="A300" s="158">
        <v>43935</v>
      </c>
      <c r="B300" s="168">
        <v>75914</v>
      </c>
    </row>
    <row r="301" s="89" customFormat="1" customHeight="1" spans="1:2">
      <c r="A301" s="158">
        <v>43936</v>
      </c>
      <c r="B301" s="168">
        <v>75425</v>
      </c>
    </row>
    <row r="302" s="89" customFormat="1" customHeight="1" spans="1:2">
      <c r="A302" s="158">
        <v>43937</v>
      </c>
      <c r="B302" s="168">
        <v>75262</v>
      </c>
    </row>
    <row r="303" s="89" customFormat="1" customHeight="1" spans="1:2">
      <c r="A303" s="158">
        <v>43938</v>
      </c>
      <c r="B303" s="168">
        <v>75310</v>
      </c>
    </row>
    <row r="304" s="89" customFormat="1" customHeight="1" spans="1:2">
      <c r="A304" s="158">
        <v>43939</v>
      </c>
      <c r="B304" s="168">
        <v>75543</v>
      </c>
    </row>
    <row r="305" s="89" customFormat="1" customHeight="1" spans="1:2">
      <c r="A305" s="158">
        <v>43940</v>
      </c>
      <c r="B305" s="168">
        <v>74077</v>
      </c>
    </row>
    <row r="306" s="89" customFormat="1" customHeight="1" spans="1:2">
      <c r="A306" s="158">
        <v>43941</v>
      </c>
      <c r="B306" s="168">
        <v>74577</v>
      </c>
    </row>
    <row r="307" s="89" customFormat="1" customHeight="1" spans="1:2">
      <c r="A307" s="158">
        <v>43942</v>
      </c>
      <c r="B307" s="168">
        <v>75970</v>
      </c>
    </row>
    <row r="308" s="89" customFormat="1" customHeight="1" spans="1:2">
      <c r="A308" s="158">
        <v>43943</v>
      </c>
      <c r="B308" s="168">
        <v>76646</v>
      </c>
    </row>
    <row r="309" s="89" customFormat="1" customHeight="1" spans="1:2">
      <c r="A309" s="158">
        <v>43944</v>
      </c>
      <c r="B309" s="168">
        <v>75550</v>
      </c>
    </row>
    <row r="310" s="89" customFormat="1" customHeight="1" spans="1:2">
      <c r="A310" s="158">
        <v>43945</v>
      </c>
      <c r="B310" s="168">
        <v>75769</v>
      </c>
    </row>
    <row r="311" s="89" customFormat="1" customHeight="1" spans="1:2">
      <c r="A311" s="158">
        <v>43946</v>
      </c>
      <c r="B311" s="168">
        <v>73992</v>
      </c>
    </row>
    <row r="312" s="89" customFormat="1" customHeight="1" spans="1:2">
      <c r="A312" s="158">
        <v>43947</v>
      </c>
      <c r="B312" s="168">
        <v>74481</v>
      </c>
    </row>
    <row r="313" s="89" customFormat="1" customHeight="1" spans="1:2">
      <c r="A313" s="158">
        <v>43948</v>
      </c>
      <c r="B313" s="168">
        <v>74604</v>
      </c>
    </row>
    <row r="314" s="89" customFormat="1" customHeight="1" spans="1:2">
      <c r="A314" s="158">
        <v>43949</v>
      </c>
      <c r="B314" s="168">
        <v>74515</v>
      </c>
    </row>
    <row r="315" s="89" customFormat="1" customHeight="1" spans="1:2">
      <c r="A315" s="158">
        <v>43950</v>
      </c>
      <c r="B315" s="168">
        <v>75679</v>
      </c>
    </row>
    <row r="316" s="89" customFormat="1" customHeight="1" spans="1:2">
      <c r="A316" s="158">
        <v>43951</v>
      </c>
      <c r="B316" s="168">
        <v>73925</v>
      </c>
    </row>
    <row r="317" s="89" customFormat="1" customHeight="1" spans="1:2">
      <c r="A317" s="158">
        <v>43952</v>
      </c>
      <c r="B317" s="168">
        <v>83099</v>
      </c>
    </row>
    <row r="318" s="89" customFormat="1" customHeight="1" spans="1:2">
      <c r="A318" s="158">
        <v>43953</v>
      </c>
      <c r="B318" s="168">
        <v>83099</v>
      </c>
    </row>
    <row r="319" s="89" customFormat="1" customHeight="1" spans="1:2">
      <c r="A319" s="158">
        <v>43954</v>
      </c>
      <c r="B319" s="168">
        <v>83099</v>
      </c>
    </row>
    <row r="320" s="89" customFormat="1" customHeight="1" spans="1:2">
      <c r="A320" s="158">
        <v>43955</v>
      </c>
      <c r="B320" s="168">
        <v>76560</v>
      </c>
    </row>
    <row r="321" s="89" customFormat="1" customHeight="1" spans="1:2">
      <c r="A321" s="158">
        <v>43956</v>
      </c>
      <c r="B321" s="168">
        <v>70892</v>
      </c>
    </row>
    <row r="322" s="89" customFormat="1" customHeight="1" spans="1:2">
      <c r="A322" s="158">
        <v>43957</v>
      </c>
      <c r="B322" s="170">
        <v>69089</v>
      </c>
    </row>
    <row r="323" s="89" customFormat="1" customHeight="1" spans="1:2">
      <c r="A323" s="158">
        <v>43958</v>
      </c>
      <c r="B323" s="168">
        <v>68916</v>
      </c>
    </row>
    <row r="324" s="89" customFormat="1" customHeight="1" spans="1:2">
      <c r="A324" s="158">
        <v>43959</v>
      </c>
      <c r="B324" s="168">
        <v>71496</v>
      </c>
    </row>
    <row r="325" s="89" customFormat="1" customHeight="1" spans="1:2">
      <c r="A325" s="158">
        <v>43960</v>
      </c>
      <c r="B325" s="168">
        <v>75046</v>
      </c>
    </row>
    <row r="326" s="89" customFormat="1" customHeight="1" spans="1:2">
      <c r="A326" s="158">
        <v>43961</v>
      </c>
      <c r="B326" s="168">
        <v>77727</v>
      </c>
    </row>
    <row r="327" s="89" customFormat="1" customHeight="1" spans="1:2">
      <c r="A327" s="158">
        <v>43962</v>
      </c>
      <c r="B327" s="168">
        <v>80379</v>
      </c>
    </row>
    <row r="328" s="89" customFormat="1" customHeight="1" spans="1:2">
      <c r="A328" s="158">
        <v>43963</v>
      </c>
      <c r="B328" s="168">
        <v>81864</v>
      </c>
    </row>
    <row r="329" s="89" customFormat="1" customHeight="1" spans="1:2">
      <c r="A329" s="158">
        <v>43964</v>
      </c>
      <c r="B329" s="168">
        <v>80322</v>
      </c>
    </row>
    <row r="330" s="89" customFormat="1" customHeight="1" spans="1:2">
      <c r="A330" s="158">
        <v>43965</v>
      </c>
      <c r="B330" s="168">
        <v>81838</v>
      </c>
    </row>
    <row r="331" s="89" customFormat="1" customHeight="1" spans="1:2">
      <c r="A331" s="158">
        <v>43966</v>
      </c>
      <c r="B331" s="168">
        <v>84012</v>
      </c>
    </row>
    <row r="332" s="89" customFormat="1" customHeight="1" spans="1:2">
      <c r="A332" s="158">
        <v>43967</v>
      </c>
      <c r="B332" s="168">
        <v>86269</v>
      </c>
    </row>
    <row r="333" s="89" customFormat="1" customHeight="1" spans="1:2">
      <c r="A333" s="158">
        <v>43968</v>
      </c>
      <c r="B333" s="168">
        <v>86996</v>
      </c>
    </row>
    <row r="334" s="89" customFormat="1" customHeight="1" spans="1:2">
      <c r="A334" s="158">
        <v>43969</v>
      </c>
      <c r="B334" s="168">
        <v>88780</v>
      </c>
    </row>
    <row r="335" s="89" customFormat="1" customHeight="1" spans="1:2">
      <c r="A335" s="158">
        <v>43970</v>
      </c>
      <c r="B335" s="168">
        <v>89276</v>
      </c>
    </row>
    <row r="336" s="89" customFormat="1" customHeight="1" spans="1:2">
      <c r="A336" s="158">
        <v>43971</v>
      </c>
      <c r="B336" s="168">
        <v>89985</v>
      </c>
    </row>
    <row r="337" s="89" customFormat="1" customHeight="1" spans="1:2">
      <c r="A337" s="158">
        <v>43972</v>
      </c>
      <c r="B337" s="168">
        <v>90722</v>
      </c>
    </row>
    <row r="338" s="89" customFormat="1" customHeight="1" spans="1:2">
      <c r="A338" s="158">
        <v>43973</v>
      </c>
      <c r="B338" s="168">
        <v>90375</v>
      </c>
    </row>
    <row r="339" s="89" customFormat="1" customHeight="1" spans="1:2">
      <c r="A339" s="158">
        <v>43974</v>
      </c>
      <c r="B339" s="168">
        <v>87992</v>
      </c>
    </row>
    <row r="340" s="89" customFormat="1" customHeight="1" spans="1:2">
      <c r="A340" s="158">
        <v>43975</v>
      </c>
      <c r="B340" s="168">
        <v>88819</v>
      </c>
    </row>
    <row r="341" s="89" customFormat="1" customHeight="1" spans="1:2">
      <c r="A341" s="158">
        <v>43976</v>
      </c>
      <c r="B341" s="168">
        <v>87824</v>
      </c>
    </row>
    <row r="342" s="89" customFormat="1" customHeight="1" spans="1:2">
      <c r="A342" s="158">
        <v>43977</v>
      </c>
      <c r="B342" s="168">
        <v>85656</v>
      </c>
    </row>
    <row r="343" s="89" customFormat="1" customHeight="1" spans="1:2">
      <c r="A343" s="158">
        <v>43978</v>
      </c>
      <c r="B343" s="168">
        <v>84938</v>
      </c>
    </row>
    <row r="344" s="89" customFormat="1" customHeight="1" spans="1:2">
      <c r="A344" s="158">
        <v>43979</v>
      </c>
      <c r="B344" s="168">
        <v>83727</v>
      </c>
    </row>
    <row r="345" s="89" customFormat="1" customHeight="1" spans="1:2">
      <c r="A345" s="158">
        <v>43980</v>
      </c>
      <c r="B345" s="168">
        <v>87945</v>
      </c>
    </row>
    <row r="346" s="89" customFormat="1" customHeight="1" spans="1:2">
      <c r="A346" s="158">
        <v>43981</v>
      </c>
      <c r="B346" s="168">
        <v>90827</v>
      </c>
    </row>
    <row r="347" s="89" customFormat="1" customHeight="1" spans="1:2">
      <c r="A347" s="158">
        <v>43982</v>
      </c>
      <c r="B347" s="168">
        <v>91900</v>
      </c>
    </row>
    <row r="348" s="89" customFormat="1" customHeight="1" spans="1:2">
      <c r="A348" s="158">
        <v>43983</v>
      </c>
      <c r="B348" s="168">
        <v>92296</v>
      </c>
    </row>
    <row r="349" s="89" customFormat="1" customHeight="1" spans="1:2">
      <c r="A349" s="158">
        <v>43984</v>
      </c>
      <c r="B349" s="168">
        <v>88784</v>
      </c>
    </row>
    <row r="350" s="89" customFormat="1" customHeight="1" spans="1:2">
      <c r="A350" s="158">
        <v>43985</v>
      </c>
      <c r="B350" s="168">
        <v>87400</v>
      </c>
    </row>
    <row r="351" s="89" customFormat="1" customHeight="1" spans="1:2">
      <c r="A351" s="158">
        <v>43986</v>
      </c>
      <c r="B351" s="168">
        <v>87014</v>
      </c>
    </row>
    <row r="352" s="89" customFormat="1" customHeight="1" spans="1:2">
      <c r="A352" s="158">
        <v>43987</v>
      </c>
      <c r="B352" s="168">
        <v>89846</v>
      </c>
    </row>
    <row r="353" s="89" customFormat="1" customHeight="1" spans="1:2">
      <c r="A353" s="158">
        <v>43988</v>
      </c>
      <c r="B353" s="168">
        <v>87248</v>
      </c>
    </row>
    <row r="354" s="89" customFormat="1" customHeight="1" spans="1:2">
      <c r="A354" s="158">
        <v>43989</v>
      </c>
      <c r="B354" s="168">
        <v>85832</v>
      </c>
    </row>
    <row r="355" s="89" customFormat="1" customHeight="1" spans="1:2">
      <c r="A355" s="158">
        <v>43990</v>
      </c>
      <c r="B355" s="168">
        <v>86716</v>
      </c>
    </row>
    <row r="356" s="89" customFormat="1" customHeight="1" spans="1:2">
      <c r="A356" s="158">
        <v>43991</v>
      </c>
      <c r="B356" s="168">
        <v>87701</v>
      </c>
    </row>
    <row r="357" s="89" customFormat="1" customHeight="1" spans="1:2">
      <c r="A357" s="158">
        <v>43992</v>
      </c>
      <c r="B357" s="168">
        <v>87491</v>
      </c>
    </row>
    <row r="358" s="89" customFormat="1" customHeight="1" spans="1:2">
      <c r="A358" s="158">
        <v>43993</v>
      </c>
      <c r="B358" s="168">
        <v>86726</v>
      </c>
    </row>
    <row r="359" s="89" customFormat="1" customHeight="1" spans="1:2">
      <c r="A359" s="158">
        <v>43994</v>
      </c>
      <c r="B359" s="168">
        <v>86866</v>
      </c>
    </row>
    <row r="360" s="89" customFormat="1" customHeight="1" spans="1:2">
      <c r="A360" s="158">
        <v>43995</v>
      </c>
      <c r="B360" s="168">
        <v>88801</v>
      </c>
    </row>
    <row r="361" s="89" customFormat="1" customHeight="1" spans="1:2">
      <c r="A361" s="158">
        <v>43996</v>
      </c>
      <c r="B361" s="168">
        <v>91503</v>
      </c>
    </row>
    <row r="362" s="89" customFormat="1" customHeight="1" spans="1:2">
      <c r="A362" s="158">
        <v>43997</v>
      </c>
      <c r="B362" s="168">
        <v>90025</v>
      </c>
    </row>
    <row r="363" s="89" customFormat="1" customHeight="1" spans="1:2">
      <c r="A363" s="158">
        <v>43998</v>
      </c>
      <c r="B363" s="168">
        <v>89299</v>
      </c>
    </row>
    <row r="364" s="89" customFormat="1" customHeight="1" spans="1:2">
      <c r="A364" s="158">
        <v>43999</v>
      </c>
      <c r="B364" s="168">
        <v>90083</v>
      </c>
    </row>
    <row r="365" s="89" customFormat="1" customHeight="1" spans="1:2">
      <c r="A365" s="158">
        <v>44000</v>
      </c>
      <c r="B365" s="168">
        <v>90555</v>
      </c>
    </row>
    <row r="366" s="89" customFormat="1" customHeight="1" spans="1:2">
      <c r="A366" s="158">
        <v>44001</v>
      </c>
      <c r="B366" s="168">
        <v>89844</v>
      </c>
    </row>
    <row r="367" s="89" customFormat="1" customHeight="1" spans="1:2">
      <c r="A367" s="158">
        <v>44002</v>
      </c>
      <c r="B367" s="168">
        <v>90726</v>
      </c>
    </row>
    <row r="368" s="89" customFormat="1" customHeight="1" spans="1:2">
      <c r="A368" s="158">
        <v>44003</v>
      </c>
      <c r="B368" s="168">
        <v>92881</v>
      </c>
    </row>
    <row r="369" s="89" customFormat="1" customHeight="1" spans="1:2">
      <c r="A369" s="158">
        <v>44004</v>
      </c>
      <c r="B369" s="168">
        <v>94372</v>
      </c>
    </row>
    <row r="370" s="89" customFormat="1" customHeight="1" spans="1:2">
      <c r="A370" s="158">
        <v>44005</v>
      </c>
      <c r="B370" s="168">
        <v>95844</v>
      </c>
    </row>
    <row r="371" s="89" customFormat="1" customHeight="1" spans="1:2">
      <c r="A371" s="158">
        <v>44006</v>
      </c>
      <c r="B371" s="168">
        <v>95674</v>
      </c>
    </row>
    <row r="372" s="89" customFormat="1" customHeight="1" spans="1:2">
      <c r="A372" s="158">
        <v>44007</v>
      </c>
      <c r="B372" s="168">
        <v>91083</v>
      </c>
    </row>
    <row r="373" s="89" customFormat="1" customHeight="1" spans="1:2">
      <c r="A373" s="158">
        <v>44008</v>
      </c>
      <c r="B373" s="168">
        <v>80306</v>
      </c>
    </row>
    <row r="374" s="89" customFormat="1" customHeight="1" spans="1:2">
      <c r="A374" s="158">
        <v>44009</v>
      </c>
      <c r="B374" s="168">
        <v>74101</v>
      </c>
    </row>
    <row r="375" s="89" customFormat="1" customHeight="1" spans="1:2">
      <c r="A375" s="158">
        <v>44010</v>
      </c>
      <c r="B375" s="168">
        <v>73677</v>
      </c>
    </row>
    <row r="376" s="89" customFormat="1" customHeight="1" spans="1:2">
      <c r="A376" s="158">
        <v>44011</v>
      </c>
      <c r="B376" s="168">
        <v>74439</v>
      </c>
    </row>
    <row r="377" s="89" customFormat="1" customHeight="1" spans="1:2">
      <c r="A377" s="158">
        <v>44012</v>
      </c>
      <c r="B377" s="168">
        <v>72170</v>
      </c>
    </row>
    <row r="378" s="89" customFormat="1" customHeight="1" spans="1:2">
      <c r="A378" s="158">
        <v>44013</v>
      </c>
      <c r="B378" s="168">
        <v>72392</v>
      </c>
    </row>
    <row r="379" s="89" customFormat="1" customHeight="1" spans="1:2">
      <c r="A379" s="158">
        <v>44014</v>
      </c>
      <c r="B379" s="168">
        <v>70084</v>
      </c>
    </row>
    <row r="380" s="89" customFormat="1" customHeight="1" spans="1:2">
      <c r="A380" s="158">
        <v>44015</v>
      </c>
      <c r="B380" s="168">
        <v>69217</v>
      </c>
    </row>
    <row r="381" s="89" customFormat="1" customHeight="1" spans="1:2">
      <c r="A381" s="158">
        <v>44016</v>
      </c>
      <c r="B381" s="168">
        <v>71368</v>
      </c>
    </row>
    <row r="382" s="89" customFormat="1" customHeight="1" spans="1:2">
      <c r="A382" s="158">
        <v>44017</v>
      </c>
      <c r="B382" s="168">
        <v>68232</v>
      </c>
    </row>
    <row r="383" s="89" customFormat="1" customHeight="1" spans="1:2">
      <c r="A383" s="158">
        <v>44018</v>
      </c>
      <c r="B383" s="168">
        <v>64458</v>
      </c>
    </row>
    <row r="384" s="89" customFormat="1" customHeight="1" spans="1:2">
      <c r="A384" s="158">
        <v>44019</v>
      </c>
      <c r="B384" s="168">
        <v>66097</v>
      </c>
    </row>
    <row r="385" s="89" customFormat="1" customHeight="1" spans="1:2">
      <c r="A385" s="158">
        <v>44020</v>
      </c>
      <c r="B385" s="168">
        <v>65011</v>
      </c>
    </row>
    <row r="386" s="89" customFormat="1" customHeight="1" spans="1:2">
      <c r="A386" s="158">
        <v>44021</v>
      </c>
      <c r="B386" s="168">
        <v>65201</v>
      </c>
    </row>
    <row r="387" s="89" customFormat="1" customHeight="1" spans="1:2">
      <c r="A387" s="158">
        <v>44022</v>
      </c>
      <c r="B387" s="168">
        <v>68139</v>
      </c>
    </row>
    <row r="388" s="89" customFormat="1" customHeight="1" spans="1:2">
      <c r="A388" s="158">
        <v>44023</v>
      </c>
      <c r="B388" s="168">
        <v>68543</v>
      </c>
    </row>
    <row r="389" s="89" customFormat="1" customHeight="1" spans="1:2">
      <c r="A389" s="158">
        <v>44024</v>
      </c>
      <c r="B389" s="168">
        <v>67959</v>
      </c>
    </row>
    <row r="390" s="89" customFormat="1" customHeight="1" spans="1:2">
      <c r="A390" s="158">
        <v>44025</v>
      </c>
      <c r="B390" s="168">
        <v>66739</v>
      </c>
    </row>
    <row r="391" s="89" customFormat="1" customHeight="1" spans="1:2">
      <c r="A391" s="158">
        <v>44026</v>
      </c>
      <c r="B391" s="168">
        <v>68323</v>
      </c>
    </row>
    <row r="392" s="89" customFormat="1" customHeight="1" spans="1:2">
      <c r="A392" s="158">
        <v>44027</v>
      </c>
      <c r="B392" s="168">
        <v>68501</v>
      </c>
    </row>
    <row r="393" s="89" customFormat="1" customHeight="1" spans="1:2">
      <c r="A393" s="158">
        <v>44028</v>
      </c>
      <c r="B393" s="168">
        <v>69618</v>
      </c>
    </row>
    <row r="394" s="89" customFormat="1" customHeight="1" spans="1:2">
      <c r="A394" s="158">
        <v>44029</v>
      </c>
      <c r="B394" s="168">
        <v>68729</v>
      </c>
    </row>
    <row r="395" s="89" customFormat="1" customHeight="1" spans="1:2">
      <c r="A395" s="158">
        <v>44030</v>
      </c>
      <c r="B395" s="168">
        <v>67044</v>
      </c>
    </row>
    <row r="396" s="89" customFormat="1" customHeight="1" spans="1:2">
      <c r="A396" s="158">
        <v>44031</v>
      </c>
      <c r="B396" s="168">
        <v>68062</v>
      </c>
    </row>
    <row r="397" s="89" customFormat="1" customHeight="1" spans="1:2">
      <c r="A397" s="158">
        <v>44032</v>
      </c>
      <c r="B397" s="168">
        <v>68954</v>
      </c>
    </row>
    <row r="398" s="89" customFormat="1" customHeight="1" spans="1:2">
      <c r="A398" s="158">
        <v>44033</v>
      </c>
      <c r="B398" s="168">
        <v>68388</v>
      </c>
    </row>
    <row r="399" s="89" customFormat="1" customHeight="1" spans="1:2">
      <c r="A399" s="158">
        <v>44034</v>
      </c>
      <c r="B399" s="168">
        <v>67425</v>
      </c>
    </row>
    <row r="400" s="89" customFormat="1" customHeight="1" spans="1:2">
      <c r="A400" s="158">
        <v>44035</v>
      </c>
      <c r="B400" s="168">
        <v>68303</v>
      </c>
    </row>
    <row r="401" s="89" customFormat="1" customHeight="1" spans="1:2">
      <c r="A401" s="158">
        <v>44036</v>
      </c>
      <c r="B401" s="168">
        <v>67722</v>
      </c>
    </row>
    <row r="402" s="89" customFormat="1" customHeight="1" spans="1:2">
      <c r="A402" s="158">
        <v>44037</v>
      </c>
      <c r="B402" s="168">
        <v>70955</v>
      </c>
    </row>
    <row r="403" s="89" customFormat="1" customHeight="1" spans="1:2">
      <c r="A403" s="158">
        <v>44038</v>
      </c>
      <c r="B403" s="168">
        <v>68845</v>
      </c>
    </row>
    <row r="404" s="89" customFormat="1" customHeight="1" spans="1:2">
      <c r="A404" s="158">
        <v>44039</v>
      </c>
      <c r="B404" s="168">
        <v>69549</v>
      </c>
    </row>
    <row r="405" s="89" customFormat="1" customHeight="1" spans="1:2">
      <c r="A405" s="158">
        <v>44040</v>
      </c>
      <c r="B405" s="168">
        <v>69039</v>
      </c>
    </row>
    <row r="406" s="89" customFormat="1" customHeight="1" spans="1:2">
      <c r="A406" s="158">
        <v>44041</v>
      </c>
      <c r="B406" s="168">
        <v>68752</v>
      </c>
    </row>
    <row r="407" s="89" customFormat="1" customHeight="1" spans="1:2">
      <c r="A407" s="158">
        <v>44042</v>
      </c>
      <c r="B407" s="168">
        <v>69543</v>
      </c>
    </row>
    <row r="408" s="89" customFormat="1" customHeight="1" spans="1:2">
      <c r="A408" s="158">
        <v>44043</v>
      </c>
      <c r="B408" s="168">
        <v>69871</v>
      </c>
    </row>
    <row r="409" s="89" customFormat="1" customHeight="1" spans="1:2">
      <c r="A409" s="158">
        <v>44044</v>
      </c>
      <c r="B409" s="168">
        <v>71423</v>
      </c>
    </row>
    <row r="410" s="89" customFormat="1" customHeight="1" spans="1:2">
      <c r="A410" s="158">
        <v>44045</v>
      </c>
      <c r="B410" s="168">
        <v>69699</v>
      </c>
    </row>
    <row r="411" s="89" customFormat="1" customHeight="1" spans="1:2">
      <c r="A411" s="158">
        <v>44046</v>
      </c>
      <c r="B411" s="168">
        <v>72359</v>
      </c>
    </row>
    <row r="412" s="89" customFormat="1" customHeight="1" spans="1:2">
      <c r="A412" s="158">
        <v>44047</v>
      </c>
      <c r="B412" s="168">
        <v>70823</v>
      </c>
    </row>
    <row r="413" s="89" customFormat="1" customHeight="1" spans="1:2">
      <c r="A413" s="158">
        <v>44048</v>
      </c>
      <c r="B413" s="168">
        <v>71700</v>
      </c>
    </row>
    <row r="414" s="89" customFormat="1" customHeight="1" spans="1:2">
      <c r="A414" s="158">
        <v>44049</v>
      </c>
      <c r="B414" s="168">
        <v>70994</v>
      </c>
    </row>
    <row r="415" s="89" customFormat="1" customHeight="1" spans="1:2">
      <c r="A415" s="158">
        <v>44050</v>
      </c>
      <c r="B415" s="168">
        <v>71426</v>
      </c>
    </row>
    <row r="416" s="89" customFormat="1" customHeight="1" spans="1:2">
      <c r="A416" s="158">
        <v>44051</v>
      </c>
      <c r="B416" s="168">
        <v>69926</v>
      </c>
    </row>
    <row r="417" s="89" customFormat="1" customHeight="1" spans="1:2">
      <c r="A417" s="158">
        <v>44052</v>
      </c>
      <c r="B417" s="168">
        <v>71493</v>
      </c>
    </row>
    <row r="418" s="89" customFormat="1" customHeight="1" spans="1:2">
      <c r="A418" s="158">
        <v>44053</v>
      </c>
      <c r="B418" s="168">
        <v>69426</v>
      </c>
    </row>
    <row r="419" s="89" customFormat="1" customHeight="1" spans="1:2">
      <c r="A419" s="158">
        <v>44054</v>
      </c>
      <c r="B419" s="168">
        <v>71821</v>
      </c>
    </row>
    <row r="420" s="89" customFormat="1" customHeight="1" spans="1:2">
      <c r="A420" s="158">
        <v>44055</v>
      </c>
      <c r="B420" s="168">
        <v>70215</v>
      </c>
    </row>
    <row r="421" s="89" customFormat="1" customHeight="1" spans="1:2">
      <c r="A421" s="158">
        <v>44056</v>
      </c>
      <c r="B421" s="168">
        <v>70643</v>
      </c>
    </row>
    <row r="422" s="89" customFormat="1" customHeight="1" spans="1:2">
      <c r="A422" s="158">
        <v>44057</v>
      </c>
      <c r="B422" s="168">
        <v>69917</v>
      </c>
    </row>
    <row r="423" s="89" customFormat="1" customHeight="1" spans="1:2">
      <c r="A423" s="158">
        <v>44058</v>
      </c>
      <c r="B423" s="168">
        <v>71949</v>
      </c>
    </row>
    <row r="424" s="89" customFormat="1" customHeight="1" spans="1:2">
      <c r="A424" s="158">
        <v>44059</v>
      </c>
      <c r="B424" s="168">
        <v>70216</v>
      </c>
    </row>
    <row r="425" s="89" customFormat="1" customHeight="1" spans="1:2">
      <c r="A425" s="158">
        <v>44060</v>
      </c>
      <c r="B425" s="168">
        <v>73058</v>
      </c>
    </row>
    <row r="426" s="89" customFormat="1" customHeight="1" spans="1:2">
      <c r="A426" s="158">
        <v>44061</v>
      </c>
      <c r="B426" s="168">
        <v>70390</v>
      </c>
    </row>
    <row r="427" s="89" customFormat="1" customHeight="1" spans="1:2">
      <c r="A427" s="158">
        <v>44062</v>
      </c>
      <c r="B427" s="168">
        <v>70946</v>
      </c>
    </row>
    <row r="428" s="89" customFormat="1" customHeight="1" spans="1:2">
      <c r="A428" s="158">
        <v>44063</v>
      </c>
      <c r="B428" s="168">
        <v>70478</v>
      </c>
    </row>
    <row r="429" s="89" customFormat="1" customHeight="1" spans="1:2">
      <c r="A429" s="158">
        <v>44064</v>
      </c>
      <c r="B429" s="168">
        <v>70663</v>
      </c>
    </row>
    <row r="430" s="89" customFormat="1" customHeight="1" spans="1:2">
      <c r="A430" s="158">
        <v>44065</v>
      </c>
      <c r="B430" s="168">
        <v>74906</v>
      </c>
    </row>
    <row r="431" s="89" customFormat="1" customHeight="1" spans="1:2">
      <c r="A431" s="158">
        <v>44066</v>
      </c>
      <c r="B431" s="168">
        <v>70719</v>
      </c>
    </row>
    <row r="432" s="89" customFormat="1" customHeight="1" spans="1:2">
      <c r="A432" s="158">
        <v>44067</v>
      </c>
      <c r="B432" s="168">
        <v>71187</v>
      </c>
    </row>
    <row r="433" s="89" customFormat="1" customHeight="1" spans="1:2">
      <c r="A433" s="158">
        <v>44068</v>
      </c>
      <c r="B433" s="168">
        <v>70684</v>
      </c>
    </row>
    <row r="434" s="89" customFormat="1" customHeight="1" spans="1:2">
      <c r="A434" s="158">
        <v>44069</v>
      </c>
      <c r="B434" s="168">
        <v>70688</v>
      </c>
    </row>
    <row r="435" s="89" customFormat="1" customHeight="1" spans="1:2">
      <c r="A435" s="158">
        <v>44070</v>
      </c>
      <c r="B435" s="168">
        <v>70793</v>
      </c>
    </row>
    <row r="436" s="89" customFormat="1" customHeight="1" spans="1:2">
      <c r="A436" s="158">
        <v>44071</v>
      </c>
      <c r="B436" s="168">
        <v>70539</v>
      </c>
    </row>
    <row r="437" s="89" customFormat="1" customHeight="1" spans="1:2">
      <c r="A437" s="158">
        <v>44072</v>
      </c>
      <c r="B437" s="168">
        <v>71597</v>
      </c>
    </row>
    <row r="438" s="89" customFormat="1" customHeight="1" spans="1:2">
      <c r="A438" s="158">
        <v>44073</v>
      </c>
      <c r="B438" s="168">
        <v>72362</v>
      </c>
    </row>
    <row r="439" s="89" customFormat="1" customHeight="1" spans="1:2">
      <c r="A439" s="158">
        <v>44074</v>
      </c>
      <c r="B439" s="168">
        <v>78052</v>
      </c>
    </row>
    <row r="440" s="89" customFormat="1" customHeight="1" spans="1:2">
      <c r="A440" s="158">
        <v>44075</v>
      </c>
      <c r="B440" s="168">
        <v>76633</v>
      </c>
    </row>
    <row r="441" s="89" customFormat="1" customHeight="1" spans="1:2">
      <c r="A441" s="158">
        <v>44076</v>
      </c>
      <c r="B441" s="168">
        <v>76954</v>
      </c>
    </row>
    <row r="442" s="89" customFormat="1" customHeight="1" spans="1:2">
      <c r="A442" s="158">
        <v>44077</v>
      </c>
      <c r="B442" s="168">
        <v>76679</v>
      </c>
    </row>
    <row r="443" s="89" customFormat="1" customHeight="1" spans="1:2">
      <c r="A443" s="158">
        <v>44078</v>
      </c>
      <c r="B443" s="168">
        <v>77474</v>
      </c>
    </row>
    <row r="444" s="89" customFormat="1" customHeight="1" spans="1:2">
      <c r="A444" s="158">
        <v>44079</v>
      </c>
      <c r="B444" s="168">
        <v>77356</v>
      </c>
    </row>
    <row r="445" s="89" customFormat="1" customHeight="1" spans="1:2">
      <c r="A445" s="158">
        <v>44080</v>
      </c>
      <c r="B445" s="168">
        <v>80632</v>
      </c>
    </row>
    <row r="446" s="89" customFormat="1" customHeight="1" spans="1:2">
      <c r="A446" s="158">
        <v>44081</v>
      </c>
      <c r="B446" s="168">
        <v>80148</v>
      </c>
    </row>
    <row r="447" s="89" customFormat="1" customHeight="1" spans="1:2">
      <c r="A447" s="158">
        <v>44082</v>
      </c>
      <c r="B447" s="168">
        <v>75254</v>
      </c>
    </row>
    <row r="448" s="89" customFormat="1" customHeight="1" spans="1:2">
      <c r="A448" s="158">
        <v>44083</v>
      </c>
      <c r="B448" s="168">
        <v>76804</v>
      </c>
    </row>
    <row r="449" s="89" customFormat="1" customHeight="1" spans="1:2">
      <c r="A449" s="158">
        <v>44084</v>
      </c>
      <c r="B449" s="168">
        <v>76791</v>
      </c>
    </row>
    <row r="450" s="89" customFormat="1" customHeight="1" spans="1:2">
      <c r="A450" s="158">
        <v>44085</v>
      </c>
      <c r="B450" s="168">
        <v>77743</v>
      </c>
    </row>
    <row r="451" s="89" customFormat="1" customHeight="1" spans="1:2">
      <c r="A451" s="158">
        <v>44086</v>
      </c>
      <c r="B451" s="168">
        <v>76501</v>
      </c>
    </row>
    <row r="452" s="89" customFormat="1" customHeight="1" spans="1:2">
      <c r="A452" s="158">
        <v>44087</v>
      </c>
      <c r="B452" s="168">
        <v>79204</v>
      </c>
    </row>
    <row r="453" s="89" customFormat="1" customHeight="1" spans="1:2">
      <c r="A453" s="158">
        <v>44088</v>
      </c>
      <c r="B453" s="168">
        <v>80108</v>
      </c>
    </row>
    <row r="454" s="89" customFormat="1" customHeight="1" spans="1:2">
      <c r="A454" s="158">
        <v>44089</v>
      </c>
      <c r="B454" s="168">
        <v>77735</v>
      </c>
    </row>
    <row r="455" s="89" customFormat="1" customHeight="1" spans="1:2">
      <c r="A455" s="158">
        <v>44090</v>
      </c>
      <c r="B455" s="168">
        <v>78280</v>
      </c>
    </row>
    <row r="456" s="89" customFormat="1" customHeight="1" spans="1:2">
      <c r="A456" s="158">
        <v>44091</v>
      </c>
      <c r="B456" s="168">
        <v>79149</v>
      </c>
    </row>
    <row r="457" s="89" customFormat="1" customHeight="1" spans="1:2">
      <c r="A457" s="158">
        <v>44092</v>
      </c>
      <c r="B457" s="168">
        <v>82526</v>
      </c>
    </row>
    <row r="458" s="89" customFormat="1" customHeight="1" spans="1:2">
      <c r="A458" s="158">
        <v>44093</v>
      </c>
      <c r="B458" s="168">
        <v>86671</v>
      </c>
    </row>
    <row r="459" s="89" customFormat="1" customHeight="1" spans="1:2">
      <c r="A459" s="158">
        <v>44094</v>
      </c>
      <c r="B459" s="168">
        <v>85566</v>
      </c>
    </row>
    <row r="460" s="89" customFormat="1" customHeight="1" spans="1:2">
      <c r="A460" s="158">
        <v>44095</v>
      </c>
      <c r="B460" s="168">
        <v>88552</v>
      </c>
    </row>
    <row r="461" s="89" customFormat="1" customHeight="1" spans="1:2">
      <c r="A461" s="158">
        <v>44096</v>
      </c>
      <c r="B461" s="168">
        <v>91575</v>
      </c>
    </row>
    <row r="462" s="89" customFormat="1" customHeight="1" spans="1:2">
      <c r="A462" s="158">
        <v>44097</v>
      </c>
      <c r="B462" s="168">
        <v>90672</v>
      </c>
    </row>
    <row r="463" s="89" customFormat="1" customHeight="1" spans="1:2">
      <c r="A463" s="158">
        <v>44098</v>
      </c>
      <c r="B463" s="168">
        <v>103701</v>
      </c>
    </row>
    <row r="464" s="89" customFormat="1" customHeight="1" spans="1:2">
      <c r="A464" s="158">
        <v>44099</v>
      </c>
      <c r="B464" s="168">
        <v>110774</v>
      </c>
    </row>
    <row r="465" s="89" customFormat="1" customHeight="1" spans="1:2">
      <c r="A465" s="158">
        <v>44100</v>
      </c>
      <c r="B465" s="168">
        <v>123524</v>
      </c>
    </row>
    <row r="466" s="89" customFormat="1" customHeight="1" spans="1:2">
      <c r="A466" s="158">
        <v>44101</v>
      </c>
      <c r="B466" s="168">
        <v>124920</v>
      </c>
    </row>
    <row r="467" s="89" customFormat="1" customHeight="1" spans="1:2">
      <c r="A467" s="158">
        <v>44102</v>
      </c>
      <c r="B467" s="168">
        <v>125402</v>
      </c>
    </row>
    <row r="468" s="89" customFormat="1" customHeight="1" spans="1:2">
      <c r="A468" s="158">
        <v>44103</v>
      </c>
      <c r="B468" s="168">
        <v>117131</v>
      </c>
    </row>
    <row r="469" s="89" customFormat="1" customHeight="1" spans="1:2">
      <c r="A469" s="158">
        <v>44104</v>
      </c>
      <c r="B469" s="168">
        <v>110298</v>
      </c>
    </row>
    <row r="470" s="89" customFormat="1" customHeight="1" spans="1:2">
      <c r="A470" s="158">
        <v>44105</v>
      </c>
      <c r="B470" s="168">
        <v>105851</v>
      </c>
    </row>
    <row r="471" s="89" customFormat="1" customHeight="1" spans="1:2">
      <c r="A471" s="158">
        <v>44106</v>
      </c>
      <c r="B471" s="168">
        <v>104834</v>
      </c>
    </row>
    <row r="472" s="89" customFormat="1" customHeight="1" spans="1:2">
      <c r="A472" s="158">
        <v>44107</v>
      </c>
      <c r="B472" s="168">
        <v>93763</v>
      </c>
    </row>
    <row r="473" s="89" customFormat="1" customHeight="1" spans="1:2">
      <c r="A473" s="158">
        <v>44108</v>
      </c>
      <c r="B473" s="168">
        <v>88952</v>
      </c>
    </row>
    <row r="474" s="89" customFormat="1" customHeight="1" spans="1:2">
      <c r="A474" s="158">
        <v>44109</v>
      </c>
      <c r="B474" s="168">
        <v>87123</v>
      </c>
    </row>
    <row r="475" s="89" customFormat="1" customHeight="1" spans="1:2">
      <c r="A475" s="158">
        <v>44110</v>
      </c>
      <c r="B475" s="168">
        <v>84279</v>
      </c>
    </row>
    <row r="476" s="89" customFormat="1" customHeight="1" spans="1:2">
      <c r="A476" s="158">
        <v>44111</v>
      </c>
      <c r="B476" s="168">
        <v>87241</v>
      </c>
    </row>
    <row r="477" s="89" customFormat="1" customHeight="1" spans="1:2">
      <c r="A477" s="158">
        <v>44112</v>
      </c>
      <c r="B477" s="168">
        <v>85446</v>
      </c>
    </row>
    <row r="478" s="89" customFormat="1" customHeight="1" spans="1:2">
      <c r="A478" s="158">
        <v>44113</v>
      </c>
      <c r="B478" s="168">
        <v>83800</v>
      </c>
    </row>
    <row r="479" s="89" customFormat="1" customHeight="1" spans="1:2">
      <c r="A479" s="158">
        <v>44114</v>
      </c>
      <c r="B479" s="168">
        <v>86631</v>
      </c>
    </row>
    <row r="480" s="89" customFormat="1" customHeight="1" spans="1:2">
      <c r="A480" s="158">
        <v>44115</v>
      </c>
      <c r="B480" s="168">
        <v>87007</v>
      </c>
    </row>
    <row r="481" s="89" customFormat="1" customHeight="1" spans="1:2">
      <c r="A481" s="158">
        <v>44116</v>
      </c>
      <c r="B481" s="168">
        <v>87408</v>
      </c>
    </row>
    <row r="482" s="89" customFormat="1" customHeight="1" spans="1:2">
      <c r="A482" s="158">
        <v>44117</v>
      </c>
      <c r="B482" s="168">
        <v>87372</v>
      </c>
    </row>
    <row r="483" s="89" customFormat="1" customHeight="1" spans="1:2">
      <c r="A483" s="158">
        <v>44118</v>
      </c>
      <c r="B483" s="168">
        <v>87105</v>
      </c>
    </row>
    <row r="484" s="89" customFormat="1" customHeight="1" spans="1:2">
      <c r="A484" s="158">
        <v>44119</v>
      </c>
      <c r="B484" s="168">
        <v>88113</v>
      </c>
    </row>
    <row r="485" s="89" customFormat="1" customHeight="1" spans="1:2">
      <c r="A485" s="158">
        <v>44120</v>
      </c>
      <c r="B485" s="168">
        <v>89419</v>
      </c>
    </row>
    <row r="486" s="89" customFormat="1" customHeight="1" spans="1:2">
      <c r="A486" s="158">
        <v>44121</v>
      </c>
      <c r="B486" s="168">
        <v>90126</v>
      </c>
    </row>
    <row r="487" s="89" customFormat="1" customHeight="1" spans="1:2">
      <c r="A487" s="158">
        <v>44122</v>
      </c>
      <c r="B487" s="168">
        <v>89346</v>
      </c>
    </row>
    <row r="488" s="89" customFormat="1" customHeight="1" spans="1:2">
      <c r="A488" s="158">
        <v>44123</v>
      </c>
      <c r="B488" s="168">
        <v>88430</v>
      </c>
    </row>
    <row r="489" s="89" customFormat="1" customHeight="1" spans="1:2">
      <c r="A489" s="158">
        <v>44124</v>
      </c>
      <c r="B489" s="168">
        <v>90598</v>
      </c>
    </row>
    <row r="490" s="89" customFormat="1" customHeight="1" spans="1:2">
      <c r="A490" s="158">
        <v>44125</v>
      </c>
      <c r="B490" s="168">
        <v>91730</v>
      </c>
    </row>
    <row r="491" s="89" customFormat="1" customHeight="1" spans="1:2">
      <c r="A491" s="158">
        <v>44126</v>
      </c>
      <c r="B491" s="168">
        <v>93238</v>
      </c>
    </row>
    <row r="492" s="89" customFormat="1" customHeight="1" spans="1:2">
      <c r="A492" s="158">
        <v>44127</v>
      </c>
      <c r="B492" s="168">
        <v>93847</v>
      </c>
    </row>
    <row r="493" s="89" customFormat="1" customHeight="1" spans="1:2">
      <c r="A493" s="158">
        <v>44128</v>
      </c>
      <c r="B493" s="168">
        <v>98082</v>
      </c>
    </row>
    <row r="494" s="89" customFormat="1" customHeight="1" spans="1:2">
      <c r="A494" s="158">
        <v>44129</v>
      </c>
      <c r="B494" s="168">
        <v>107986</v>
      </c>
    </row>
    <row r="495" s="89" customFormat="1" customHeight="1" spans="1:2">
      <c r="A495" s="158">
        <v>44130</v>
      </c>
      <c r="B495" s="168">
        <v>114959</v>
      </c>
    </row>
    <row r="496" s="89" customFormat="1" customHeight="1" spans="1:2">
      <c r="A496" s="158">
        <v>44131</v>
      </c>
      <c r="B496" s="168">
        <v>112669</v>
      </c>
    </row>
    <row r="497" s="89" customFormat="1" customHeight="1" spans="1:2">
      <c r="A497" s="158">
        <v>44132</v>
      </c>
      <c r="B497" s="168">
        <v>112662</v>
      </c>
    </row>
    <row r="498" s="89" customFormat="1" customHeight="1" spans="1:2">
      <c r="A498" s="158">
        <v>44133</v>
      </c>
      <c r="B498" s="168">
        <v>109265</v>
      </c>
    </row>
    <row r="499" s="89" customFormat="1" customHeight="1" spans="1:2">
      <c r="A499" s="158">
        <v>44134</v>
      </c>
      <c r="B499" s="168">
        <v>109931</v>
      </c>
    </row>
    <row r="500" s="89" customFormat="1" customHeight="1" spans="1:2">
      <c r="A500" s="158">
        <v>44135</v>
      </c>
      <c r="B500" s="168">
        <v>115055</v>
      </c>
    </row>
    <row r="501" s="89" customFormat="1" customHeight="1" spans="1:2">
      <c r="A501" s="158">
        <v>44136</v>
      </c>
      <c r="B501" s="168">
        <v>109735</v>
      </c>
    </row>
    <row r="502" s="89" customFormat="1" customHeight="1" spans="1:2">
      <c r="A502" s="158">
        <v>44137</v>
      </c>
      <c r="B502" s="168">
        <v>101801</v>
      </c>
    </row>
    <row r="503" s="89" customFormat="1" customHeight="1" spans="1:2">
      <c r="A503" s="158">
        <v>44138</v>
      </c>
      <c r="B503" s="168">
        <v>106640</v>
      </c>
    </row>
    <row r="504" s="89" customFormat="1" customHeight="1" spans="1:2">
      <c r="A504" s="158">
        <v>44139</v>
      </c>
      <c r="B504" s="168">
        <v>106275</v>
      </c>
    </row>
    <row r="505" s="89" customFormat="1" customHeight="1" spans="1:2">
      <c r="A505" s="158">
        <v>44140</v>
      </c>
      <c r="B505" s="168">
        <v>104224</v>
      </c>
    </row>
    <row r="506" s="89" customFormat="1" customHeight="1" spans="1:2">
      <c r="A506" s="158">
        <v>44141</v>
      </c>
      <c r="B506" s="168">
        <v>104189</v>
      </c>
    </row>
    <row r="507" s="89" customFormat="1" customHeight="1" spans="1:2">
      <c r="A507" s="158">
        <v>44142</v>
      </c>
      <c r="B507" s="168">
        <v>104111</v>
      </c>
    </row>
    <row r="508" s="89" customFormat="1" customHeight="1" spans="1:2">
      <c r="A508" s="158">
        <v>44143</v>
      </c>
      <c r="B508" s="168">
        <v>104020</v>
      </c>
    </row>
    <row r="509" s="89" customFormat="1" customHeight="1" spans="1:2">
      <c r="A509" s="158">
        <v>44144</v>
      </c>
      <c r="B509" s="168">
        <v>104448</v>
      </c>
    </row>
    <row r="510" s="89" customFormat="1" customHeight="1" spans="1:2">
      <c r="A510" s="158">
        <v>44145</v>
      </c>
      <c r="B510" s="168">
        <v>104408</v>
      </c>
    </row>
    <row r="511" s="89" customFormat="1" customHeight="1" spans="1:2">
      <c r="A511" s="158">
        <v>44146</v>
      </c>
      <c r="B511" s="168">
        <v>104132</v>
      </c>
    </row>
    <row r="512" s="89" customFormat="1" customHeight="1" spans="1:2">
      <c r="A512" s="158">
        <v>44147</v>
      </c>
      <c r="B512" s="168">
        <v>103916</v>
      </c>
    </row>
    <row r="513" s="89" customFormat="1" customHeight="1" spans="1:2">
      <c r="A513" s="158">
        <v>44148</v>
      </c>
      <c r="B513" s="168">
        <v>108900</v>
      </c>
    </row>
    <row r="514" s="89" customFormat="1" customHeight="1" spans="1:2">
      <c r="A514" s="158">
        <v>44149</v>
      </c>
      <c r="B514" s="168">
        <v>110162</v>
      </c>
    </row>
    <row r="515" s="89" customFormat="1" customHeight="1" spans="1:2">
      <c r="A515" s="158">
        <v>44150</v>
      </c>
      <c r="B515" s="168">
        <v>110403</v>
      </c>
    </row>
    <row r="516" s="89" customFormat="1" customHeight="1" spans="1:2">
      <c r="A516" s="158">
        <v>44151</v>
      </c>
      <c r="B516" s="168">
        <v>109165</v>
      </c>
    </row>
    <row r="517" s="89" customFormat="1" customHeight="1" spans="1:2">
      <c r="A517" s="158">
        <v>44152</v>
      </c>
      <c r="B517" s="168">
        <v>108387</v>
      </c>
    </row>
    <row r="518" s="89" customFormat="1" customHeight="1" spans="1:2">
      <c r="A518" s="158">
        <v>44153</v>
      </c>
      <c r="B518" s="168">
        <v>107302</v>
      </c>
    </row>
    <row r="519" s="89" customFormat="1" customHeight="1" spans="1:2">
      <c r="A519" s="158">
        <v>44154</v>
      </c>
      <c r="B519" s="168">
        <v>107133</v>
      </c>
    </row>
    <row r="520" s="89" customFormat="1" customHeight="1" spans="1:2">
      <c r="A520" s="158">
        <v>44155</v>
      </c>
      <c r="B520" s="168">
        <v>108237</v>
      </c>
    </row>
    <row r="521" s="89" customFormat="1" customHeight="1" spans="1:2">
      <c r="A521" s="158">
        <v>44156</v>
      </c>
      <c r="B521" s="168">
        <v>108107</v>
      </c>
    </row>
    <row r="522" s="89" customFormat="1" customHeight="1" spans="1:2">
      <c r="A522" s="158">
        <v>44157</v>
      </c>
      <c r="B522" s="168">
        <v>114848</v>
      </c>
    </row>
    <row r="523" s="89" customFormat="1" customHeight="1" spans="1:2">
      <c r="A523" s="158">
        <v>44158</v>
      </c>
      <c r="B523" s="168">
        <v>117729</v>
      </c>
    </row>
    <row r="524" s="89" customFormat="1" customHeight="1" spans="1:2">
      <c r="A524" s="158">
        <v>44159</v>
      </c>
      <c r="B524" s="168">
        <v>124936</v>
      </c>
    </row>
    <row r="525" s="89" customFormat="1" customHeight="1" spans="1:2">
      <c r="A525" s="158">
        <v>44160</v>
      </c>
      <c r="B525" s="168">
        <v>122308</v>
      </c>
    </row>
    <row r="526" s="89" customFormat="1" customHeight="1" spans="1:2">
      <c r="A526" s="158">
        <v>44161</v>
      </c>
      <c r="B526" s="168">
        <v>123791</v>
      </c>
    </row>
    <row r="527" s="89" customFormat="1" customHeight="1" spans="1:2">
      <c r="A527" s="158">
        <v>44162</v>
      </c>
      <c r="B527" s="168">
        <v>126765</v>
      </c>
    </row>
    <row r="528" s="89" customFormat="1" customHeight="1" spans="1:2">
      <c r="A528" s="158">
        <v>44163</v>
      </c>
      <c r="B528" s="168">
        <v>129402</v>
      </c>
    </row>
    <row r="529" s="89" customFormat="1" customHeight="1" spans="1:2">
      <c r="A529" s="158">
        <v>44164</v>
      </c>
      <c r="B529" s="168">
        <v>121862</v>
      </c>
    </row>
    <row r="530" s="89" customFormat="1" customHeight="1" spans="1:2">
      <c r="A530" s="158">
        <v>44165</v>
      </c>
      <c r="B530" s="168">
        <v>120815</v>
      </c>
    </row>
    <row r="531" s="89" customFormat="1" customHeight="1" spans="1:2">
      <c r="A531" s="158">
        <v>44166</v>
      </c>
      <c r="B531" s="168">
        <v>119415</v>
      </c>
    </row>
    <row r="532" s="89" customFormat="1" customHeight="1" spans="1:2">
      <c r="A532" s="158">
        <v>44167</v>
      </c>
      <c r="B532" s="168">
        <v>120371</v>
      </c>
    </row>
    <row r="533" s="89" customFormat="1" customHeight="1" spans="1:2">
      <c r="A533" s="158">
        <v>44168</v>
      </c>
      <c r="B533" s="168">
        <v>120729</v>
      </c>
    </row>
    <row r="534" s="89" customFormat="1" customHeight="1" spans="1:2">
      <c r="A534" s="158">
        <v>44169</v>
      </c>
      <c r="B534" s="168">
        <v>120786</v>
      </c>
    </row>
    <row r="535" s="89" customFormat="1" customHeight="1" spans="1:2">
      <c r="A535" s="158">
        <v>44170</v>
      </c>
      <c r="B535" s="168">
        <v>125337</v>
      </c>
    </row>
    <row r="536" s="89" customFormat="1" customHeight="1" spans="1:2">
      <c r="A536" s="158">
        <v>44171</v>
      </c>
      <c r="B536" s="168">
        <v>123307</v>
      </c>
    </row>
    <row r="537" s="89" customFormat="1" customHeight="1" spans="1:2">
      <c r="A537" s="158">
        <v>44172</v>
      </c>
      <c r="B537" s="168">
        <v>123086</v>
      </c>
    </row>
    <row r="538" s="89" customFormat="1" customHeight="1" spans="1:2">
      <c r="A538" s="158">
        <v>44173</v>
      </c>
      <c r="B538" s="168">
        <v>124580</v>
      </c>
    </row>
    <row r="539" s="89" customFormat="1" customHeight="1" spans="1:2">
      <c r="A539" s="158">
        <v>44174</v>
      </c>
      <c r="B539" s="168">
        <v>121181</v>
      </c>
    </row>
    <row r="540" s="89" customFormat="1" customHeight="1" spans="1:2">
      <c r="A540" s="158">
        <v>44175</v>
      </c>
      <c r="B540" s="168">
        <v>123652</v>
      </c>
    </row>
    <row r="541" s="89" customFormat="1" customHeight="1" spans="1:2">
      <c r="A541" s="158">
        <v>44176</v>
      </c>
      <c r="B541" s="168">
        <v>123216</v>
      </c>
    </row>
    <row r="542" s="89" customFormat="1" customHeight="1" spans="1:2">
      <c r="A542" s="158">
        <v>44177</v>
      </c>
      <c r="B542" s="168">
        <v>124684</v>
      </c>
    </row>
    <row r="543" s="89" customFormat="1" customHeight="1" spans="1:2">
      <c r="A543" s="158">
        <v>44178</v>
      </c>
      <c r="B543" s="168">
        <v>124449</v>
      </c>
    </row>
    <row r="544" s="89" customFormat="1" customHeight="1" spans="1:2">
      <c r="A544" s="158">
        <v>44179</v>
      </c>
      <c r="B544" s="168">
        <v>123331</v>
      </c>
    </row>
    <row r="545" s="89" customFormat="1" customHeight="1" spans="1:2">
      <c r="A545" s="158">
        <v>44180</v>
      </c>
      <c r="B545" s="168">
        <v>126035</v>
      </c>
    </row>
    <row r="546" s="89" customFormat="1" customHeight="1" spans="1:2">
      <c r="A546" s="158">
        <v>44181</v>
      </c>
      <c r="B546" s="168">
        <v>129155</v>
      </c>
    </row>
    <row r="547" s="89" customFormat="1" customHeight="1" spans="1:2">
      <c r="A547" s="158">
        <v>44182</v>
      </c>
      <c r="B547" s="168">
        <v>131831</v>
      </c>
    </row>
    <row r="548" s="89" customFormat="1" customHeight="1" spans="1:2">
      <c r="A548" s="158">
        <v>44183</v>
      </c>
      <c r="B548" s="168">
        <v>143318</v>
      </c>
    </row>
    <row r="549" s="89" customFormat="1" customHeight="1" spans="1:2">
      <c r="A549" s="158">
        <v>44184</v>
      </c>
      <c r="B549" s="168">
        <v>177721</v>
      </c>
    </row>
    <row r="550" s="89" customFormat="1" customHeight="1" spans="1:2">
      <c r="A550" s="158">
        <v>44185</v>
      </c>
      <c r="B550" s="168">
        <v>178024</v>
      </c>
    </row>
    <row r="551" s="89" customFormat="1" customHeight="1" spans="1:2">
      <c r="A551" s="158">
        <v>44186</v>
      </c>
      <c r="B551" s="168">
        <v>171813</v>
      </c>
    </row>
    <row r="552" s="89" customFormat="1" customHeight="1" spans="1:2">
      <c r="A552" s="158">
        <v>44187</v>
      </c>
      <c r="B552" s="168">
        <v>168559</v>
      </c>
    </row>
    <row r="553" s="89" customFormat="1" customHeight="1" spans="1:2">
      <c r="A553" s="158">
        <v>44188</v>
      </c>
      <c r="B553" s="168">
        <v>172976</v>
      </c>
    </row>
    <row r="554" s="89" customFormat="1" customHeight="1" spans="1:2">
      <c r="A554" s="158">
        <v>44189</v>
      </c>
      <c r="B554" s="168">
        <v>174623</v>
      </c>
    </row>
    <row r="555" s="89" customFormat="1" customHeight="1" spans="1:2">
      <c r="A555" s="158">
        <v>44190</v>
      </c>
      <c r="B555" s="168">
        <v>176622</v>
      </c>
    </row>
    <row r="556" s="89" customFormat="1" customHeight="1" spans="1:2">
      <c r="A556" s="158">
        <v>44191</v>
      </c>
      <c r="B556" s="168">
        <v>179137</v>
      </c>
    </row>
    <row r="557" s="89" customFormat="1" customHeight="1" spans="1:2">
      <c r="A557" s="158">
        <v>44192</v>
      </c>
      <c r="B557" s="168">
        <v>175937</v>
      </c>
    </row>
    <row r="558" s="89" customFormat="1" customHeight="1" spans="1:2">
      <c r="A558" s="158">
        <v>44193</v>
      </c>
      <c r="B558" s="168">
        <v>174914</v>
      </c>
    </row>
    <row r="559" s="89" customFormat="1" customHeight="1" spans="1:2">
      <c r="A559" s="158">
        <v>44194</v>
      </c>
      <c r="B559" s="168">
        <v>175457</v>
      </c>
    </row>
    <row r="560" s="89" customFormat="1" customHeight="1" spans="1:2">
      <c r="A560" s="158">
        <v>44195</v>
      </c>
      <c r="B560" s="168">
        <v>174165</v>
      </c>
    </row>
    <row r="561" s="89" customFormat="1" customHeight="1" spans="1:2">
      <c r="A561" s="158">
        <v>44196</v>
      </c>
      <c r="B561" s="168">
        <v>174321</v>
      </c>
    </row>
    <row r="562" s="89" customFormat="1" customHeight="1" spans="1:2">
      <c r="A562" s="158">
        <v>44197</v>
      </c>
      <c r="B562" s="168">
        <v>186494</v>
      </c>
    </row>
    <row r="563" s="89" customFormat="1" customHeight="1" spans="1:2">
      <c r="A563" s="158">
        <v>44198</v>
      </c>
      <c r="B563" s="168">
        <v>180830</v>
      </c>
    </row>
    <row r="564" s="89" customFormat="1" customHeight="1" spans="1:2">
      <c r="A564" s="158">
        <v>44199</v>
      </c>
      <c r="B564" s="168">
        <v>177570</v>
      </c>
    </row>
    <row r="565" s="89" customFormat="1" customHeight="1" spans="1:2">
      <c r="A565" s="158">
        <v>44200</v>
      </c>
      <c r="B565" s="168">
        <v>177419</v>
      </c>
    </row>
    <row r="566" s="89" customFormat="1" customHeight="1" spans="1:2">
      <c r="A566" s="158">
        <v>44201</v>
      </c>
      <c r="B566" s="168">
        <v>178067</v>
      </c>
    </row>
    <row r="567" s="89" customFormat="1" customHeight="1" spans="1:2">
      <c r="A567" s="158">
        <v>44202</v>
      </c>
      <c r="B567" s="168">
        <v>176914</v>
      </c>
    </row>
    <row r="568" s="89" customFormat="1" customHeight="1" spans="1:2">
      <c r="A568" s="158">
        <v>44203</v>
      </c>
      <c r="B568" s="168">
        <v>176104</v>
      </c>
    </row>
    <row r="569" s="89" customFormat="1" customHeight="1" spans="1:2">
      <c r="A569" s="158">
        <v>44204</v>
      </c>
      <c r="B569" s="168">
        <v>177783</v>
      </c>
    </row>
    <row r="570" s="89" customFormat="1" customHeight="1" spans="1:2">
      <c r="A570" s="158">
        <v>44205</v>
      </c>
      <c r="B570" s="168">
        <v>181357</v>
      </c>
    </row>
    <row r="571" s="89" customFormat="1" customHeight="1" spans="1:2">
      <c r="A571" s="158">
        <v>44206</v>
      </c>
      <c r="B571" s="168">
        <v>184632</v>
      </c>
    </row>
    <row r="572" s="89" customFormat="1" customHeight="1" spans="1:2">
      <c r="A572" s="158">
        <v>44207</v>
      </c>
      <c r="B572" s="168">
        <v>182712</v>
      </c>
    </row>
    <row r="573" s="89" customFormat="1" customHeight="1" spans="1:2">
      <c r="A573" s="158">
        <v>44208</v>
      </c>
      <c r="B573" s="168">
        <v>189329</v>
      </c>
    </row>
    <row r="574" s="89" customFormat="1" customHeight="1" spans="1:2">
      <c r="A574" s="158">
        <v>44209</v>
      </c>
      <c r="B574" s="168">
        <v>195521</v>
      </c>
    </row>
    <row r="575" s="89" customFormat="1" customHeight="1" spans="1:2">
      <c r="A575" s="158">
        <v>44210</v>
      </c>
      <c r="B575" s="168">
        <v>207375</v>
      </c>
    </row>
    <row r="576" s="89" customFormat="1" customHeight="1" spans="1:2">
      <c r="A576" s="158">
        <v>44211</v>
      </c>
      <c r="B576" s="168">
        <v>210876</v>
      </c>
    </row>
    <row r="577" s="89" customFormat="1" customHeight="1" spans="1:2">
      <c r="A577" s="158">
        <v>44212</v>
      </c>
      <c r="B577" s="168">
        <v>207026</v>
      </c>
    </row>
    <row r="578" s="89" customFormat="1" customHeight="1" spans="1:2">
      <c r="A578" s="158">
        <v>44213</v>
      </c>
      <c r="B578" s="168">
        <v>208929</v>
      </c>
    </row>
    <row r="579" s="89" customFormat="1" customHeight="1" spans="1:2">
      <c r="A579" s="158">
        <v>44214</v>
      </c>
      <c r="B579" s="168">
        <v>207084</v>
      </c>
    </row>
    <row r="580" s="89" customFormat="1" customHeight="1" spans="1:2">
      <c r="A580" s="158">
        <v>44215</v>
      </c>
      <c r="B580" s="168">
        <v>200189</v>
      </c>
    </row>
    <row r="581" s="89" customFormat="1" customHeight="1" spans="1:2">
      <c r="A581" s="158">
        <v>44216</v>
      </c>
      <c r="B581" s="168">
        <v>199542</v>
      </c>
    </row>
    <row r="582" s="89" customFormat="1" customHeight="1" spans="1:2">
      <c r="A582" s="158">
        <v>44217</v>
      </c>
      <c r="B582" s="168">
        <v>193931</v>
      </c>
    </row>
    <row r="583" s="89" customFormat="1" customHeight="1" spans="1:2">
      <c r="A583" s="158">
        <v>44218</v>
      </c>
      <c r="B583" s="168">
        <v>192601</v>
      </c>
    </row>
    <row r="584" s="89" customFormat="1" customHeight="1" spans="1:2">
      <c r="A584" s="158">
        <v>44219</v>
      </c>
      <c r="B584" s="168">
        <v>197506</v>
      </c>
    </row>
    <row r="585" s="89" customFormat="1" customHeight="1" spans="1:2">
      <c r="A585" s="158">
        <v>44220</v>
      </c>
      <c r="B585" s="168">
        <v>199330</v>
      </c>
    </row>
    <row r="586" s="89" customFormat="1" customHeight="1" spans="1:2">
      <c r="A586" s="158">
        <v>44221</v>
      </c>
      <c r="B586" s="168">
        <v>197994</v>
      </c>
    </row>
    <row r="587" s="89" customFormat="1" customHeight="1" spans="1:2">
      <c r="A587" s="158">
        <v>44222</v>
      </c>
      <c r="B587" s="168">
        <v>203410</v>
      </c>
    </row>
    <row r="588" s="89" customFormat="1" customHeight="1" spans="1:2">
      <c r="A588" s="158">
        <v>44223</v>
      </c>
      <c r="B588" s="168">
        <v>203189</v>
      </c>
    </row>
    <row r="589" s="89" customFormat="1" customHeight="1" spans="1:2">
      <c r="A589" s="158">
        <v>44224</v>
      </c>
      <c r="B589" s="168">
        <v>200936</v>
      </c>
    </row>
    <row r="590" s="89" customFormat="1" customHeight="1" spans="1:2">
      <c r="A590" s="158">
        <v>44225</v>
      </c>
      <c r="B590" s="171">
        <v>207507</v>
      </c>
    </row>
    <row r="591" s="89" customFormat="1" customHeight="1" spans="1:2">
      <c r="A591" s="158">
        <v>44226</v>
      </c>
      <c r="B591" s="168">
        <v>224727</v>
      </c>
    </row>
    <row r="592" s="89" customFormat="1" customHeight="1" spans="1:2">
      <c r="A592" s="158">
        <v>44227</v>
      </c>
      <c r="B592" s="168">
        <v>229890</v>
      </c>
    </row>
    <row r="593" s="89" customFormat="1" customHeight="1" spans="1:2">
      <c r="A593" s="158">
        <v>44228</v>
      </c>
      <c r="B593" s="168">
        <v>225865</v>
      </c>
    </row>
    <row r="594" s="89" customFormat="1" customHeight="1" spans="1:2">
      <c r="A594" s="158">
        <v>44229</v>
      </c>
      <c r="B594" s="171">
        <v>234246</v>
      </c>
    </row>
    <row r="595" s="89" customFormat="1" customHeight="1" spans="1:2">
      <c r="A595" s="158">
        <v>44230</v>
      </c>
      <c r="B595" s="171">
        <v>246828</v>
      </c>
    </row>
    <row r="596" s="89" customFormat="1" customHeight="1" spans="1:2">
      <c r="A596" s="158">
        <v>44231</v>
      </c>
      <c r="B596" s="171">
        <v>259064</v>
      </c>
    </row>
    <row r="597" s="89" customFormat="1" customHeight="1" spans="1:2">
      <c r="A597" s="158">
        <v>44232</v>
      </c>
      <c r="B597" s="171">
        <v>251906</v>
      </c>
    </row>
    <row r="598" s="89" customFormat="1" customHeight="1" spans="1:2">
      <c r="A598" s="158">
        <v>44233</v>
      </c>
      <c r="B598" s="171">
        <v>267872</v>
      </c>
    </row>
    <row r="599" s="89" customFormat="1" customHeight="1" spans="1:2">
      <c r="A599" s="158">
        <v>44234</v>
      </c>
      <c r="B599" s="171">
        <v>283937</v>
      </c>
    </row>
    <row r="600" s="89" customFormat="1" customHeight="1" spans="1:2">
      <c r="A600" s="158">
        <v>44235</v>
      </c>
      <c r="B600" s="171">
        <v>269332</v>
      </c>
    </row>
    <row r="601" s="89" customFormat="1" customHeight="1" spans="1:2">
      <c r="A601" s="158">
        <v>44236</v>
      </c>
      <c r="B601" s="171">
        <v>192935</v>
      </c>
    </row>
    <row r="602" s="89" customFormat="1" customHeight="1" spans="1:2">
      <c r="A602" s="158">
        <v>44243</v>
      </c>
      <c r="B602" s="171">
        <v>57842</v>
      </c>
    </row>
    <row r="603" s="89" customFormat="1" customHeight="1" spans="1:2">
      <c r="A603" s="158">
        <v>44244</v>
      </c>
      <c r="B603" s="171">
        <v>60693</v>
      </c>
    </row>
    <row r="604" s="89" customFormat="1" customHeight="1" spans="1:2">
      <c r="A604" s="158">
        <v>44245</v>
      </c>
      <c r="B604" s="171">
        <v>73074</v>
      </c>
    </row>
    <row r="605" s="89" customFormat="1" customHeight="1" spans="1:2">
      <c r="A605" s="158">
        <v>44246</v>
      </c>
      <c r="B605" s="171">
        <v>73587</v>
      </c>
    </row>
    <row r="606" s="89" customFormat="1" customHeight="1" spans="1:2">
      <c r="A606" s="158">
        <v>44247</v>
      </c>
      <c r="B606" s="171">
        <v>82284</v>
      </c>
    </row>
    <row r="607" s="89" customFormat="1" customHeight="1" spans="1:2">
      <c r="A607" s="158">
        <v>44248</v>
      </c>
      <c r="B607" s="171">
        <v>82084</v>
      </c>
    </row>
    <row r="608" s="89" customFormat="1" customHeight="1" spans="1:2">
      <c r="A608" s="158">
        <v>44249</v>
      </c>
      <c r="B608" s="171">
        <v>81079</v>
      </c>
    </row>
    <row r="609" s="89" customFormat="1" customHeight="1" spans="1:2">
      <c r="A609" s="158">
        <v>44250</v>
      </c>
      <c r="B609" s="171">
        <v>79436</v>
      </c>
    </row>
    <row r="610" s="89" customFormat="1" customHeight="1" spans="1:2">
      <c r="A610" s="158">
        <v>44251</v>
      </c>
      <c r="B610" s="171">
        <v>80342</v>
      </c>
    </row>
    <row r="611" s="89" customFormat="1" customHeight="1" spans="1:2">
      <c r="A611" s="158">
        <v>44252</v>
      </c>
      <c r="B611" s="171">
        <v>82416</v>
      </c>
    </row>
    <row r="612" s="89" customFormat="1" customHeight="1" spans="1:2">
      <c r="A612" s="158">
        <v>44253</v>
      </c>
      <c r="B612" s="171">
        <v>82616</v>
      </c>
    </row>
    <row r="613" s="89" customFormat="1" customHeight="1" spans="1:2">
      <c r="A613" s="158">
        <v>44254</v>
      </c>
      <c r="B613" s="171">
        <v>82336</v>
      </c>
    </row>
    <row r="614" s="89" customFormat="1" customHeight="1" spans="1:2">
      <c r="A614" s="158">
        <v>44255</v>
      </c>
      <c r="B614" s="171">
        <v>83792</v>
      </c>
    </row>
    <row r="615" s="89" customFormat="1" customHeight="1" spans="1:2">
      <c r="A615" s="158">
        <v>44256</v>
      </c>
      <c r="B615" s="171">
        <v>82932</v>
      </c>
    </row>
    <row r="616" s="89" customFormat="1" customHeight="1" spans="1:2">
      <c r="A616" s="158">
        <v>44257</v>
      </c>
      <c r="B616" s="171">
        <v>81981</v>
      </c>
    </row>
    <row r="617" s="89" customFormat="1" customHeight="1" spans="1:2">
      <c r="A617" s="158">
        <v>44258</v>
      </c>
      <c r="B617" s="171">
        <v>77234</v>
      </c>
    </row>
    <row r="618" s="89" customFormat="1" customHeight="1" spans="1:2">
      <c r="A618" s="158">
        <v>44259</v>
      </c>
      <c r="B618" s="171">
        <v>78006</v>
      </c>
    </row>
    <row r="619" s="89" customFormat="1" customHeight="1" spans="1:2">
      <c r="A619" s="158">
        <v>44260</v>
      </c>
      <c r="B619" s="171">
        <v>78379</v>
      </c>
    </row>
    <row r="620" s="89" customFormat="1" customHeight="1" spans="1:2">
      <c r="A620" s="158">
        <v>44261</v>
      </c>
      <c r="B620" s="171">
        <v>77520</v>
      </c>
    </row>
    <row r="621" s="89" customFormat="1" customHeight="1" spans="1:2">
      <c r="A621" s="158">
        <v>44262</v>
      </c>
      <c r="B621" s="171">
        <v>76505</v>
      </c>
    </row>
    <row r="622" s="89" customFormat="1" customHeight="1" spans="1:2">
      <c r="A622" s="158">
        <v>44263</v>
      </c>
      <c r="B622" s="171">
        <v>75559</v>
      </c>
    </row>
    <row r="623" s="89" customFormat="1" customHeight="1" spans="1:2">
      <c r="A623" s="158">
        <v>44264</v>
      </c>
      <c r="B623" s="171">
        <v>75515</v>
      </c>
    </row>
    <row r="624" s="89" customFormat="1" customHeight="1" spans="1:2">
      <c r="A624" s="158">
        <v>44265</v>
      </c>
      <c r="B624" s="171">
        <v>78366</v>
      </c>
    </row>
    <row r="625" s="89" customFormat="1" customHeight="1" spans="1:2">
      <c r="A625" s="158">
        <v>44266</v>
      </c>
      <c r="B625" s="171">
        <v>78329</v>
      </c>
    </row>
    <row r="626" s="89" customFormat="1" customHeight="1" spans="1:2">
      <c r="A626" s="158">
        <v>44267</v>
      </c>
      <c r="B626" s="171">
        <v>77870</v>
      </c>
    </row>
    <row r="627" s="89" customFormat="1" customHeight="1" spans="1:2">
      <c r="A627" s="158">
        <v>44268</v>
      </c>
      <c r="B627" s="171">
        <v>78350</v>
      </c>
    </row>
    <row r="628" s="89" customFormat="1" customHeight="1" spans="1:2">
      <c r="A628" s="158">
        <v>44269</v>
      </c>
      <c r="B628" s="171">
        <v>78679</v>
      </c>
    </row>
    <row r="629" s="89" customFormat="1" customHeight="1" spans="1:2">
      <c r="A629" s="158">
        <v>44270</v>
      </c>
      <c r="B629" s="171">
        <v>79207</v>
      </c>
    </row>
    <row r="630" s="89" customFormat="1" customHeight="1" spans="1:2">
      <c r="A630" s="158">
        <v>44271</v>
      </c>
      <c r="B630" s="171">
        <v>79726</v>
      </c>
    </row>
    <row r="631" s="89" customFormat="1" customHeight="1" spans="1:2">
      <c r="A631" s="158">
        <v>44272</v>
      </c>
      <c r="B631" s="171">
        <v>79137</v>
      </c>
    </row>
    <row r="632" s="89" customFormat="1" customHeight="1" spans="1:2">
      <c r="A632" s="158">
        <v>44273</v>
      </c>
      <c r="B632" s="171">
        <v>79119</v>
      </c>
    </row>
    <row r="633" s="89" customFormat="1" customHeight="1" spans="1:2">
      <c r="A633" s="158">
        <v>44274</v>
      </c>
      <c r="B633" s="171">
        <v>79160</v>
      </c>
    </row>
    <row r="634" s="89" customFormat="1" customHeight="1" spans="1:2">
      <c r="A634" s="158">
        <v>44275</v>
      </c>
      <c r="B634" s="171">
        <v>80388</v>
      </c>
    </row>
    <row r="635" s="89" customFormat="1" customHeight="1" spans="1:2">
      <c r="A635" s="158">
        <v>44276</v>
      </c>
      <c r="B635" s="171">
        <v>81488</v>
      </c>
    </row>
    <row r="636" s="89" customFormat="1" customHeight="1" spans="1:2">
      <c r="A636" s="158">
        <v>44277</v>
      </c>
      <c r="B636" s="171">
        <v>80816</v>
      </c>
    </row>
    <row r="637" s="89" customFormat="1" customHeight="1" spans="1:2">
      <c r="A637" s="158">
        <v>44278</v>
      </c>
      <c r="B637" s="171">
        <v>82307</v>
      </c>
    </row>
    <row r="638" s="89" customFormat="1" customHeight="1" spans="1:2">
      <c r="A638" s="158">
        <v>44279</v>
      </c>
      <c r="B638" s="171">
        <v>83054</v>
      </c>
    </row>
    <row r="639" s="89" customFormat="1" customHeight="1" spans="1:2">
      <c r="A639" s="158">
        <v>44280</v>
      </c>
      <c r="B639" s="171">
        <v>84140</v>
      </c>
    </row>
    <row r="640" s="89" customFormat="1" customHeight="1" spans="1:2">
      <c r="A640" s="158">
        <v>44281</v>
      </c>
      <c r="B640" s="171">
        <v>83895</v>
      </c>
    </row>
    <row r="641" s="89" customFormat="1" customHeight="1" spans="1:2">
      <c r="A641" s="158">
        <v>44282</v>
      </c>
      <c r="B641" s="171">
        <v>85528</v>
      </c>
    </row>
    <row r="642" s="89" customFormat="1" customHeight="1" spans="1:2">
      <c r="A642" s="158">
        <v>44283</v>
      </c>
      <c r="B642" s="171">
        <v>84609</v>
      </c>
    </row>
    <row r="643" s="89" customFormat="1" customHeight="1" spans="1:2">
      <c r="A643" s="158">
        <v>44284</v>
      </c>
      <c r="B643" s="171">
        <v>84899</v>
      </c>
    </row>
    <row r="644" s="89" customFormat="1" customHeight="1" spans="1:2">
      <c r="A644" s="158">
        <v>44285</v>
      </c>
      <c r="B644" s="171">
        <v>85743</v>
      </c>
    </row>
    <row r="645" s="89" customFormat="1" customHeight="1" spans="1:2">
      <c r="A645" s="158">
        <v>44286</v>
      </c>
      <c r="B645" s="171">
        <v>85848</v>
      </c>
    </row>
    <row r="646" s="89" customFormat="1" customHeight="1" spans="1:2">
      <c r="A646" s="158">
        <v>44287</v>
      </c>
      <c r="B646" s="171">
        <v>85896</v>
      </c>
    </row>
    <row r="647" s="89" customFormat="1" customHeight="1" spans="1:2">
      <c r="A647" s="158">
        <v>44288</v>
      </c>
      <c r="B647" s="168">
        <v>87424</v>
      </c>
    </row>
    <row r="648" s="89" customFormat="1" customHeight="1" spans="1:2">
      <c r="A648" s="158">
        <v>44289</v>
      </c>
      <c r="B648" s="168">
        <v>94153</v>
      </c>
    </row>
    <row r="649" s="89" customFormat="1" customHeight="1" spans="1:2">
      <c r="A649" s="158">
        <v>44290</v>
      </c>
      <c r="B649" s="168">
        <v>93350</v>
      </c>
    </row>
    <row r="650" s="89" customFormat="1" customHeight="1" spans="1:2">
      <c r="A650" s="158">
        <v>44291</v>
      </c>
      <c r="B650" s="168">
        <v>89639</v>
      </c>
    </row>
    <row r="651" s="89" customFormat="1" customHeight="1" spans="1:2">
      <c r="A651" s="158">
        <v>44292</v>
      </c>
      <c r="B651" s="168">
        <v>89330</v>
      </c>
    </row>
    <row r="652" s="89" customFormat="1" customHeight="1" spans="1:2">
      <c r="A652" s="158">
        <v>44293</v>
      </c>
      <c r="B652" s="168">
        <v>89440</v>
      </c>
    </row>
    <row r="653" s="89" customFormat="1" customHeight="1" spans="1:2">
      <c r="A653" s="158">
        <v>44294</v>
      </c>
      <c r="B653" s="168">
        <v>88705</v>
      </c>
    </row>
    <row r="654" s="89" customFormat="1" customHeight="1" spans="1:2">
      <c r="A654" s="158">
        <v>44295</v>
      </c>
      <c r="B654" s="168">
        <v>88650</v>
      </c>
    </row>
    <row r="655" s="89" customFormat="1" customHeight="1" spans="1:2">
      <c r="A655" s="158">
        <v>44296</v>
      </c>
      <c r="B655" s="168">
        <v>92643</v>
      </c>
    </row>
    <row r="656" s="89" customFormat="1" customHeight="1" spans="1:2">
      <c r="A656" s="158">
        <v>44297</v>
      </c>
      <c r="B656" s="168">
        <v>91336</v>
      </c>
    </row>
    <row r="657" s="89" customFormat="1" customHeight="1" spans="1:2">
      <c r="A657" s="158">
        <v>44298</v>
      </c>
      <c r="B657" s="168">
        <v>90992</v>
      </c>
    </row>
    <row r="658" s="89" customFormat="1" customHeight="1" spans="1:2">
      <c r="A658" s="158">
        <v>44299</v>
      </c>
      <c r="B658" s="168">
        <v>92194</v>
      </c>
    </row>
    <row r="659" s="89" customFormat="1" customHeight="1" spans="1:2">
      <c r="A659" s="158">
        <v>44300</v>
      </c>
      <c r="B659" s="168">
        <v>90344</v>
      </c>
    </row>
    <row r="660" s="89" customFormat="1" customHeight="1" spans="1:2">
      <c r="A660" s="158">
        <v>44301</v>
      </c>
      <c r="B660" s="168">
        <v>89979</v>
      </c>
    </row>
    <row r="661" s="89" customFormat="1" customHeight="1" spans="1:2">
      <c r="A661" s="158">
        <v>44302</v>
      </c>
      <c r="B661" s="168">
        <v>90732</v>
      </c>
    </row>
    <row r="662" s="89" customFormat="1" customHeight="1" spans="1:2">
      <c r="A662" s="158">
        <v>44303</v>
      </c>
      <c r="B662" s="168">
        <v>92861</v>
      </c>
    </row>
    <row r="663" s="89" customFormat="1" customHeight="1" spans="1:2">
      <c r="A663" s="158">
        <v>44304</v>
      </c>
      <c r="B663" s="168">
        <v>93167</v>
      </c>
    </row>
    <row r="664" s="89" customFormat="1" customHeight="1" spans="1:2">
      <c r="A664" s="158">
        <v>44305</v>
      </c>
      <c r="B664" s="168">
        <v>92051</v>
      </c>
    </row>
    <row r="665" s="89" customFormat="1" customHeight="1" spans="1:2">
      <c r="A665" s="158">
        <v>44306</v>
      </c>
      <c r="B665" s="168">
        <v>92850</v>
      </c>
    </row>
    <row r="666" s="89" customFormat="1" customHeight="1" spans="1:2">
      <c r="A666" s="158">
        <v>44307</v>
      </c>
      <c r="B666" s="168">
        <v>92014</v>
      </c>
    </row>
    <row r="667" s="89" customFormat="1" customHeight="1" spans="1:2">
      <c r="A667" s="158">
        <v>44308</v>
      </c>
      <c r="B667" s="168">
        <v>91709</v>
      </c>
    </row>
    <row r="668" s="89" customFormat="1" customHeight="1" spans="1:2">
      <c r="A668" s="158">
        <v>44309</v>
      </c>
      <c r="B668" s="168">
        <v>91280</v>
      </c>
    </row>
    <row r="669" s="89" customFormat="1" customHeight="1" spans="1:2">
      <c r="A669" s="158">
        <v>44310</v>
      </c>
      <c r="B669" s="168">
        <v>91547</v>
      </c>
    </row>
    <row r="670" s="89" customFormat="1" customHeight="1" spans="1:2">
      <c r="A670" s="158">
        <v>44311</v>
      </c>
      <c r="B670" s="168">
        <v>91975</v>
      </c>
    </row>
    <row r="671" s="89" customFormat="1" customHeight="1" spans="1:2">
      <c r="A671" s="158">
        <v>44312</v>
      </c>
      <c r="B671" s="168">
        <v>91082</v>
      </c>
    </row>
    <row r="672" s="89" customFormat="1" customHeight="1" spans="1:2">
      <c r="A672" s="158">
        <v>44313</v>
      </c>
      <c r="B672" s="168">
        <v>92302</v>
      </c>
    </row>
    <row r="673" s="89" customFormat="1" customHeight="1" spans="1:2">
      <c r="A673" s="158">
        <v>44314</v>
      </c>
      <c r="B673" s="168">
        <v>92918</v>
      </c>
    </row>
    <row r="674" s="89" customFormat="1" customHeight="1" spans="1:2">
      <c r="A674" s="158">
        <v>44315</v>
      </c>
      <c r="B674" s="168">
        <v>96314</v>
      </c>
    </row>
    <row r="675" s="89" customFormat="1" customHeight="1" spans="1:2">
      <c r="A675" s="158">
        <v>44316</v>
      </c>
      <c r="B675" s="168">
        <v>103973</v>
      </c>
    </row>
    <row r="676" s="89" customFormat="1" customHeight="1" spans="1:2">
      <c r="A676" s="158">
        <v>44317</v>
      </c>
      <c r="B676" s="168">
        <v>106195</v>
      </c>
    </row>
    <row r="677" s="89" customFormat="1" customHeight="1" spans="1:2">
      <c r="A677" s="158">
        <v>44318</v>
      </c>
      <c r="B677" s="168">
        <v>98239</v>
      </c>
    </row>
    <row r="678" s="89" customFormat="1" customHeight="1" spans="1:2">
      <c r="A678" s="158">
        <v>44319</v>
      </c>
      <c r="B678" s="168">
        <v>96501</v>
      </c>
    </row>
    <row r="679" s="89" customFormat="1" customHeight="1" spans="1:2">
      <c r="A679" s="158">
        <v>44320</v>
      </c>
      <c r="B679" s="168">
        <v>96057</v>
      </c>
    </row>
    <row r="680" s="89" customFormat="1" customHeight="1" spans="1:2">
      <c r="A680" s="158">
        <v>44321</v>
      </c>
      <c r="B680" s="168">
        <v>94906</v>
      </c>
    </row>
    <row r="681" s="89" customFormat="1" customHeight="1" spans="1:2">
      <c r="A681" s="158">
        <v>44322</v>
      </c>
      <c r="B681" s="168">
        <v>93872</v>
      </c>
    </row>
    <row r="682" s="89" customFormat="1" customHeight="1" spans="1:2">
      <c r="A682" s="158">
        <v>44323</v>
      </c>
      <c r="B682" s="168">
        <v>93983</v>
      </c>
    </row>
    <row r="683" s="89" customFormat="1" customHeight="1" spans="1:2">
      <c r="A683" s="158">
        <v>44324</v>
      </c>
      <c r="B683" s="168">
        <v>95233</v>
      </c>
    </row>
    <row r="684" s="89" customFormat="1" customHeight="1" spans="1:2">
      <c r="A684" s="158">
        <v>44325</v>
      </c>
      <c r="B684" s="168">
        <v>95649</v>
      </c>
    </row>
    <row r="685" s="89" customFormat="1" customHeight="1" spans="1:2">
      <c r="A685" s="158">
        <v>44326</v>
      </c>
      <c r="B685" s="168">
        <v>95285</v>
      </c>
    </row>
    <row r="686" s="89" customFormat="1" customHeight="1" spans="1:2">
      <c r="A686" s="158">
        <v>44327</v>
      </c>
      <c r="B686" s="168">
        <v>94740</v>
      </c>
    </row>
    <row r="687" s="89" customFormat="1" customHeight="1" spans="1:2">
      <c r="A687" s="158">
        <v>44328</v>
      </c>
      <c r="B687" s="168">
        <v>95735</v>
      </c>
    </row>
    <row r="688" s="89" customFormat="1" customHeight="1" spans="1:2">
      <c r="A688" s="158">
        <v>44329</v>
      </c>
      <c r="B688" s="168">
        <v>96150</v>
      </c>
    </row>
    <row r="689" s="89" customFormat="1" customHeight="1" spans="1:2">
      <c r="A689" s="158">
        <v>44330</v>
      </c>
      <c r="B689" s="168">
        <v>97091</v>
      </c>
    </row>
    <row r="690" s="89" customFormat="1" customHeight="1" spans="1:2">
      <c r="A690" s="158">
        <v>44331</v>
      </c>
      <c r="B690" s="168">
        <v>99441</v>
      </c>
    </row>
    <row r="691" s="89" customFormat="1" customHeight="1" spans="1:2">
      <c r="A691" s="158">
        <v>44332</v>
      </c>
      <c r="B691" s="168">
        <v>99736</v>
      </c>
    </row>
    <row r="692" s="89" customFormat="1" customHeight="1" spans="1:2">
      <c r="A692" s="158">
        <v>44333</v>
      </c>
      <c r="B692" s="168">
        <v>100629</v>
      </c>
    </row>
    <row r="693" s="89" customFormat="1" customHeight="1" spans="1:2">
      <c r="A693" s="158">
        <v>44334</v>
      </c>
      <c r="B693" s="168">
        <v>105848</v>
      </c>
    </row>
    <row r="694" s="89" customFormat="1" customHeight="1" spans="1:2">
      <c r="A694" s="158">
        <v>44335</v>
      </c>
      <c r="B694" s="168">
        <v>109754</v>
      </c>
    </row>
    <row r="695" s="89" customFormat="1" customHeight="1" spans="1:2">
      <c r="A695" s="158">
        <v>44336</v>
      </c>
      <c r="B695" s="168">
        <v>107919</v>
      </c>
    </row>
    <row r="696" s="89" customFormat="1" customHeight="1" spans="1:2">
      <c r="A696" s="158">
        <v>44337</v>
      </c>
      <c r="B696" s="168">
        <v>107839</v>
      </c>
    </row>
    <row r="697" s="89" customFormat="1" customHeight="1" spans="1:2">
      <c r="A697" s="158">
        <v>44338</v>
      </c>
      <c r="B697" s="168">
        <v>113236</v>
      </c>
    </row>
    <row r="698" s="89" customFormat="1" customHeight="1" spans="1:2">
      <c r="A698" s="158">
        <v>44339</v>
      </c>
      <c r="B698" s="168">
        <v>114095</v>
      </c>
    </row>
    <row r="699" s="89" customFormat="1" customHeight="1" spans="1:2">
      <c r="A699" s="158">
        <v>44340</v>
      </c>
      <c r="B699" s="168">
        <v>114848</v>
      </c>
    </row>
    <row r="700" s="89" customFormat="1" customHeight="1" spans="1:2">
      <c r="A700" s="158">
        <v>44341</v>
      </c>
      <c r="B700" s="168">
        <v>114338</v>
      </c>
    </row>
    <row r="701" s="89" customFormat="1" customHeight="1" spans="1:2">
      <c r="A701" s="158">
        <v>44342</v>
      </c>
      <c r="B701" s="168">
        <v>116492</v>
      </c>
    </row>
    <row r="702" s="89" customFormat="1" customHeight="1" spans="1:2">
      <c r="A702" s="158">
        <v>44343</v>
      </c>
      <c r="B702" s="168">
        <v>117805</v>
      </c>
    </row>
    <row r="703" s="89" customFormat="1" customHeight="1" spans="1:2">
      <c r="A703" s="158">
        <v>44344</v>
      </c>
      <c r="B703" s="168">
        <v>118098</v>
      </c>
    </row>
    <row r="704" s="89" customFormat="1" customHeight="1" spans="1:2">
      <c r="A704" s="158">
        <v>44345</v>
      </c>
      <c r="B704" s="168">
        <v>121555</v>
      </c>
    </row>
    <row r="705" s="89" customFormat="1" customHeight="1" spans="1:2">
      <c r="A705" s="158">
        <v>44346</v>
      </c>
      <c r="B705" s="168">
        <v>120568</v>
      </c>
    </row>
    <row r="706" s="89" customFormat="1" customHeight="1" spans="1:2">
      <c r="A706" s="158">
        <v>44347</v>
      </c>
      <c r="B706" s="168">
        <v>120393</v>
      </c>
    </row>
    <row r="707" s="89" customFormat="1" customHeight="1" spans="1:2">
      <c r="A707" s="158">
        <v>44348</v>
      </c>
      <c r="B707" s="168">
        <v>118912</v>
      </c>
    </row>
    <row r="708" s="89" customFormat="1" customHeight="1" spans="1:2">
      <c r="A708" s="158">
        <v>44349</v>
      </c>
      <c r="B708" s="168">
        <v>118762</v>
      </c>
    </row>
    <row r="709" s="89" customFormat="1" customHeight="1" spans="1:2">
      <c r="A709" s="158">
        <v>44350</v>
      </c>
      <c r="B709" s="168">
        <v>119239</v>
      </c>
    </row>
    <row r="710" s="89" customFormat="1" customHeight="1" spans="1:2">
      <c r="A710" s="158">
        <v>44351</v>
      </c>
      <c r="B710" s="168">
        <v>119297</v>
      </c>
    </row>
    <row r="711" s="89" customFormat="1" customHeight="1" spans="1:2">
      <c r="A711" s="158">
        <v>44352</v>
      </c>
      <c r="B711" s="168">
        <v>120235</v>
      </c>
    </row>
    <row r="712" s="89" customFormat="1" customHeight="1" spans="1:2">
      <c r="A712" s="158">
        <v>44353</v>
      </c>
      <c r="B712" s="168">
        <v>120845</v>
      </c>
    </row>
    <row r="713" s="89" customFormat="1" customHeight="1" spans="1:2">
      <c r="A713" s="158">
        <v>44354</v>
      </c>
      <c r="B713" s="168">
        <v>120870</v>
      </c>
    </row>
    <row r="714" s="89" customFormat="1" customHeight="1" spans="1:2">
      <c r="A714" s="158">
        <v>44355</v>
      </c>
      <c r="B714" s="168">
        <v>122648</v>
      </c>
    </row>
    <row r="715" s="89" customFormat="1" customHeight="1" spans="1:2">
      <c r="A715" s="158">
        <v>44356</v>
      </c>
      <c r="B715" s="168">
        <v>124408</v>
      </c>
    </row>
    <row r="716" s="89" customFormat="1" customHeight="1" spans="1:2">
      <c r="A716" s="158">
        <v>44357</v>
      </c>
      <c r="B716" s="168">
        <v>128477</v>
      </c>
    </row>
    <row r="717" s="89" customFormat="1" customHeight="1" spans="1:2">
      <c r="A717" s="158">
        <v>44358</v>
      </c>
      <c r="B717" s="170">
        <v>135646</v>
      </c>
    </row>
    <row r="718" s="89" customFormat="1" customHeight="1" spans="1:2">
      <c r="A718" s="158">
        <v>44359</v>
      </c>
      <c r="B718" s="168">
        <v>155999</v>
      </c>
    </row>
    <row r="719" s="89" customFormat="1" customHeight="1" spans="1:2">
      <c r="A719" s="158">
        <v>44360</v>
      </c>
      <c r="B719" s="168">
        <v>158728</v>
      </c>
    </row>
    <row r="720" s="89" customFormat="1" customHeight="1" spans="1:2">
      <c r="A720" s="158">
        <v>44361</v>
      </c>
      <c r="B720" s="168">
        <v>145775</v>
      </c>
    </row>
    <row r="721" s="89" customFormat="1" customHeight="1" spans="1:2">
      <c r="A721" s="158">
        <v>44362</v>
      </c>
      <c r="B721" s="168">
        <v>139740</v>
      </c>
    </row>
    <row r="722" s="89" customFormat="1" customHeight="1" spans="1:2">
      <c r="A722" s="158">
        <v>44363</v>
      </c>
      <c r="B722" s="168">
        <v>134280</v>
      </c>
    </row>
    <row r="723" s="89" customFormat="1" customHeight="1" spans="1:2">
      <c r="A723" s="158">
        <v>44364</v>
      </c>
      <c r="B723" s="168">
        <v>135642</v>
      </c>
    </row>
    <row r="724" s="89" customFormat="1" customHeight="1" spans="1:2">
      <c r="A724" s="158">
        <v>44365</v>
      </c>
      <c r="B724" s="168">
        <v>134449</v>
      </c>
    </row>
    <row r="725" s="89" customFormat="1" customHeight="1" spans="1:2">
      <c r="A725" s="158">
        <v>44366</v>
      </c>
      <c r="B725" s="168">
        <v>138564</v>
      </c>
    </row>
    <row r="726" s="89" customFormat="1" customHeight="1" spans="1:2">
      <c r="A726" s="158">
        <v>44367</v>
      </c>
      <c r="B726" s="168">
        <v>142159</v>
      </c>
    </row>
    <row r="727" s="89" customFormat="1" customHeight="1" spans="1:2">
      <c r="A727" s="158">
        <v>44368</v>
      </c>
      <c r="B727" s="168">
        <v>140928</v>
      </c>
    </row>
    <row r="728" s="89" customFormat="1" customHeight="1" spans="1:2">
      <c r="A728" s="158">
        <v>44369</v>
      </c>
      <c r="B728" s="168">
        <v>141672</v>
      </c>
    </row>
    <row r="729" s="89" customFormat="1" customHeight="1" spans="1:2">
      <c r="A729" s="158">
        <v>44370</v>
      </c>
      <c r="B729" s="168">
        <v>142180</v>
      </c>
    </row>
    <row r="730" s="89" customFormat="1" customHeight="1" spans="1:2">
      <c r="A730" s="158">
        <v>44371</v>
      </c>
      <c r="B730" s="168">
        <v>140963</v>
      </c>
    </row>
    <row r="731" s="89" customFormat="1" customHeight="1" spans="1:2">
      <c r="A731" s="158">
        <v>44372</v>
      </c>
      <c r="B731" s="168">
        <v>141751</v>
      </c>
    </row>
    <row r="732" s="89" customFormat="1" customHeight="1" spans="1:2">
      <c r="A732" s="158">
        <v>44373</v>
      </c>
      <c r="B732" s="168">
        <v>143337</v>
      </c>
    </row>
    <row r="733" s="89" customFormat="1" customHeight="1" spans="1:2">
      <c r="A733" s="158">
        <v>44374</v>
      </c>
      <c r="B733" s="168">
        <v>142411</v>
      </c>
    </row>
    <row r="734" s="89" customFormat="1" customHeight="1" spans="1:2">
      <c r="A734" s="158">
        <v>44375</v>
      </c>
      <c r="B734" s="168">
        <v>141015</v>
      </c>
    </row>
    <row r="735" s="89" customFormat="1" customHeight="1" spans="1:2">
      <c r="A735" s="158">
        <v>44376</v>
      </c>
      <c r="B735" s="168">
        <v>139863</v>
      </c>
    </row>
    <row r="736" s="89" customFormat="1" customHeight="1" spans="1:2">
      <c r="A736" s="158">
        <v>44377</v>
      </c>
      <c r="B736" s="168">
        <v>138293</v>
      </c>
    </row>
    <row r="737" s="89" customFormat="1" customHeight="1" spans="1:2">
      <c r="A737" s="158">
        <v>44378</v>
      </c>
      <c r="B737" s="168">
        <v>138875</v>
      </c>
    </row>
    <row r="738" s="89" customFormat="1" customHeight="1" spans="1:2">
      <c r="A738" s="158">
        <v>44379</v>
      </c>
      <c r="B738" s="168">
        <v>140025</v>
      </c>
    </row>
    <row r="739" s="89" customFormat="1" customHeight="1" spans="1:2">
      <c r="A739" s="158">
        <v>44380</v>
      </c>
      <c r="B739" s="168">
        <v>141614</v>
      </c>
    </row>
    <row r="740" s="89" customFormat="1" customHeight="1" spans="1:2">
      <c r="A740" s="158">
        <v>44381</v>
      </c>
      <c r="B740" s="168">
        <v>142306</v>
      </c>
    </row>
    <row r="741" s="89" customFormat="1" customHeight="1" spans="1:2">
      <c r="A741" s="158">
        <v>44382</v>
      </c>
      <c r="B741" s="168">
        <v>139150</v>
      </c>
    </row>
    <row r="742" s="89" customFormat="1" customHeight="1" spans="1:2">
      <c r="A742" s="158">
        <v>44383</v>
      </c>
      <c r="B742" s="168">
        <v>137396</v>
      </c>
    </row>
    <row r="743" s="89" customFormat="1" customHeight="1" spans="1:2">
      <c r="A743" s="158">
        <v>44384</v>
      </c>
      <c r="B743" s="168">
        <v>135725</v>
      </c>
    </row>
    <row r="744" s="89" customFormat="1" customHeight="1" spans="1:2">
      <c r="A744" s="158">
        <v>44385</v>
      </c>
      <c r="B744" s="168">
        <v>134251</v>
      </c>
    </row>
    <row r="745" s="89" customFormat="1" customHeight="1" spans="1:2">
      <c r="A745" s="158">
        <v>44386</v>
      </c>
      <c r="B745" s="168">
        <v>133960</v>
      </c>
    </row>
    <row r="746" s="89" customFormat="1" customHeight="1" spans="1:2">
      <c r="A746" s="158">
        <v>44387</v>
      </c>
      <c r="B746" s="168">
        <v>136222</v>
      </c>
    </row>
    <row r="747" s="89" customFormat="1" customHeight="1" spans="1:2">
      <c r="A747" s="158">
        <v>44388</v>
      </c>
      <c r="B747" s="168">
        <v>137516</v>
      </c>
    </row>
    <row r="748" s="89" customFormat="1" customHeight="1" spans="1:2">
      <c r="A748" s="158">
        <v>44389</v>
      </c>
      <c r="B748" s="168">
        <v>137663</v>
      </c>
    </row>
    <row r="749" s="89" customFormat="1" customHeight="1" spans="1:2">
      <c r="A749" s="158">
        <v>44390</v>
      </c>
      <c r="B749" s="168">
        <v>135819</v>
      </c>
    </row>
    <row r="750" s="89" customFormat="1" customHeight="1" spans="1:2">
      <c r="A750" s="158">
        <v>44391</v>
      </c>
      <c r="B750" s="168">
        <v>135516</v>
      </c>
    </row>
    <row r="751" s="89" customFormat="1" customHeight="1" spans="1:2">
      <c r="A751" s="158">
        <v>44392</v>
      </c>
      <c r="B751" s="168">
        <v>135333</v>
      </c>
    </row>
    <row r="752" s="89" customFormat="1" customHeight="1" spans="1:2">
      <c r="A752" s="158">
        <v>44393</v>
      </c>
      <c r="B752" s="168">
        <v>135959</v>
      </c>
    </row>
    <row r="753" s="89" customFormat="1" customHeight="1" spans="1:2">
      <c r="A753" s="158">
        <v>44394</v>
      </c>
      <c r="B753" s="168">
        <v>137875</v>
      </c>
    </row>
    <row r="754" s="89" customFormat="1" customHeight="1" spans="1:2">
      <c r="A754" s="158">
        <v>44395</v>
      </c>
      <c r="B754" s="168">
        <v>137066</v>
      </c>
    </row>
    <row r="755" s="89" customFormat="1" customHeight="1" spans="1:2">
      <c r="A755" s="158">
        <v>44396</v>
      </c>
      <c r="B755" s="168">
        <v>136360</v>
      </c>
    </row>
    <row r="756" s="89" customFormat="1" customHeight="1" spans="1:2">
      <c r="A756" s="158">
        <v>44397</v>
      </c>
      <c r="B756" s="168">
        <v>136706</v>
      </c>
    </row>
    <row r="757" s="89" customFormat="1" customHeight="1" spans="1:2">
      <c r="A757" s="158">
        <v>44398</v>
      </c>
      <c r="B757" s="168">
        <v>134846</v>
      </c>
    </row>
    <row r="758" s="89" customFormat="1" customHeight="1" spans="1:2">
      <c r="A758" s="158">
        <v>44399</v>
      </c>
      <c r="B758" s="168">
        <v>140302</v>
      </c>
    </row>
    <row r="759" s="89" customFormat="1" customHeight="1" spans="1:2">
      <c r="A759" s="158">
        <v>44400</v>
      </c>
      <c r="B759" s="168">
        <v>142348</v>
      </c>
    </row>
    <row r="760" s="89" customFormat="1" customHeight="1" spans="1:2">
      <c r="A760" s="158">
        <v>44401</v>
      </c>
      <c r="B760" s="168">
        <v>150992</v>
      </c>
    </row>
    <row r="761" s="89" customFormat="1" customHeight="1" spans="1:2">
      <c r="A761" s="158">
        <v>44402</v>
      </c>
      <c r="B761" s="168">
        <v>152506</v>
      </c>
    </row>
    <row r="762" s="89" customFormat="1" customHeight="1" spans="1:2">
      <c r="A762" s="158">
        <v>44403</v>
      </c>
      <c r="B762" s="168">
        <v>151368</v>
      </c>
    </row>
    <row r="763" s="89" customFormat="1" customHeight="1" spans="1:2">
      <c r="A763" s="158">
        <v>44404</v>
      </c>
      <c r="B763" s="168">
        <v>151419</v>
      </c>
    </row>
    <row r="764" s="89" customFormat="1" customHeight="1" spans="1:2">
      <c r="A764" s="158">
        <v>44405</v>
      </c>
      <c r="B764" s="168">
        <v>151793</v>
      </c>
    </row>
    <row r="765" s="89" customFormat="1" customHeight="1" spans="1:2">
      <c r="A765" s="158">
        <v>44406</v>
      </c>
      <c r="B765" s="168">
        <v>152896</v>
      </c>
    </row>
    <row r="766" s="89" customFormat="1" customHeight="1" spans="1:2">
      <c r="A766" s="158">
        <v>44407</v>
      </c>
      <c r="B766" s="168">
        <v>151644</v>
      </c>
    </row>
    <row r="767" s="89" customFormat="1" customHeight="1" spans="1:2">
      <c r="A767" s="158">
        <v>44408</v>
      </c>
      <c r="B767" s="168">
        <v>155267</v>
      </c>
    </row>
    <row r="768" s="89" customFormat="1" customHeight="1" spans="1:2">
      <c r="A768" s="158">
        <v>44409</v>
      </c>
      <c r="B768" s="168">
        <v>155940</v>
      </c>
    </row>
    <row r="769" s="89" customFormat="1" customHeight="1" spans="1:2">
      <c r="A769" s="158">
        <v>44410</v>
      </c>
      <c r="B769" s="168">
        <v>154484</v>
      </c>
    </row>
    <row r="770" s="89" customFormat="1" customHeight="1" spans="1:2">
      <c r="A770" s="158">
        <v>44411</v>
      </c>
      <c r="B770" s="168">
        <v>153655</v>
      </c>
    </row>
    <row r="771" s="89" customFormat="1" customHeight="1" spans="1:2">
      <c r="A771" s="158">
        <v>44412</v>
      </c>
      <c r="B771" s="168">
        <v>155119</v>
      </c>
    </row>
    <row r="772" s="89" customFormat="1" customHeight="1" spans="1:2">
      <c r="A772" s="158">
        <v>44413</v>
      </c>
      <c r="B772" s="168">
        <v>154711</v>
      </c>
    </row>
    <row r="773" s="89" customFormat="1" customHeight="1" spans="1:2">
      <c r="A773" s="158">
        <v>44414</v>
      </c>
      <c r="B773" s="168">
        <v>154055</v>
      </c>
    </row>
    <row r="774" s="89" customFormat="1" customHeight="1" spans="1:2">
      <c r="A774" s="158">
        <v>44415</v>
      </c>
      <c r="B774" s="168">
        <v>151759</v>
      </c>
    </row>
    <row r="775" s="89" customFormat="1" customHeight="1" spans="1:2">
      <c r="A775" s="158">
        <v>44416</v>
      </c>
      <c r="B775" s="168">
        <v>151861</v>
      </c>
    </row>
    <row r="776" s="89" customFormat="1" customHeight="1" spans="1:2">
      <c r="A776" s="158">
        <v>44417</v>
      </c>
      <c r="B776" s="168">
        <v>151933</v>
      </c>
    </row>
    <row r="777" s="89" customFormat="1" customHeight="1" spans="1:2">
      <c r="A777" s="158">
        <v>44418</v>
      </c>
      <c r="B777" s="168">
        <v>151250</v>
      </c>
    </row>
    <row r="778" s="89" customFormat="1" customHeight="1" spans="1:2">
      <c r="A778" s="158">
        <v>44419</v>
      </c>
      <c r="B778" s="168">
        <v>150379</v>
      </c>
    </row>
    <row r="779" s="89" customFormat="1" customHeight="1" spans="1:2">
      <c r="A779" s="158">
        <v>44420</v>
      </c>
      <c r="B779" s="168">
        <v>149264</v>
      </c>
    </row>
    <row r="780" s="89" customFormat="1" customHeight="1" spans="1:2">
      <c r="A780" s="158">
        <v>44421</v>
      </c>
      <c r="B780" s="168">
        <v>148460</v>
      </c>
    </row>
    <row r="781" s="89" customFormat="1" customHeight="1" spans="1:2">
      <c r="A781" s="158">
        <v>44422</v>
      </c>
      <c r="B781" s="168">
        <v>149656</v>
      </c>
    </row>
    <row r="782" s="89" customFormat="1" customHeight="1" spans="1:2">
      <c r="A782" s="158">
        <v>44423</v>
      </c>
      <c r="B782" s="168">
        <v>150373</v>
      </c>
    </row>
    <row r="783" s="89" customFormat="1" customHeight="1" spans="1:2">
      <c r="A783" s="158">
        <v>44424</v>
      </c>
      <c r="B783" s="168">
        <v>149840</v>
      </c>
    </row>
    <row r="784" s="89" customFormat="1" customHeight="1" spans="1:2">
      <c r="A784" s="158">
        <v>44425</v>
      </c>
      <c r="B784" s="168">
        <v>150971</v>
      </c>
    </row>
    <row r="785" s="89" customFormat="1" customHeight="1" spans="1:2">
      <c r="A785" s="158">
        <v>44426</v>
      </c>
      <c r="B785" s="168">
        <v>151389</v>
      </c>
    </row>
    <row r="786" s="89" customFormat="1" customHeight="1" spans="1:2">
      <c r="A786" s="158">
        <v>44427</v>
      </c>
      <c r="B786" s="168">
        <v>151825</v>
      </c>
    </row>
    <row r="787" s="89" customFormat="1" customHeight="1" spans="1:2">
      <c r="A787" s="158">
        <v>44428</v>
      </c>
      <c r="B787" s="168">
        <v>152642</v>
      </c>
    </row>
    <row r="788" s="89" customFormat="1" customHeight="1" spans="1:2">
      <c r="A788" s="158">
        <v>44429</v>
      </c>
      <c r="B788" s="168">
        <v>159349</v>
      </c>
    </row>
    <row r="789" s="89" customFormat="1" customHeight="1" spans="1:2">
      <c r="A789" s="158">
        <v>44430</v>
      </c>
      <c r="B789" s="168">
        <v>153963</v>
      </c>
    </row>
    <row r="790" s="89" customFormat="1" customHeight="1" spans="1:2">
      <c r="A790" s="158">
        <v>44431</v>
      </c>
      <c r="B790" s="168">
        <v>152091</v>
      </c>
    </row>
    <row r="791" s="89" customFormat="1" customHeight="1" spans="1:2">
      <c r="A791" s="158">
        <v>44432</v>
      </c>
      <c r="B791" s="168">
        <v>150995</v>
      </c>
    </row>
    <row r="792" s="89" customFormat="1" customHeight="1" spans="1:2">
      <c r="A792" s="158">
        <v>44433</v>
      </c>
      <c r="B792" s="168">
        <v>152706</v>
      </c>
    </row>
    <row r="793" s="89" customFormat="1" customHeight="1" spans="1:2">
      <c r="A793" s="158">
        <v>44434</v>
      </c>
      <c r="B793" s="168">
        <v>152771</v>
      </c>
    </row>
    <row r="794" s="89" customFormat="1" customHeight="1" spans="1:2">
      <c r="A794" s="158">
        <v>44435</v>
      </c>
      <c r="B794" s="168">
        <v>152272</v>
      </c>
    </row>
    <row r="795" s="89" customFormat="1" customHeight="1" spans="1:2">
      <c r="A795" s="158">
        <v>44436</v>
      </c>
      <c r="B795" s="168">
        <v>153848</v>
      </c>
    </row>
    <row r="796" s="89" customFormat="1" customHeight="1" spans="1:2">
      <c r="A796" s="158">
        <v>44437</v>
      </c>
      <c r="B796" s="168">
        <v>153056</v>
      </c>
    </row>
    <row r="797" s="89" customFormat="1" customHeight="1" spans="1:2">
      <c r="A797" s="158">
        <v>44438</v>
      </c>
      <c r="B797" s="168">
        <v>153514</v>
      </c>
    </row>
    <row r="798" s="89" customFormat="1" customHeight="1" spans="1:2">
      <c r="A798" s="158">
        <v>44439</v>
      </c>
      <c r="B798" s="168">
        <v>153096</v>
      </c>
    </row>
    <row r="799" s="89" customFormat="1" customHeight="1" spans="1:2">
      <c r="A799" s="158">
        <v>44440</v>
      </c>
      <c r="B799" s="168">
        <v>151985</v>
      </c>
    </row>
    <row r="800" s="89" customFormat="1" customHeight="1" spans="1:2">
      <c r="A800" s="158">
        <v>44441</v>
      </c>
      <c r="B800" s="168">
        <v>152185</v>
      </c>
    </row>
    <row r="801" s="89" customFormat="1" customHeight="1" spans="1:2">
      <c r="A801" s="158">
        <v>44442</v>
      </c>
      <c r="B801" s="168">
        <v>153169</v>
      </c>
    </row>
    <row r="802" s="89" customFormat="1" customHeight="1" spans="1:2">
      <c r="A802" s="158">
        <v>44443</v>
      </c>
      <c r="B802" s="168">
        <v>155415</v>
      </c>
    </row>
    <row r="803" s="89" customFormat="1" customHeight="1" spans="1:2">
      <c r="A803" s="158">
        <v>44444</v>
      </c>
      <c r="B803" s="168">
        <v>154938</v>
      </c>
    </row>
    <row r="804" s="89" customFormat="1" customHeight="1" spans="1:2">
      <c r="A804" s="158">
        <v>44445</v>
      </c>
      <c r="B804" s="168">
        <v>154174</v>
      </c>
    </row>
    <row r="805" s="89" customFormat="1" customHeight="1" spans="1:2">
      <c r="A805" s="158">
        <v>44446</v>
      </c>
      <c r="B805" s="168">
        <v>155465</v>
      </c>
    </row>
    <row r="806" s="89" customFormat="1" customHeight="1" spans="1:2">
      <c r="A806" s="158">
        <v>44447</v>
      </c>
      <c r="B806" s="168">
        <v>160462</v>
      </c>
    </row>
    <row r="807" s="89" customFormat="1" customHeight="1" spans="1:2">
      <c r="A807" s="158">
        <v>44448</v>
      </c>
      <c r="B807" s="168">
        <v>161611</v>
      </c>
    </row>
    <row r="808" s="89" customFormat="1" customHeight="1" spans="1:2">
      <c r="A808" s="158">
        <v>44449</v>
      </c>
      <c r="B808" s="168">
        <v>162754</v>
      </c>
    </row>
    <row r="809" s="89" customFormat="1" customHeight="1" spans="1:2">
      <c r="A809" s="158">
        <v>44450</v>
      </c>
      <c r="B809" s="168">
        <v>163419</v>
      </c>
    </row>
    <row r="810" s="89" customFormat="1" customHeight="1" spans="1:2">
      <c r="A810" s="158">
        <v>44451</v>
      </c>
      <c r="B810" s="168">
        <v>163600</v>
      </c>
    </row>
    <row r="811" s="89" customFormat="1" customHeight="1" spans="1:2">
      <c r="A811" s="158">
        <v>44452</v>
      </c>
      <c r="B811" s="168">
        <v>164908</v>
      </c>
    </row>
    <row r="812" s="89" customFormat="1" customHeight="1" spans="1:2">
      <c r="A812" s="158">
        <v>44453</v>
      </c>
      <c r="B812" s="168">
        <v>166633</v>
      </c>
    </row>
    <row r="813" s="89" customFormat="1" customHeight="1" spans="1:2">
      <c r="A813" s="158">
        <v>44454</v>
      </c>
      <c r="B813" s="168">
        <v>167715</v>
      </c>
    </row>
    <row r="814" s="89" customFormat="1" customHeight="1" spans="1:2">
      <c r="A814" s="158">
        <v>44455</v>
      </c>
      <c r="B814" s="168">
        <v>170944</v>
      </c>
    </row>
    <row r="815" s="89" customFormat="1" customHeight="1" spans="1:2">
      <c r="A815" s="158">
        <v>44456</v>
      </c>
      <c r="B815" s="168">
        <v>173296</v>
      </c>
    </row>
    <row r="816" s="89" customFormat="1" customHeight="1" spans="1:2">
      <c r="A816" s="158">
        <v>44457</v>
      </c>
      <c r="B816" s="168">
        <v>187790</v>
      </c>
    </row>
    <row r="817" s="89" customFormat="1" customHeight="1" spans="1:2">
      <c r="A817" s="158">
        <v>44458</v>
      </c>
      <c r="B817" s="168">
        <v>211983</v>
      </c>
    </row>
    <row r="818" s="89" customFormat="1" customHeight="1" spans="1:2">
      <c r="A818" s="158">
        <v>44459</v>
      </c>
      <c r="B818" s="168">
        <v>197240</v>
      </c>
    </row>
    <row r="819" s="89" customFormat="1" customHeight="1" spans="1:2">
      <c r="A819" s="158">
        <v>44460</v>
      </c>
      <c r="B819" s="168">
        <v>184064</v>
      </c>
    </row>
    <row r="820" s="89" customFormat="1" customHeight="1" spans="1:2">
      <c r="A820" s="158">
        <v>44461</v>
      </c>
      <c r="B820" s="168">
        <v>169167</v>
      </c>
    </row>
    <row r="821" s="89" customFormat="1" customHeight="1" spans="1:2">
      <c r="A821" s="158">
        <v>44462</v>
      </c>
      <c r="B821" s="168">
        <v>166757</v>
      </c>
    </row>
    <row r="822" s="89" customFormat="1" customHeight="1" spans="1:2">
      <c r="A822" s="158">
        <v>44463</v>
      </c>
      <c r="B822" s="168">
        <v>165966</v>
      </c>
    </row>
    <row r="823" s="89" customFormat="1" customHeight="1" spans="1:2">
      <c r="A823" s="158">
        <v>44464</v>
      </c>
      <c r="B823" s="168">
        <v>165879</v>
      </c>
    </row>
    <row r="824" s="89" customFormat="1" customHeight="1" spans="1:2">
      <c r="A824" s="158">
        <v>44465</v>
      </c>
      <c r="B824" s="168">
        <v>165303</v>
      </c>
    </row>
    <row r="825" s="89" customFormat="1" customHeight="1" spans="1:2">
      <c r="A825" s="158">
        <v>44466</v>
      </c>
      <c r="B825" s="168">
        <v>173843</v>
      </c>
    </row>
    <row r="826" s="89" customFormat="1" customHeight="1" spans="1:2">
      <c r="A826" s="158">
        <v>44467</v>
      </c>
      <c r="B826" s="168">
        <v>175430</v>
      </c>
    </row>
    <row r="827" s="89" customFormat="1" customHeight="1" spans="1:2">
      <c r="A827" s="158">
        <v>44468</v>
      </c>
      <c r="B827" s="168">
        <v>188885</v>
      </c>
    </row>
    <row r="828" s="89" customFormat="1" customHeight="1" spans="1:2">
      <c r="A828" s="158">
        <v>44469</v>
      </c>
      <c r="B828" s="168">
        <v>190516</v>
      </c>
    </row>
    <row r="829" s="89" customFormat="1" customHeight="1" spans="1:2">
      <c r="A829" s="158">
        <v>44470</v>
      </c>
      <c r="B829" s="168">
        <v>177558</v>
      </c>
    </row>
    <row r="830" s="89" customFormat="1" customHeight="1" spans="1:2">
      <c r="A830" s="158">
        <v>44471</v>
      </c>
      <c r="B830" s="168">
        <v>168562</v>
      </c>
    </row>
    <row r="831" s="89" customFormat="1" customHeight="1" spans="1:2">
      <c r="A831" s="158">
        <v>44472</v>
      </c>
      <c r="B831" s="168">
        <v>170076</v>
      </c>
    </row>
    <row r="832" s="89" customFormat="1" customHeight="1" spans="1:2">
      <c r="A832" s="158">
        <v>44473</v>
      </c>
      <c r="B832" s="168">
        <v>172503</v>
      </c>
    </row>
    <row r="833" s="89" customFormat="1" customHeight="1" spans="1:2">
      <c r="A833" s="158">
        <v>44474</v>
      </c>
      <c r="B833" s="168">
        <v>178569</v>
      </c>
    </row>
    <row r="834" s="89" customFormat="1" customHeight="1" spans="1:2">
      <c r="A834" s="158">
        <v>44475</v>
      </c>
      <c r="B834" s="168">
        <v>182584</v>
      </c>
    </row>
    <row r="835" s="89" customFormat="1" customHeight="1" spans="1:2">
      <c r="A835" s="158">
        <v>44476</v>
      </c>
      <c r="B835" s="168">
        <v>185351</v>
      </c>
    </row>
    <row r="836" s="89" customFormat="1" customHeight="1" spans="1:2">
      <c r="A836" s="158">
        <v>44477</v>
      </c>
      <c r="B836" s="168">
        <v>184271</v>
      </c>
    </row>
    <row r="837" s="89" customFormat="1" customHeight="1" spans="1:2">
      <c r="A837" s="158">
        <v>44478</v>
      </c>
      <c r="B837" s="168">
        <v>186866</v>
      </c>
    </row>
    <row r="838" s="89" customFormat="1" customHeight="1" spans="1:2">
      <c r="A838" s="158">
        <v>44479</v>
      </c>
      <c r="B838" s="168">
        <v>188341</v>
      </c>
    </row>
    <row r="839" s="89" customFormat="1" customHeight="1" spans="1:2">
      <c r="A839" s="158">
        <v>44480</v>
      </c>
      <c r="B839" s="168">
        <v>188304</v>
      </c>
    </row>
    <row r="840" s="89" customFormat="1" customHeight="1" spans="1:2">
      <c r="A840" s="158">
        <v>44481</v>
      </c>
      <c r="B840" s="168">
        <v>189894</v>
      </c>
    </row>
    <row r="841" s="89" customFormat="1" customHeight="1" spans="1:2">
      <c r="A841" s="158">
        <v>44482</v>
      </c>
      <c r="B841" s="168">
        <v>194153</v>
      </c>
    </row>
    <row r="842" s="89" customFormat="1" customHeight="1" spans="1:2">
      <c r="A842" s="158">
        <v>44483</v>
      </c>
      <c r="B842" s="168">
        <v>194977</v>
      </c>
    </row>
    <row r="843" s="89" customFormat="1" customHeight="1" spans="1:2">
      <c r="A843" s="158">
        <v>44484</v>
      </c>
      <c r="B843" s="168">
        <v>196212</v>
      </c>
    </row>
    <row r="844" s="89" customFormat="1" customHeight="1" spans="1:2">
      <c r="A844" s="158">
        <v>44485</v>
      </c>
      <c r="B844" s="168">
        <v>196736</v>
      </c>
    </row>
    <row r="845" s="89" customFormat="1" customHeight="1" spans="1:2">
      <c r="A845" s="158">
        <v>44486</v>
      </c>
      <c r="B845" s="168">
        <v>197241</v>
      </c>
    </row>
    <row r="846" s="89" customFormat="1" customHeight="1" spans="1:2">
      <c r="A846" s="158">
        <v>44487</v>
      </c>
      <c r="B846" s="168">
        <v>197271</v>
      </c>
    </row>
    <row r="847" s="89" customFormat="1" customHeight="1" spans="1:2">
      <c r="A847" s="158">
        <v>44488</v>
      </c>
      <c r="B847" s="168">
        <v>196599</v>
      </c>
    </row>
    <row r="848" s="89" customFormat="1" customHeight="1" spans="1:2">
      <c r="A848" s="158">
        <v>44489</v>
      </c>
      <c r="B848" s="170">
        <v>194295</v>
      </c>
    </row>
    <row r="849" s="89" customFormat="1" customHeight="1" spans="1:2">
      <c r="A849" s="158">
        <v>44490</v>
      </c>
      <c r="B849" s="168">
        <v>191369</v>
      </c>
    </row>
    <row r="850" s="89" customFormat="1" customHeight="1" spans="1:2">
      <c r="A850" s="158">
        <v>44491</v>
      </c>
      <c r="B850" s="168">
        <v>186086</v>
      </c>
    </row>
    <row r="851" s="89" customFormat="1" customHeight="1" spans="1:2">
      <c r="A851" s="158">
        <v>44492</v>
      </c>
      <c r="B851" s="168">
        <v>186709</v>
      </c>
    </row>
    <row r="852" s="89" customFormat="1" customHeight="1" spans="1:2">
      <c r="A852" s="158">
        <v>44493</v>
      </c>
      <c r="B852" s="168">
        <v>187711</v>
      </c>
    </row>
    <row r="853" s="89" customFormat="1" customHeight="1" spans="1:2">
      <c r="A853" s="158">
        <v>44494</v>
      </c>
      <c r="B853" s="168">
        <v>186627</v>
      </c>
    </row>
    <row r="854" s="89" customFormat="1" customHeight="1" spans="1:2">
      <c r="A854" s="158">
        <v>44495</v>
      </c>
      <c r="B854" s="168">
        <v>181144</v>
      </c>
    </row>
    <row r="855" s="89" customFormat="1" customHeight="1" spans="1:2">
      <c r="A855" s="158">
        <v>44496</v>
      </c>
      <c r="B855" s="168">
        <v>180882</v>
      </c>
    </row>
    <row r="856" s="89" customFormat="1" customHeight="1" spans="1:2">
      <c r="A856" s="158">
        <v>44497</v>
      </c>
      <c r="B856" s="170">
        <v>183411</v>
      </c>
    </row>
    <row r="857" s="89" customFormat="1" customHeight="1" spans="1:2">
      <c r="A857" s="158">
        <v>44498</v>
      </c>
      <c r="B857" s="168">
        <v>183620</v>
      </c>
    </row>
    <row r="858" s="89" customFormat="1" customHeight="1" spans="1:2">
      <c r="A858" s="158">
        <v>44499</v>
      </c>
      <c r="B858" s="168">
        <v>183662</v>
      </c>
    </row>
    <row r="859" s="89" customFormat="1" customHeight="1" spans="1:2">
      <c r="A859" s="158">
        <v>44500</v>
      </c>
      <c r="B859" s="168">
        <v>183239</v>
      </c>
    </row>
    <row r="860" s="89" customFormat="1" customHeight="1" spans="1:2">
      <c r="A860" s="158">
        <v>44501</v>
      </c>
      <c r="B860" s="168">
        <v>181575</v>
      </c>
    </row>
    <row r="861" s="89" customFormat="1" customHeight="1" spans="1:2">
      <c r="A861" s="158">
        <v>44502</v>
      </c>
      <c r="B861" s="168">
        <v>180335</v>
      </c>
    </row>
    <row r="862" s="89" customFormat="1" customHeight="1" spans="1:2">
      <c r="A862" s="158">
        <v>44503</v>
      </c>
      <c r="B862" s="168">
        <v>180438</v>
      </c>
    </row>
    <row r="863" s="89" customFormat="1" customHeight="1" spans="1:2">
      <c r="A863" s="158">
        <v>44504</v>
      </c>
      <c r="B863" s="168">
        <v>180604</v>
      </c>
    </row>
    <row r="864" s="89" customFormat="1" customHeight="1" spans="1:2">
      <c r="A864" s="158">
        <v>44505</v>
      </c>
      <c r="B864" s="168">
        <v>184080</v>
      </c>
    </row>
    <row r="865" s="89" customFormat="1" customHeight="1" spans="1:2">
      <c r="A865" s="158">
        <v>44506</v>
      </c>
      <c r="B865" s="168">
        <v>185805</v>
      </c>
    </row>
    <row r="866" s="89" customFormat="1" customHeight="1" spans="1:2">
      <c r="A866" s="158">
        <v>44507</v>
      </c>
      <c r="B866" s="168">
        <v>185044</v>
      </c>
    </row>
    <row r="867" s="89" customFormat="1" customHeight="1" spans="1:2">
      <c r="A867" s="158">
        <v>44508</v>
      </c>
      <c r="B867" s="168">
        <v>184880</v>
      </c>
    </row>
    <row r="868" s="89" customFormat="1" customHeight="1" spans="1:2">
      <c r="A868" s="158">
        <v>44509</v>
      </c>
      <c r="B868" s="168">
        <v>175590</v>
      </c>
    </row>
    <row r="869" s="89" customFormat="1" customHeight="1" spans="1:2">
      <c r="A869" s="158">
        <v>44510</v>
      </c>
      <c r="B869" s="168">
        <v>173916</v>
      </c>
    </row>
    <row r="870" s="89" customFormat="1" customHeight="1" spans="1:2">
      <c r="A870" s="158">
        <v>44511</v>
      </c>
      <c r="B870" s="168">
        <v>178162</v>
      </c>
    </row>
    <row r="871" s="89" customFormat="1" customHeight="1" spans="1:2">
      <c r="A871" s="158">
        <v>44512</v>
      </c>
      <c r="B871" s="168">
        <v>181821</v>
      </c>
    </row>
    <row r="872" s="89" customFormat="1" customHeight="1" spans="1:2">
      <c r="A872" s="158">
        <v>44513</v>
      </c>
      <c r="B872" s="168">
        <v>183472</v>
      </c>
    </row>
    <row r="873" s="89" customFormat="1" customHeight="1" spans="1:2">
      <c r="A873" s="158">
        <v>44514</v>
      </c>
      <c r="B873" s="168">
        <v>185252</v>
      </c>
    </row>
    <row r="874" s="89" customFormat="1" customHeight="1" spans="1:2">
      <c r="A874" s="158">
        <v>44515</v>
      </c>
      <c r="B874" s="168">
        <v>183033</v>
      </c>
    </row>
    <row r="875" s="89" customFormat="1" customHeight="1" spans="1:2">
      <c r="A875" s="158">
        <v>44516</v>
      </c>
      <c r="B875" s="168">
        <v>179225</v>
      </c>
    </row>
    <row r="876" s="89" customFormat="1" customHeight="1" spans="1:2">
      <c r="A876" s="158">
        <v>44517</v>
      </c>
      <c r="B876" s="168">
        <v>179220</v>
      </c>
    </row>
    <row r="877" s="89" customFormat="1" customHeight="1" spans="1:2">
      <c r="A877" s="158">
        <v>44518</v>
      </c>
      <c r="B877" s="168">
        <v>179066</v>
      </c>
    </row>
    <row r="878" s="89" customFormat="1" customHeight="1" spans="1:2">
      <c r="A878" s="158">
        <v>44519</v>
      </c>
      <c r="B878" s="168">
        <v>178729</v>
      </c>
    </row>
    <row r="879" s="89" customFormat="1" customHeight="1" spans="1:2">
      <c r="A879" s="158">
        <v>44520</v>
      </c>
      <c r="B879" s="168">
        <v>180713</v>
      </c>
    </row>
    <row r="880" s="89" customFormat="1" customHeight="1" spans="1:2">
      <c r="A880" s="158">
        <v>44521</v>
      </c>
      <c r="B880" s="168">
        <v>181588</v>
      </c>
    </row>
    <row r="881" s="89" customFormat="1" customHeight="1" spans="1:2">
      <c r="A881" s="158">
        <v>44522</v>
      </c>
      <c r="B881" s="168">
        <v>181212</v>
      </c>
    </row>
    <row r="882" s="89" customFormat="1" customHeight="1" spans="1:2">
      <c r="A882" s="158">
        <v>44523</v>
      </c>
      <c r="B882" s="168">
        <v>178962</v>
      </c>
    </row>
    <row r="883" s="89" customFormat="1" customHeight="1" spans="1:2">
      <c r="A883" s="158">
        <v>44524</v>
      </c>
      <c r="B883" s="170">
        <v>181741</v>
      </c>
    </row>
    <row r="884" s="89" customFormat="1" customHeight="1" spans="1:2">
      <c r="A884" s="158">
        <v>44525</v>
      </c>
      <c r="B884" s="168">
        <v>182628</v>
      </c>
    </row>
    <row r="885" s="89" customFormat="1" customHeight="1" spans="1:2">
      <c r="A885" s="158">
        <v>44526</v>
      </c>
      <c r="B885" s="168">
        <v>182890</v>
      </c>
    </row>
    <row r="886" s="89" customFormat="1" customHeight="1" spans="1:2">
      <c r="A886" s="158">
        <v>44527</v>
      </c>
      <c r="B886" s="168">
        <v>184957</v>
      </c>
    </row>
    <row r="887" s="89" customFormat="1" customHeight="1" spans="1:2">
      <c r="A887" s="158">
        <v>44528</v>
      </c>
      <c r="B887" s="168">
        <v>185042</v>
      </c>
    </row>
    <row r="888" s="89" customFormat="1" customHeight="1" spans="1:2">
      <c r="A888" s="158">
        <v>44529</v>
      </c>
      <c r="B888" s="168">
        <v>182975</v>
      </c>
    </row>
    <row r="889" s="89" customFormat="1" customHeight="1" spans="1:2">
      <c r="A889" s="158">
        <v>44530</v>
      </c>
      <c r="B889" s="168">
        <v>183900</v>
      </c>
    </row>
    <row r="890" s="89" customFormat="1" customHeight="1" spans="1:2">
      <c r="A890" s="158">
        <v>44531</v>
      </c>
      <c r="B890" s="168">
        <v>184849</v>
      </c>
    </row>
    <row r="891" s="89" customFormat="1" customHeight="1" spans="1:2">
      <c r="A891" s="158">
        <v>44532</v>
      </c>
      <c r="B891" s="168">
        <v>185575</v>
      </c>
    </row>
    <row r="892" s="89" customFormat="1" customHeight="1" spans="1:2">
      <c r="A892" s="158">
        <v>44533</v>
      </c>
      <c r="B892" s="168">
        <v>185765</v>
      </c>
    </row>
    <row r="893" s="89" customFormat="1" customHeight="1" spans="1:2">
      <c r="A893" s="158">
        <v>44534</v>
      </c>
      <c r="B893" s="168">
        <v>186975</v>
      </c>
    </row>
    <row r="894" s="89" customFormat="1" customHeight="1" spans="1:2">
      <c r="A894" s="158">
        <v>44535</v>
      </c>
      <c r="B894" s="168">
        <v>188433</v>
      </c>
    </row>
    <row r="895" s="89" customFormat="1" customHeight="1" spans="1:2">
      <c r="A895" s="158">
        <v>44536</v>
      </c>
      <c r="B895" s="168">
        <v>187928</v>
      </c>
    </row>
    <row r="896" s="89" customFormat="1" customHeight="1" spans="1:2">
      <c r="A896" s="158">
        <v>44537</v>
      </c>
      <c r="B896" s="168">
        <v>196518</v>
      </c>
    </row>
    <row r="897" s="89" customFormat="1" customHeight="1" spans="1:2">
      <c r="A897" s="158">
        <v>44538</v>
      </c>
      <c r="B897" s="168">
        <v>197638</v>
      </c>
    </row>
    <row r="898" s="89" customFormat="1" customHeight="1" spans="1:2">
      <c r="A898" s="158">
        <v>44539</v>
      </c>
      <c r="B898" s="168">
        <v>197854</v>
      </c>
    </row>
    <row r="899" s="89" customFormat="1" customHeight="1" spans="1:2">
      <c r="A899" s="158">
        <v>44540</v>
      </c>
      <c r="B899" s="168">
        <v>198986</v>
      </c>
    </row>
    <row r="900" s="89" customFormat="1" customHeight="1" spans="1:2">
      <c r="A900" s="158">
        <v>44541</v>
      </c>
      <c r="B900" s="168">
        <v>198596</v>
      </c>
    </row>
    <row r="901" s="89" customFormat="1" customHeight="1" spans="1:2">
      <c r="A901" s="158">
        <v>44542</v>
      </c>
      <c r="B901" s="168">
        <v>197845</v>
      </c>
    </row>
    <row r="902" s="89" customFormat="1" customHeight="1" spans="1:2">
      <c r="A902" s="158">
        <v>44543</v>
      </c>
      <c r="B902" s="168">
        <v>196663</v>
      </c>
    </row>
    <row r="903" s="89" customFormat="1" customHeight="1" spans="1:2">
      <c r="A903" s="158">
        <v>44544</v>
      </c>
      <c r="B903" s="168">
        <v>197321</v>
      </c>
    </row>
    <row r="904" s="89" customFormat="1" customHeight="1" spans="1:2">
      <c r="A904" s="158">
        <v>44545</v>
      </c>
      <c r="B904" s="168">
        <v>205599</v>
      </c>
    </row>
    <row r="905" s="89" customFormat="1" customHeight="1" spans="1:2">
      <c r="A905" s="158">
        <v>44546</v>
      </c>
      <c r="B905" s="168">
        <v>203510</v>
      </c>
    </row>
    <row r="906" s="89" customFormat="1" customHeight="1" spans="1:2">
      <c r="A906" s="158">
        <v>44547</v>
      </c>
      <c r="B906" s="168">
        <v>206761</v>
      </c>
    </row>
    <row r="907" s="89" customFormat="1" customHeight="1" spans="1:2">
      <c r="A907" s="158">
        <v>44548</v>
      </c>
      <c r="B907" s="168">
        <v>213547</v>
      </c>
    </row>
    <row r="908" s="89" customFormat="1" customHeight="1" spans="1:2">
      <c r="A908" s="158">
        <v>44549</v>
      </c>
      <c r="B908" s="168">
        <v>218918</v>
      </c>
    </row>
    <row r="909" s="89" customFormat="1" customHeight="1" spans="1:2">
      <c r="A909" s="158">
        <v>44550</v>
      </c>
      <c r="B909" s="168">
        <v>226015</v>
      </c>
    </row>
    <row r="910" s="89" customFormat="1" customHeight="1" spans="1:2">
      <c r="A910" s="158">
        <v>44551</v>
      </c>
      <c r="B910" s="168">
        <v>224434</v>
      </c>
    </row>
    <row r="911" s="89" customFormat="1" customHeight="1" spans="1:2">
      <c r="A911" s="158">
        <v>44552</v>
      </c>
      <c r="B911" s="168">
        <v>210530</v>
      </c>
    </row>
    <row r="912" s="89" customFormat="1" customHeight="1" spans="1:2">
      <c r="A912" s="158">
        <v>44553</v>
      </c>
      <c r="B912" s="168">
        <v>208448</v>
      </c>
    </row>
    <row r="913" s="89" customFormat="1" customHeight="1" spans="1:2">
      <c r="A913" s="158">
        <v>44554</v>
      </c>
      <c r="B913" s="168">
        <v>208284</v>
      </c>
    </row>
    <row r="914" s="89" customFormat="1" customHeight="1" spans="1:2">
      <c r="A914" s="158">
        <v>44555</v>
      </c>
      <c r="B914" s="168">
        <v>212446</v>
      </c>
    </row>
    <row r="915" s="89" customFormat="1" customHeight="1" spans="1:2">
      <c r="A915" s="158">
        <v>44556</v>
      </c>
      <c r="B915" s="168">
        <v>215220</v>
      </c>
    </row>
    <row r="916" s="89" customFormat="1" customHeight="1" spans="1:2">
      <c r="A916" s="158">
        <v>44557</v>
      </c>
      <c r="B916" s="168">
        <v>215029</v>
      </c>
    </row>
    <row r="917" s="89" customFormat="1" customHeight="1" spans="1:2">
      <c r="A917" s="158">
        <v>44558</v>
      </c>
      <c r="B917" s="168">
        <v>220612</v>
      </c>
    </row>
    <row r="918" s="89" customFormat="1" customHeight="1" spans="1:2">
      <c r="A918" s="158">
        <v>44559</v>
      </c>
      <c r="B918" s="168">
        <v>231061</v>
      </c>
    </row>
    <row r="919" s="89" customFormat="1" customHeight="1" spans="1:2">
      <c r="A919" s="158">
        <v>44560</v>
      </c>
      <c r="B919" s="168">
        <v>243894</v>
      </c>
    </row>
    <row r="920" s="89" customFormat="1" customHeight="1" spans="1:2">
      <c r="A920" s="158">
        <v>44561</v>
      </c>
      <c r="B920" s="168">
        <v>228817</v>
      </c>
    </row>
    <row r="921" s="89" customFormat="1" customHeight="1" spans="1:2">
      <c r="A921" s="158">
        <v>44562</v>
      </c>
      <c r="B921" s="168">
        <v>224716</v>
      </c>
    </row>
    <row r="922" s="89" customFormat="1" customHeight="1" spans="1:2">
      <c r="A922" s="158">
        <v>44563</v>
      </c>
      <c r="B922" s="168">
        <v>221027</v>
      </c>
    </row>
    <row r="923" s="89" customFormat="1" customHeight="1" spans="1:2">
      <c r="A923" s="158">
        <v>44564</v>
      </c>
      <c r="B923" s="168">
        <v>214292</v>
      </c>
    </row>
    <row r="924" s="89" customFormat="1" customHeight="1" spans="1:2">
      <c r="A924" s="158">
        <v>44565</v>
      </c>
      <c r="B924" s="168">
        <v>211350</v>
      </c>
    </row>
    <row r="925" s="89" customFormat="1" customHeight="1" spans="1:2">
      <c r="A925" s="158">
        <v>44566</v>
      </c>
      <c r="B925" s="168">
        <v>212472</v>
      </c>
    </row>
    <row r="926" s="89" customFormat="1" customHeight="1" spans="1:2">
      <c r="A926" s="158">
        <v>44567</v>
      </c>
      <c r="B926" s="168">
        <v>210853</v>
      </c>
    </row>
    <row r="927" s="89" customFormat="1" customHeight="1" spans="1:2">
      <c r="A927" s="158">
        <v>44568</v>
      </c>
      <c r="B927" s="168">
        <v>208281</v>
      </c>
    </row>
    <row r="928" s="89" customFormat="1" customHeight="1" spans="1:2">
      <c r="A928" s="158">
        <v>44569</v>
      </c>
      <c r="B928" s="168">
        <v>209076</v>
      </c>
    </row>
    <row r="929" s="89" customFormat="1" customHeight="1" spans="1:2">
      <c r="A929" s="158">
        <v>44570</v>
      </c>
      <c r="B929" s="168">
        <v>211032</v>
      </c>
    </row>
    <row r="930" s="89" customFormat="1" customHeight="1" spans="1:2">
      <c r="A930" s="158">
        <v>44571</v>
      </c>
      <c r="B930" s="168">
        <v>206511</v>
      </c>
    </row>
    <row r="931" s="89" customFormat="1" customHeight="1" spans="1:2">
      <c r="A931" s="158">
        <v>44572</v>
      </c>
      <c r="B931" s="168">
        <v>202262</v>
      </c>
    </row>
    <row r="932" s="89" customFormat="1" customHeight="1" spans="1:2">
      <c r="A932" s="158">
        <v>44573</v>
      </c>
      <c r="B932" s="168">
        <v>200257</v>
      </c>
    </row>
    <row r="933" s="89" customFormat="1" customHeight="1" spans="1:2">
      <c r="A933" s="158">
        <v>44574</v>
      </c>
      <c r="B933" s="168">
        <v>204827</v>
      </c>
    </row>
    <row r="934" s="89" customFormat="1" customHeight="1" spans="1:2">
      <c r="A934" s="158">
        <v>44575</v>
      </c>
      <c r="B934" s="168">
        <v>217409</v>
      </c>
    </row>
    <row r="935" s="89" customFormat="1" customHeight="1" spans="1:2">
      <c r="A935" s="158">
        <v>44576</v>
      </c>
      <c r="B935" s="168">
        <v>219318</v>
      </c>
    </row>
    <row r="936" s="89" customFormat="1" customHeight="1" spans="1:2">
      <c r="A936" s="158">
        <v>44577</v>
      </c>
      <c r="B936" s="168">
        <v>222447</v>
      </c>
    </row>
    <row r="937" s="89" customFormat="1" customHeight="1" spans="1:2">
      <c r="A937" s="158">
        <v>44578</v>
      </c>
      <c r="B937" s="168">
        <v>223399</v>
      </c>
    </row>
    <row r="938" s="89" customFormat="1" customHeight="1" spans="1:2">
      <c r="A938" s="158">
        <v>44579</v>
      </c>
      <c r="B938" s="168">
        <v>227594</v>
      </c>
    </row>
    <row r="939" s="89" customFormat="1" customHeight="1" spans="1:2">
      <c r="A939" s="158">
        <v>44580</v>
      </c>
      <c r="B939" s="168">
        <v>233440</v>
      </c>
    </row>
    <row r="940" s="89" customFormat="1" customHeight="1" spans="1:2">
      <c r="A940" s="158">
        <v>44581</v>
      </c>
      <c r="B940" s="168">
        <v>245693</v>
      </c>
    </row>
    <row r="941" s="89" customFormat="1" customHeight="1" spans="1:2">
      <c r="A941" s="158">
        <v>44582</v>
      </c>
      <c r="B941" s="168">
        <v>259681</v>
      </c>
    </row>
    <row r="942" s="89" customFormat="1" customHeight="1" spans="1:2">
      <c r="A942" s="158">
        <v>44583</v>
      </c>
      <c r="B942" s="168">
        <v>280692</v>
      </c>
    </row>
    <row r="943" s="89" customFormat="1" customHeight="1" spans="1:2">
      <c r="A943" s="158">
        <v>44584</v>
      </c>
      <c r="B943" s="168">
        <v>251893</v>
      </c>
    </row>
    <row r="944" s="89" customFormat="1" customHeight="1" spans="1:2">
      <c r="A944" s="158">
        <v>44585</v>
      </c>
      <c r="B944" s="168">
        <v>242555</v>
      </c>
    </row>
    <row r="945" s="89" customFormat="1" customHeight="1" spans="1:2">
      <c r="A945" s="158">
        <v>44586</v>
      </c>
      <c r="B945" s="168">
        <v>247424</v>
      </c>
    </row>
    <row r="946" s="89" customFormat="1" customHeight="1" spans="1:2">
      <c r="A946" s="158">
        <v>44587</v>
      </c>
      <c r="B946" s="168">
        <v>271339</v>
      </c>
    </row>
    <row r="947" s="89" customFormat="1" customHeight="1" spans="1:2">
      <c r="A947" s="158">
        <v>44588</v>
      </c>
      <c r="B947" s="168">
        <v>274860</v>
      </c>
    </row>
    <row r="948" s="89" customFormat="1" customHeight="1" spans="1:2">
      <c r="A948" s="158">
        <v>44598</v>
      </c>
      <c r="B948" s="168">
        <v>52184</v>
      </c>
    </row>
    <row r="949" s="89" customFormat="1" customHeight="1" spans="1:2">
      <c r="A949" s="158">
        <v>44599</v>
      </c>
      <c r="B949" s="168">
        <v>70894</v>
      </c>
    </row>
    <row r="950" s="89" customFormat="1" customHeight="1" spans="1:2">
      <c r="A950" s="158">
        <v>44600</v>
      </c>
      <c r="B950" s="168">
        <v>84153</v>
      </c>
    </row>
    <row r="951" s="89" customFormat="1" customHeight="1" spans="1:2">
      <c r="A951" s="158">
        <v>44601</v>
      </c>
      <c r="B951" s="168">
        <v>89352</v>
      </c>
    </row>
    <row r="952" s="124" customFormat="1" customHeight="1" spans="1:2">
      <c r="A952" s="158">
        <v>44602</v>
      </c>
      <c r="B952" s="168">
        <v>90043</v>
      </c>
    </row>
    <row r="953" s="89" customFormat="1" customHeight="1" spans="1:2">
      <c r="A953" s="158">
        <v>44603</v>
      </c>
      <c r="B953" s="168">
        <v>92452</v>
      </c>
    </row>
    <row r="954" s="89" customFormat="1" customHeight="1" spans="1:2">
      <c r="A954" s="158">
        <v>44604</v>
      </c>
      <c r="B954" s="168">
        <v>95417</v>
      </c>
    </row>
    <row r="955" s="89" customFormat="1" customHeight="1" spans="1:2">
      <c r="A955" s="158">
        <v>44605</v>
      </c>
      <c r="B955" s="168">
        <v>100589</v>
      </c>
    </row>
    <row r="956" s="89" customFormat="1" customHeight="1" spans="1:2">
      <c r="A956" s="158">
        <v>44606</v>
      </c>
      <c r="B956" s="168">
        <v>105679</v>
      </c>
    </row>
    <row r="957" s="89" customFormat="1" customHeight="1" spans="1:2">
      <c r="A957" s="158">
        <v>44607</v>
      </c>
      <c r="B957" s="168">
        <v>104349</v>
      </c>
    </row>
    <row r="958" s="89" customFormat="1" customHeight="1" spans="1:2">
      <c r="A958" s="158">
        <v>44608</v>
      </c>
      <c r="B958" s="168">
        <v>101718</v>
      </c>
    </row>
    <row r="959" s="89" customFormat="1" customHeight="1" spans="1:2">
      <c r="A959" s="158">
        <v>44609</v>
      </c>
      <c r="B959" s="168">
        <v>102657</v>
      </c>
    </row>
    <row r="960" s="89" customFormat="1" customHeight="1" spans="1:2">
      <c r="A960" s="158">
        <v>44610</v>
      </c>
      <c r="B960" s="168">
        <v>103769</v>
      </c>
    </row>
    <row r="961" s="89" customFormat="1" customHeight="1" spans="1:2">
      <c r="A961" s="158">
        <v>44611</v>
      </c>
      <c r="B961" s="168">
        <v>106311</v>
      </c>
    </row>
    <row r="962" s="89" customFormat="1" customHeight="1" spans="1:2">
      <c r="A962" s="158">
        <v>44612</v>
      </c>
      <c r="B962" s="168">
        <v>105214</v>
      </c>
    </row>
    <row r="963" s="89" customFormat="1" customHeight="1" spans="1:2">
      <c r="A963" s="158">
        <v>44613</v>
      </c>
      <c r="B963" s="168">
        <v>105752</v>
      </c>
    </row>
    <row r="964" s="89" customFormat="1" customHeight="1" spans="1:2">
      <c r="A964" s="158">
        <v>44614</v>
      </c>
      <c r="B964" s="168">
        <v>107653</v>
      </c>
    </row>
    <row r="965" s="89" customFormat="1" customHeight="1" spans="1:2">
      <c r="A965" s="158">
        <v>44615</v>
      </c>
      <c r="B965" s="168">
        <v>108591</v>
      </c>
    </row>
    <row r="966" s="89" customFormat="1" customHeight="1" spans="1:2">
      <c r="A966" s="158">
        <v>44616</v>
      </c>
      <c r="B966" s="168">
        <v>110884</v>
      </c>
    </row>
    <row r="967" s="89" customFormat="1" customHeight="1" spans="1:2">
      <c r="A967" s="158">
        <v>44617</v>
      </c>
      <c r="B967" s="168">
        <v>110882</v>
      </c>
    </row>
    <row r="968" s="89" customFormat="1" customHeight="1" spans="1:2">
      <c r="A968" s="158">
        <v>44618</v>
      </c>
      <c r="B968" s="168">
        <v>112791</v>
      </c>
    </row>
    <row r="969" s="89" customFormat="1" customHeight="1" spans="1:2">
      <c r="A969" s="158">
        <v>44619</v>
      </c>
      <c r="B969" s="168">
        <v>112312</v>
      </c>
    </row>
    <row r="970" s="89" customFormat="1" customHeight="1" spans="1:2">
      <c r="A970" s="158">
        <v>44620</v>
      </c>
      <c r="B970" s="168">
        <v>110900</v>
      </c>
    </row>
    <row r="971" s="89" customFormat="1" customHeight="1" spans="1:2">
      <c r="A971" s="158">
        <v>44621</v>
      </c>
      <c r="B971" s="168">
        <v>112209</v>
      </c>
    </row>
    <row r="972" s="89" customFormat="1" customHeight="1" spans="1:2">
      <c r="A972" s="158">
        <v>44622</v>
      </c>
      <c r="B972" s="168">
        <v>112676</v>
      </c>
    </row>
    <row r="973" s="110" customFormat="1" customHeight="1" spans="1:2">
      <c r="A973" s="158">
        <v>44623</v>
      </c>
      <c r="B973" s="168">
        <v>112339</v>
      </c>
    </row>
    <row r="974" s="89" customFormat="1" customHeight="1" spans="1:2">
      <c r="A974" s="158">
        <v>44624</v>
      </c>
      <c r="B974" s="168">
        <v>113489</v>
      </c>
    </row>
    <row r="975" s="89" customFormat="1" customHeight="1" spans="1:2">
      <c r="A975" s="158">
        <v>44625</v>
      </c>
      <c r="B975" s="168">
        <v>109573</v>
      </c>
    </row>
    <row r="976" s="89" customFormat="1" customHeight="1" spans="1:2">
      <c r="A976" s="158">
        <v>44626</v>
      </c>
      <c r="B976" s="168">
        <v>108625</v>
      </c>
    </row>
    <row r="977" s="89" customFormat="1" customHeight="1" spans="1:2">
      <c r="A977" s="158">
        <v>44627</v>
      </c>
      <c r="B977" s="168">
        <v>108063</v>
      </c>
    </row>
    <row r="978" s="89" customFormat="1" customHeight="1" spans="1:2">
      <c r="A978" s="158">
        <v>44628</v>
      </c>
      <c r="B978" s="168">
        <v>114375</v>
      </c>
    </row>
    <row r="979" s="89" customFormat="1" customHeight="1" spans="1:2">
      <c r="A979" s="158">
        <v>44629</v>
      </c>
      <c r="B979" s="168">
        <v>113889</v>
      </c>
    </row>
    <row r="980" s="89" customFormat="1" customHeight="1" spans="1:2">
      <c r="A980" s="158">
        <v>44630</v>
      </c>
      <c r="B980" s="168">
        <v>114511</v>
      </c>
    </row>
    <row r="981" s="89" customFormat="1" customHeight="1" spans="1:2">
      <c r="A981" s="158">
        <v>44631</v>
      </c>
      <c r="B981" s="168">
        <v>115896</v>
      </c>
    </row>
    <row r="982" s="89" customFormat="1" customHeight="1" spans="1:2">
      <c r="A982" s="158">
        <v>44632</v>
      </c>
      <c r="B982" s="168">
        <v>118246</v>
      </c>
    </row>
    <row r="983" s="89" customFormat="1" customHeight="1" spans="1:2">
      <c r="A983" s="158">
        <v>44633</v>
      </c>
      <c r="B983" s="168">
        <v>116524</v>
      </c>
    </row>
    <row r="984" s="89" customFormat="1" customHeight="1" spans="1:2">
      <c r="A984" s="158">
        <v>44634</v>
      </c>
      <c r="B984" s="168">
        <v>114345</v>
      </c>
    </row>
    <row r="985" s="89" customFormat="1" customHeight="1" spans="1:2">
      <c r="A985" s="158">
        <v>44635</v>
      </c>
      <c r="B985" s="168">
        <v>111171</v>
      </c>
    </row>
    <row r="986" s="89" customFormat="1" customHeight="1" spans="1:2">
      <c r="A986" s="158">
        <v>44636</v>
      </c>
      <c r="B986" s="168">
        <v>111885</v>
      </c>
    </row>
    <row r="987" s="89" customFormat="1" customHeight="1" spans="1:2">
      <c r="A987" s="158">
        <v>44637</v>
      </c>
      <c r="B987" s="170">
        <v>113857</v>
      </c>
    </row>
    <row r="988" customHeight="1" spans="1:2">
      <c r="A988" s="158">
        <v>44638</v>
      </c>
      <c r="B988" s="168">
        <v>112050</v>
      </c>
    </row>
    <row r="989" customHeight="1" spans="1:2">
      <c r="A989" s="158">
        <v>44639</v>
      </c>
      <c r="B989" s="168">
        <v>115034</v>
      </c>
    </row>
    <row r="990" customHeight="1" spans="1:2">
      <c r="A990" s="158">
        <v>44640</v>
      </c>
      <c r="B990" s="168">
        <v>115095</v>
      </c>
    </row>
    <row r="991" customHeight="1" spans="1:2">
      <c r="A991" s="158">
        <v>44641</v>
      </c>
      <c r="B991" s="168">
        <v>113720</v>
      </c>
    </row>
    <row r="992" customHeight="1" spans="1:2">
      <c r="A992" s="158">
        <v>44642</v>
      </c>
      <c r="B992" s="168">
        <v>115325</v>
      </c>
    </row>
    <row r="993" customHeight="1" spans="1:2">
      <c r="A993" s="158">
        <v>44643</v>
      </c>
      <c r="B993" s="168">
        <v>116284</v>
      </c>
    </row>
    <row r="994" customFormat="1" customHeight="1" spans="1:2">
      <c r="A994" s="158">
        <v>44644</v>
      </c>
      <c r="B994" s="168">
        <v>117446</v>
      </c>
    </row>
    <row r="995" customFormat="1" customHeight="1" spans="1:2">
      <c r="A995" s="158">
        <v>44645</v>
      </c>
      <c r="B995" s="168">
        <v>120628</v>
      </c>
    </row>
    <row r="996" customFormat="1" customHeight="1" spans="1:2">
      <c r="A996" s="158">
        <v>44646</v>
      </c>
      <c r="B996" s="168">
        <v>116558</v>
      </c>
    </row>
    <row r="997" customFormat="1" customHeight="1" spans="1:2">
      <c r="A997" s="158">
        <v>44647</v>
      </c>
      <c r="B997" s="168">
        <v>117076</v>
      </c>
    </row>
    <row r="998" customFormat="1" customHeight="1" spans="1:2">
      <c r="A998" s="158">
        <v>44648</v>
      </c>
      <c r="B998" s="168">
        <v>117993</v>
      </c>
    </row>
    <row r="999" customFormat="1" customHeight="1" spans="1:2">
      <c r="A999" s="158">
        <v>44649</v>
      </c>
      <c r="B999" s="168">
        <v>119951</v>
      </c>
    </row>
    <row r="1000" customFormat="1" customHeight="1" spans="1:2">
      <c r="A1000" s="158">
        <v>44650</v>
      </c>
      <c r="B1000" s="168">
        <v>119292</v>
      </c>
    </row>
    <row r="1001" customFormat="1" customHeight="1" spans="1:2">
      <c r="A1001" s="158">
        <v>44651</v>
      </c>
      <c r="B1001" s="168">
        <v>118022</v>
      </c>
    </row>
    <row r="1002" customFormat="1" customHeight="1" spans="1:2">
      <c r="A1002" s="158">
        <v>44652</v>
      </c>
      <c r="B1002" s="168">
        <v>119447</v>
      </c>
    </row>
    <row r="1003" customFormat="1" customHeight="1" spans="1:2">
      <c r="A1003" s="158">
        <v>44653</v>
      </c>
      <c r="B1003" s="168">
        <v>119420</v>
      </c>
    </row>
    <row r="1004" customFormat="1" customHeight="1" spans="1:2">
      <c r="A1004" s="158">
        <v>44654</v>
      </c>
      <c r="B1004" s="168">
        <v>123721</v>
      </c>
    </row>
    <row r="1005" customFormat="1" customHeight="1" spans="1:2">
      <c r="A1005" s="158">
        <v>44655</v>
      </c>
      <c r="B1005" s="168">
        <v>123273</v>
      </c>
    </row>
    <row r="1006" customFormat="1" customHeight="1" spans="1:2">
      <c r="A1006" s="158">
        <v>44656</v>
      </c>
      <c r="B1006" s="168">
        <v>123162</v>
      </c>
    </row>
    <row r="1007" customFormat="1" customHeight="1" spans="1:2">
      <c r="A1007" s="158">
        <v>44657</v>
      </c>
      <c r="B1007" s="168">
        <v>119610</v>
      </c>
    </row>
    <row r="1008" customFormat="1" customHeight="1" spans="1:2">
      <c r="A1008" s="158">
        <v>44658</v>
      </c>
      <c r="B1008" s="168">
        <v>117088</v>
      </c>
    </row>
    <row r="1009" customFormat="1" customHeight="1" spans="1:2">
      <c r="A1009" s="158">
        <v>44659</v>
      </c>
      <c r="B1009" s="168">
        <v>115712</v>
      </c>
    </row>
    <row r="1010" customFormat="1" customHeight="1" spans="1:2">
      <c r="A1010" s="158">
        <v>44660</v>
      </c>
      <c r="B1010" s="168">
        <v>115775</v>
      </c>
    </row>
    <row r="1011" customFormat="1" customHeight="1" spans="1:2">
      <c r="A1011" s="158">
        <v>44661</v>
      </c>
      <c r="B1011" s="168">
        <v>115926</v>
      </c>
    </row>
    <row r="1012" customFormat="1" customHeight="1" spans="1:2">
      <c r="A1012" s="158">
        <v>44662</v>
      </c>
      <c r="B1012" s="168">
        <v>115069</v>
      </c>
    </row>
    <row r="1013" customFormat="1" customHeight="1" spans="1:2">
      <c r="A1013" s="158">
        <v>44663</v>
      </c>
      <c r="B1013" s="168">
        <v>116232</v>
      </c>
    </row>
    <row r="1014" customFormat="1" customHeight="1" spans="1:2">
      <c r="A1014" s="158">
        <v>44664</v>
      </c>
      <c r="B1014" s="168">
        <v>122887</v>
      </c>
    </row>
    <row r="1015" s="8" customFormat="1" customHeight="1" spans="1:2">
      <c r="A1015" s="158">
        <v>44665</v>
      </c>
      <c r="B1015" s="168">
        <v>122883</v>
      </c>
    </row>
    <row r="1016" customHeight="1" spans="1:2">
      <c r="A1016" s="158">
        <v>44666</v>
      </c>
      <c r="B1016" s="168">
        <v>125614</v>
      </c>
    </row>
    <row r="1017" customHeight="1" spans="1:2">
      <c r="A1017" s="158">
        <v>44667</v>
      </c>
      <c r="B1017" s="168">
        <v>125974</v>
      </c>
    </row>
    <row r="1018" customHeight="1" spans="1:2">
      <c r="A1018" s="158">
        <v>44668</v>
      </c>
      <c r="B1018" s="168">
        <v>127595</v>
      </c>
    </row>
    <row r="1019" customHeight="1" spans="1:2">
      <c r="A1019" s="158">
        <v>44669</v>
      </c>
      <c r="B1019" s="168">
        <v>127610</v>
      </c>
    </row>
    <row r="1020" customHeight="1" spans="1:2">
      <c r="A1020" s="158">
        <v>44670</v>
      </c>
      <c r="B1020" s="168">
        <v>127666</v>
      </c>
    </row>
    <row r="1021" customHeight="1" spans="1:2">
      <c r="A1021" s="158">
        <v>44671</v>
      </c>
      <c r="B1021" s="168">
        <v>122988</v>
      </c>
    </row>
    <row r="1022" customHeight="1" spans="1:2">
      <c r="A1022" s="158">
        <v>44672</v>
      </c>
      <c r="B1022" s="168">
        <v>117676</v>
      </c>
    </row>
    <row r="1023" customFormat="1" customHeight="1" spans="1:2">
      <c r="A1023" s="158">
        <v>44673</v>
      </c>
      <c r="B1023" s="168">
        <v>108692</v>
      </c>
    </row>
    <row r="1024" customFormat="1" customHeight="1" spans="1:2">
      <c r="A1024" s="158">
        <v>44674</v>
      </c>
      <c r="B1024" s="168">
        <v>109900</v>
      </c>
    </row>
    <row r="1025" customFormat="1" customHeight="1" spans="1:2">
      <c r="A1025" s="158">
        <v>44675</v>
      </c>
      <c r="B1025" s="168">
        <v>109244</v>
      </c>
    </row>
    <row r="1026" customFormat="1" customHeight="1" spans="1:2">
      <c r="A1026" s="158">
        <v>44676</v>
      </c>
      <c r="B1026" s="168">
        <v>104114</v>
      </c>
    </row>
    <row r="1027" customFormat="1" customHeight="1" spans="1:2">
      <c r="A1027" s="158">
        <v>44677</v>
      </c>
      <c r="B1027" s="168">
        <v>107182</v>
      </c>
    </row>
    <row r="1028" customFormat="1" customHeight="1" spans="1:2">
      <c r="A1028" s="158">
        <v>44678</v>
      </c>
      <c r="B1028" s="168">
        <v>107203</v>
      </c>
    </row>
    <row r="1029" customFormat="1" customHeight="1" spans="1:2">
      <c r="A1029" s="158">
        <v>44679</v>
      </c>
      <c r="B1029" s="168">
        <v>108660</v>
      </c>
    </row>
    <row r="1030" customFormat="1" customHeight="1" spans="1:2">
      <c r="A1030" s="158">
        <v>44680</v>
      </c>
      <c r="B1030" s="168">
        <v>112726</v>
      </c>
    </row>
    <row r="1031" customFormat="1" customHeight="1" spans="1:2">
      <c r="A1031" s="158">
        <v>44681</v>
      </c>
      <c r="B1031" s="168">
        <v>117533</v>
      </c>
    </row>
    <row r="1032" customFormat="1" customHeight="1" spans="1:2">
      <c r="A1032" s="158">
        <v>44682</v>
      </c>
      <c r="B1032" s="168">
        <v>113012</v>
      </c>
    </row>
    <row r="1033" customFormat="1" customHeight="1" spans="1:2">
      <c r="A1033" s="158">
        <v>44683</v>
      </c>
      <c r="B1033" s="168">
        <v>112458</v>
      </c>
    </row>
    <row r="1034" customFormat="1" customHeight="1" spans="1:2">
      <c r="A1034" s="158">
        <v>44684</v>
      </c>
      <c r="B1034" s="168">
        <v>111105</v>
      </c>
    </row>
    <row r="1035" customFormat="1" customHeight="1" spans="1:2">
      <c r="A1035" s="158">
        <v>44685</v>
      </c>
      <c r="B1035" s="168">
        <v>109993</v>
      </c>
    </row>
    <row r="1036" s="8" customFormat="1" customHeight="1" spans="1:2">
      <c r="A1036" s="158">
        <v>44686</v>
      </c>
      <c r="B1036" s="168">
        <v>110293</v>
      </c>
    </row>
    <row r="1037" customHeight="1" spans="1:2">
      <c r="A1037" s="158">
        <v>44687</v>
      </c>
      <c r="B1037" s="168">
        <v>111073</v>
      </c>
    </row>
    <row r="1038" customHeight="1" spans="1:2">
      <c r="A1038" s="158">
        <v>44688</v>
      </c>
      <c r="B1038" s="168">
        <v>113349</v>
      </c>
    </row>
    <row r="1039" customHeight="1" spans="1:2">
      <c r="A1039" s="158">
        <v>44689</v>
      </c>
      <c r="B1039" s="168">
        <v>111476</v>
      </c>
    </row>
    <row r="1040" customHeight="1" spans="1:2">
      <c r="A1040" s="158">
        <v>44690</v>
      </c>
      <c r="B1040" s="168">
        <v>110721</v>
      </c>
    </row>
    <row r="1041" customHeight="1" spans="1:2">
      <c r="A1041" s="158">
        <v>44691</v>
      </c>
      <c r="B1041" s="168">
        <v>116920</v>
      </c>
    </row>
    <row r="1042" customHeight="1" spans="1:2">
      <c r="A1042" s="158">
        <v>44692</v>
      </c>
      <c r="B1042" s="168">
        <v>116830</v>
      </c>
    </row>
    <row r="1043" s="91" customFormat="1" customHeight="1" spans="1:2">
      <c r="A1043" s="158">
        <v>44693</v>
      </c>
      <c r="B1043" s="168">
        <v>117871</v>
      </c>
    </row>
    <row r="1044" customHeight="1" spans="1:2">
      <c r="A1044" s="158">
        <v>44694</v>
      </c>
      <c r="B1044" s="168">
        <v>117024</v>
      </c>
    </row>
    <row r="1045" customHeight="1" spans="1:2">
      <c r="A1045" s="158">
        <v>44695</v>
      </c>
      <c r="B1045" s="168">
        <v>117629</v>
      </c>
    </row>
    <row r="1046" customHeight="1" spans="1:2">
      <c r="A1046" s="158">
        <v>44696</v>
      </c>
      <c r="B1046" s="168">
        <v>117843</v>
      </c>
    </row>
    <row r="1047" customHeight="1" spans="1:2">
      <c r="A1047" s="158">
        <v>44697</v>
      </c>
      <c r="B1047" s="168">
        <v>119099</v>
      </c>
    </row>
    <row r="1048" customHeight="1" spans="1:2">
      <c r="A1048" s="158">
        <v>44698</v>
      </c>
      <c r="B1048" s="168">
        <v>121504</v>
      </c>
    </row>
    <row r="1049" customHeight="1" spans="1:2">
      <c r="A1049" s="158">
        <v>44699</v>
      </c>
      <c r="B1049" s="168">
        <v>122471</v>
      </c>
    </row>
    <row r="1050" customFormat="1" customHeight="1" spans="1:2">
      <c r="A1050" s="158">
        <v>44700</v>
      </c>
      <c r="B1050" s="168">
        <v>124346</v>
      </c>
    </row>
    <row r="1051" customFormat="1" customHeight="1" spans="1:2">
      <c r="A1051" s="158">
        <v>44701</v>
      </c>
      <c r="B1051" s="168">
        <v>124355</v>
      </c>
    </row>
    <row r="1052" customFormat="1" customHeight="1" spans="1:2">
      <c r="A1052" s="158">
        <v>44702</v>
      </c>
      <c r="B1052" s="168">
        <v>124983</v>
      </c>
    </row>
    <row r="1053" customFormat="1" customHeight="1" spans="1:2">
      <c r="A1053" s="158">
        <v>44703</v>
      </c>
      <c r="B1053" s="168">
        <v>123866</v>
      </c>
    </row>
    <row r="1054" customFormat="1" customHeight="1" spans="1:2">
      <c r="A1054" s="158">
        <v>44704</v>
      </c>
      <c r="B1054" s="168">
        <v>123900</v>
      </c>
    </row>
    <row r="1055" customFormat="1" customHeight="1" spans="1:2">
      <c r="A1055" s="158">
        <v>44705</v>
      </c>
      <c r="B1055" s="168">
        <v>124749</v>
      </c>
    </row>
    <row r="1056" customFormat="1" customHeight="1" spans="1:2">
      <c r="A1056" s="158">
        <v>44706</v>
      </c>
      <c r="B1056" s="168">
        <v>124536</v>
      </c>
    </row>
    <row r="1057" customFormat="1" customHeight="1" spans="1:2">
      <c r="A1057" s="158">
        <v>44707</v>
      </c>
      <c r="B1057" s="168">
        <v>125406</v>
      </c>
    </row>
    <row r="1058" customFormat="1" customHeight="1" spans="1:2">
      <c r="A1058" s="158">
        <v>44708</v>
      </c>
      <c r="B1058" s="168">
        <v>124292</v>
      </c>
    </row>
    <row r="1059" customFormat="1" customHeight="1" spans="1:2">
      <c r="A1059" s="158">
        <v>44709</v>
      </c>
      <c r="B1059" s="168">
        <v>125878</v>
      </c>
    </row>
    <row r="1060" customFormat="1" customHeight="1" spans="1:2">
      <c r="A1060" s="158">
        <v>44710</v>
      </c>
      <c r="B1060" s="168">
        <v>126574</v>
      </c>
    </row>
    <row r="1061" customFormat="1" customHeight="1" spans="1:2">
      <c r="A1061" s="158">
        <v>44711</v>
      </c>
      <c r="B1061" s="168">
        <v>127496</v>
      </c>
    </row>
    <row r="1062" customFormat="1" customHeight="1" spans="1:2">
      <c r="A1062" s="158">
        <v>44712</v>
      </c>
      <c r="B1062" s="168">
        <v>131417</v>
      </c>
    </row>
    <row r="1063" customFormat="1" customHeight="1" spans="1:2">
      <c r="A1063" s="158">
        <v>44713</v>
      </c>
      <c r="B1063" s="168">
        <v>133900</v>
      </c>
    </row>
    <row r="1064" customFormat="1" customHeight="1" spans="1:2">
      <c r="A1064" s="158">
        <v>44714</v>
      </c>
      <c r="B1064" s="168">
        <v>137155</v>
      </c>
    </row>
    <row r="1065" customHeight="1" spans="1:2">
      <c r="A1065" s="158">
        <v>44715</v>
      </c>
      <c r="B1065" s="168">
        <v>134523</v>
      </c>
    </row>
    <row r="1066" customHeight="1" spans="1:2">
      <c r="A1066" s="158">
        <v>44716</v>
      </c>
      <c r="B1066" s="168">
        <v>129397</v>
      </c>
    </row>
    <row r="1067" customHeight="1" spans="1:2">
      <c r="A1067" s="158">
        <v>44717</v>
      </c>
      <c r="B1067" s="168">
        <v>127181</v>
      </c>
    </row>
    <row r="1068" customHeight="1" spans="1:2">
      <c r="A1068" s="158">
        <v>44718</v>
      </c>
      <c r="B1068" s="168">
        <v>127641</v>
      </c>
    </row>
    <row r="1069" customHeight="1" spans="1:2">
      <c r="A1069" s="158">
        <v>44719</v>
      </c>
      <c r="B1069" s="168">
        <v>126113</v>
      </c>
    </row>
    <row r="1070" customHeight="1" spans="1:2">
      <c r="A1070" s="158">
        <v>44720</v>
      </c>
      <c r="B1070" s="168">
        <v>125558</v>
      </c>
    </row>
    <row r="1071" s="91" customFormat="1" customHeight="1" spans="1:2">
      <c r="A1071" s="158">
        <v>44721</v>
      </c>
      <c r="B1071" s="168">
        <v>125713</v>
      </c>
    </row>
    <row r="1072" customHeight="1" spans="1:2">
      <c r="A1072" s="158">
        <v>44722</v>
      </c>
      <c r="B1072" s="168">
        <v>124670</v>
      </c>
    </row>
    <row r="1073" customHeight="1" spans="1:2">
      <c r="A1073" s="158">
        <v>44723</v>
      </c>
      <c r="B1073" s="168">
        <v>126291</v>
      </c>
    </row>
    <row r="1074" customHeight="1" spans="1:2">
      <c r="A1074" s="158">
        <v>44724</v>
      </c>
      <c r="B1074" s="168">
        <v>124667</v>
      </c>
    </row>
    <row r="1075" customHeight="1" spans="1:2">
      <c r="A1075" s="158">
        <v>44725</v>
      </c>
      <c r="B1075" s="168">
        <v>124731</v>
      </c>
    </row>
    <row r="1076" customHeight="1" spans="1:2">
      <c r="A1076" s="158">
        <v>44726</v>
      </c>
      <c r="B1076" s="168">
        <v>124695</v>
      </c>
    </row>
    <row r="1077" customHeight="1" spans="1:2">
      <c r="A1077" s="158">
        <v>44727</v>
      </c>
      <c r="B1077" s="168">
        <v>124632</v>
      </c>
    </row>
    <row r="1078" customFormat="1" customHeight="1" spans="1:2">
      <c r="A1078" s="158">
        <v>44728</v>
      </c>
      <c r="B1078" s="168">
        <v>124295</v>
      </c>
    </row>
    <row r="1079" customFormat="1" customHeight="1" spans="1:2">
      <c r="A1079" s="158">
        <v>44729</v>
      </c>
      <c r="B1079" s="168">
        <v>122741</v>
      </c>
    </row>
    <row r="1080" customFormat="1" customHeight="1" spans="1:2">
      <c r="A1080" s="158">
        <v>44730</v>
      </c>
      <c r="B1080" s="168">
        <v>123947</v>
      </c>
    </row>
    <row r="1081" customFormat="1" customHeight="1" spans="1:2">
      <c r="A1081" s="158">
        <v>44731</v>
      </c>
      <c r="B1081" s="168">
        <v>124166</v>
      </c>
    </row>
    <row r="1082" customFormat="1" customHeight="1" spans="1:2">
      <c r="A1082" s="158">
        <v>44732</v>
      </c>
      <c r="B1082" s="168">
        <v>124294</v>
      </c>
    </row>
    <row r="1083" customFormat="1" customHeight="1" spans="1:2">
      <c r="A1083" s="158">
        <v>44733</v>
      </c>
      <c r="B1083" s="168">
        <v>123196</v>
      </c>
    </row>
    <row r="1084" customFormat="1" customHeight="1" spans="1:2">
      <c r="A1084" s="158">
        <v>44734</v>
      </c>
      <c r="B1084" s="168">
        <v>123140</v>
      </c>
    </row>
    <row r="1085" customFormat="1" customHeight="1" spans="1:2">
      <c r="A1085" s="158">
        <v>44735</v>
      </c>
      <c r="B1085" s="168">
        <v>121354</v>
      </c>
    </row>
    <row r="1086" customFormat="1" customHeight="1" spans="1:2">
      <c r="A1086" s="158">
        <v>44736</v>
      </c>
      <c r="B1086" s="168">
        <v>119265</v>
      </c>
    </row>
    <row r="1087" customFormat="1" customHeight="1" spans="1:2">
      <c r="A1087" s="158">
        <v>44737</v>
      </c>
      <c r="B1087" s="168">
        <v>118651</v>
      </c>
    </row>
    <row r="1088" customFormat="1" customHeight="1" spans="1:2">
      <c r="A1088" s="158">
        <v>44738</v>
      </c>
      <c r="B1088" s="168">
        <v>115729</v>
      </c>
    </row>
    <row r="1089" customFormat="1" customHeight="1" spans="1:2">
      <c r="A1089" s="158">
        <v>44739</v>
      </c>
      <c r="B1089" s="168">
        <v>113201</v>
      </c>
    </row>
    <row r="1090" customFormat="1" customHeight="1" spans="1:2">
      <c r="A1090" s="158">
        <v>44740</v>
      </c>
      <c r="B1090" s="168">
        <v>114676</v>
      </c>
    </row>
    <row r="1091" customFormat="1" customHeight="1" spans="1:2">
      <c r="A1091" s="158">
        <v>44741</v>
      </c>
      <c r="B1091" s="168">
        <v>112424</v>
      </c>
    </row>
    <row r="1092" customFormat="1" customHeight="1" spans="1:2">
      <c r="A1092" s="158">
        <v>44742</v>
      </c>
      <c r="B1092" s="168">
        <v>111358</v>
      </c>
    </row>
    <row r="1093" customFormat="1" customHeight="1" spans="1:2">
      <c r="A1093" s="158">
        <v>44743</v>
      </c>
      <c r="B1093" s="168">
        <v>111564</v>
      </c>
    </row>
    <row r="1094" customFormat="1" customHeight="1" spans="1:2">
      <c r="A1094" s="158">
        <v>44744</v>
      </c>
      <c r="B1094" s="168">
        <v>109284</v>
      </c>
    </row>
    <row r="1095" customFormat="1" customHeight="1" spans="1:2">
      <c r="A1095" s="158">
        <v>44745</v>
      </c>
      <c r="B1095" s="168">
        <v>105767</v>
      </c>
    </row>
    <row r="1096" customFormat="1" customHeight="1" spans="1:2">
      <c r="A1096" s="158">
        <v>44746</v>
      </c>
      <c r="B1096" s="168">
        <v>101720</v>
      </c>
    </row>
    <row r="1097" customFormat="1" customHeight="1" spans="1:2">
      <c r="A1097" s="158">
        <v>44747</v>
      </c>
      <c r="B1097" s="168">
        <v>101276</v>
      </c>
    </row>
    <row r="1098" customFormat="1" customHeight="1" spans="1:2">
      <c r="A1098" s="158">
        <v>44748</v>
      </c>
      <c r="B1098" s="168">
        <v>101534</v>
      </c>
    </row>
    <row r="1099" customFormat="1" customHeight="1" spans="1:2">
      <c r="A1099" s="158">
        <v>44749</v>
      </c>
      <c r="B1099" s="168">
        <v>100209</v>
      </c>
    </row>
    <row r="1100" customHeight="1" spans="1:2">
      <c r="A1100" s="158">
        <v>44750</v>
      </c>
      <c r="B1100" s="168">
        <v>100619</v>
      </c>
    </row>
    <row r="1101" customHeight="1" spans="1:2">
      <c r="A1101" s="158">
        <v>44751</v>
      </c>
      <c r="B1101" s="168">
        <v>98814</v>
      </c>
    </row>
    <row r="1102" customHeight="1" spans="1:2">
      <c r="A1102" s="158">
        <v>44752</v>
      </c>
      <c r="B1102" s="168">
        <v>97884</v>
      </c>
    </row>
    <row r="1103" customHeight="1" spans="1:2">
      <c r="A1103" s="158">
        <v>44753</v>
      </c>
      <c r="B1103" s="168">
        <v>95518</v>
      </c>
    </row>
    <row r="1104" customHeight="1" spans="1:2">
      <c r="A1104" s="158">
        <v>44754</v>
      </c>
      <c r="B1104" s="168">
        <v>95916</v>
      </c>
    </row>
    <row r="1105" customHeight="1" spans="1:2">
      <c r="A1105" s="158">
        <v>44755</v>
      </c>
      <c r="B1105" s="168">
        <v>98050</v>
      </c>
    </row>
    <row r="1106" customHeight="1" spans="1:2">
      <c r="A1106" s="158">
        <v>44756</v>
      </c>
      <c r="B1106" s="168">
        <v>96429</v>
      </c>
    </row>
    <row r="1107" customHeight="1" spans="1:2">
      <c r="A1107" s="158">
        <v>44757</v>
      </c>
      <c r="B1107" s="168">
        <v>97640</v>
      </c>
    </row>
    <row r="1108" customHeight="1" spans="1:2">
      <c r="A1108" s="158">
        <v>44758</v>
      </c>
      <c r="B1108" s="168">
        <v>98868</v>
      </c>
    </row>
    <row r="1109" customHeight="1" spans="1:2">
      <c r="A1109" s="158">
        <v>44759</v>
      </c>
      <c r="B1109" s="168">
        <v>97073</v>
      </c>
    </row>
    <row r="1110" customHeight="1" spans="1:2">
      <c r="A1110" s="158">
        <v>44760</v>
      </c>
      <c r="B1110" s="168">
        <v>95763</v>
      </c>
    </row>
    <row r="1111" customHeight="1" spans="1:2">
      <c r="A1111" s="158">
        <v>44761</v>
      </c>
      <c r="B1111" s="168">
        <v>94633</v>
      </c>
    </row>
    <row r="1112" customHeight="1" spans="1:2">
      <c r="A1112" s="158">
        <v>44762</v>
      </c>
      <c r="B1112" s="168">
        <v>93239</v>
      </c>
    </row>
    <row r="1113" customHeight="1" spans="1:2">
      <c r="A1113" s="158">
        <v>44763</v>
      </c>
      <c r="B1113" s="168">
        <v>91966</v>
      </c>
    </row>
    <row r="1114" customFormat="1" customHeight="1" spans="1:2">
      <c r="A1114" s="158">
        <v>44764</v>
      </c>
      <c r="B1114" s="168">
        <v>92080</v>
      </c>
    </row>
    <row r="1115" customFormat="1" customHeight="1" spans="1:2">
      <c r="A1115" s="158">
        <v>44765</v>
      </c>
      <c r="B1115" s="168">
        <v>90705</v>
      </c>
    </row>
    <row r="1116" customFormat="1" customHeight="1" spans="1:2">
      <c r="A1116" s="158">
        <v>44766</v>
      </c>
      <c r="B1116" s="168">
        <v>89977</v>
      </c>
    </row>
    <row r="1117" customFormat="1" customHeight="1" spans="1:2">
      <c r="A1117" s="158">
        <v>44767</v>
      </c>
      <c r="B1117" s="168">
        <v>89725</v>
      </c>
    </row>
    <row r="1118" customFormat="1" customHeight="1" spans="1:2">
      <c r="A1118" s="158">
        <v>44768</v>
      </c>
      <c r="B1118" s="168">
        <v>89502</v>
      </c>
    </row>
    <row r="1119" customFormat="1" customHeight="1" spans="1:2">
      <c r="A1119" s="158">
        <v>44769</v>
      </c>
      <c r="B1119" s="168">
        <v>88625</v>
      </c>
    </row>
    <row r="1120" customFormat="1" customHeight="1" spans="1:2">
      <c r="A1120" s="158">
        <v>44770</v>
      </c>
      <c r="B1120" s="168">
        <v>88249</v>
      </c>
    </row>
    <row r="1121" customHeight="1" spans="1:2">
      <c r="A1121" s="158">
        <v>44770</v>
      </c>
      <c r="B1121" s="168">
        <v>88249</v>
      </c>
    </row>
    <row r="1122" customHeight="1" spans="1:2">
      <c r="A1122" s="158">
        <v>44771</v>
      </c>
      <c r="B1122" s="168">
        <v>88394</v>
      </c>
    </row>
    <row r="1123" customHeight="1" spans="1:2">
      <c r="A1123" s="158">
        <v>44772</v>
      </c>
      <c r="B1123" s="168">
        <v>89386</v>
      </c>
    </row>
    <row r="1124" customHeight="1" spans="1:2">
      <c r="A1124" s="158">
        <v>44773</v>
      </c>
      <c r="B1124" s="168">
        <v>89949</v>
      </c>
    </row>
    <row r="1125" customHeight="1" spans="1:2">
      <c r="A1125" s="158">
        <v>44774</v>
      </c>
      <c r="B1125" s="168">
        <v>89212</v>
      </c>
    </row>
    <row r="1126" customHeight="1" spans="1:2">
      <c r="A1126" s="158">
        <v>44775</v>
      </c>
      <c r="B1126" s="168">
        <v>89465</v>
      </c>
    </row>
    <row r="1127" customHeight="1" spans="1:2">
      <c r="A1127" s="158">
        <v>44776</v>
      </c>
      <c r="B1127" s="168">
        <v>89862</v>
      </c>
    </row>
    <row r="1128" customHeight="1" spans="1:2">
      <c r="A1128" s="158">
        <v>44777</v>
      </c>
      <c r="B1128" s="168">
        <v>89801</v>
      </c>
    </row>
    <row r="1129" customHeight="1" spans="1:2">
      <c r="A1129" s="158">
        <v>44778</v>
      </c>
      <c r="B1129" s="168">
        <v>90654</v>
      </c>
    </row>
    <row r="1130" customHeight="1" spans="1:2">
      <c r="A1130" s="158">
        <v>44779</v>
      </c>
      <c r="B1130" s="168">
        <v>91941</v>
      </c>
    </row>
    <row r="1131" customHeight="1" spans="1:2">
      <c r="A1131" s="158">
        <v>44780</v>
      </c>
      <c r="B1131" s="168">
        <v>90711</v>
      </c>
    </row>
    <row r="1132" customHeight="1" spans="1:2">
      <c r="A1132" s="158">
        <v>44781</v>
      </c>
      <c r="B1132" s="168">
        <v>91738</v>
      </c>
    </row>
    <row r="1133" customHeight="1" spans="1:2">
      <c r="A1133" s="158">
        <v>44782</v>
      </c>
      <c r="B1133" s="168">
        <v>92913</v>
      </c>
    </row>
    <row r="1134" customHeight="1" spans="1:2">
      <c r="A1134" s="158">
        <v>44783</v>
      </c>
      <c r="B1134" s="168">
        <v>95563</v>
      </c>
    </row>
    <row r="1135" customHeight="1" spans="1:2">
      <c r="A1135" s="158">
        <v>44784</v>
      </c>
      <c r="B1135" s="168">
        <v>103091</v>
      </c>
    </row>
    <row r="1136" customHeight="1" spans="1:2">
      <c r="A1136" s="158">
        <v>44785</v>
      </c>
      <c r="B1136" s="168">
        <v>97090</v>
      </c>
    </row>
    <row r="1137" customHeight="1" spans="1:2">
      <c r="A1137" s="158">
        <v>44786</v>
      </c>
      <c r="B1137" s="168">
        <v>98547</v>
      </c>
    </row>
    <row r="1138" customHeight="1" spans="1:2">
      <c r="A1138" s="158">
        <v>44787</v>
      </c>
      <c r="B1138" s="168">
        <v>96491</v>
      </c>
    </row>
    <row r="1139" customHeight="1" spans="1:2">
      <c r="A1139" s="158">
        <v>44788</v>
      </c>
      <c r="B1139" s="168">
        <v>96115</v>
      </c>
    </row>
    <row r="1140" customHeight="1" spans="1:2">
      <c r="A1140" s="158">
        <v>44789</v>
      </c>
      <c r="B1140" s="168">
        <v>98430</v>
      </c>
    </row>
    <row r="1141" customHeight="1" spans="1:2">
      <c r="A1141" s="158">
        <v>44790</v>
      </c>
      <c r="B1141" s="168">
        <v>98461</v>
      </c>
    </row>
    <row r="1142" customHeight="1" spans="1:2">
      <c r="A1142" s="158">
        <v>44791</v>
      </c>
      <c r="B1142" s="168">
        <v>99540</v>
      </c>
    </row>
    <row r="1143" customHeight="1" spans="1:2">
      <c r="A1143" s="158">
        <v>44792</v>
      </c>
      <c r="B1143" s="168">
        <v>97155</v>
      </c>
    </row>
    <row r="1144" customHeight="1" spans="1:2">
      <c r="A1144" s="158">
        <v>44793</v>
      </c>
      <c r="B1144" s="168">
        <v>99279</v>
      </c>
    </row>
    <row r="1145" customHeight="1" spans="1:2">
      <c r="A1145" s="158">
        <v>44794</v>
      </c>
      <c r="B1145" s="168">
        <v>96822</v>
      </c>
    </row>
    <row r="1146" customHeight="1" spans="1:2">
      <c r="A1146" s="158">
        <v>44795</v>
      </c>
      <c r="B1146" s="168">
        <v>97195</v>
      </c>
    </row>
    <row r="1147" customHeight="1" spans="1:2">
      <c r="A1147" s="158">
        <v>44796</v>
      </c>
      <c r="B1147" s="168">
        <v>98483</v>
      </c>
    </row>
    <row r="1148" customHeight="1" spans="1:2">
      <c r="A1148" s="158">
        <v>44797</v>
      </c>
      <c r="B1148" s="168">
        <v>100941</v>
      </c>
    </row>
    <row r="1149" customHeight="1" spans="1:2">
      <c r="A1149" s="158">
        <v>44798</v>
      </c>
      <c r="B1149" s="168">
        <v>100142</v>
      </c>
    </row>
    <row r="1150" customHeight="1" spans="1:2">
      <c r="A1150" s="158">
        <v>44799</v>
      </c>
      <c r="B1150" s="168">
        <v>99141</v>
      </c>
    </row>
    <row r="1151" customHeight="1" spans="1:2">
      <c r="A1151" s="158">
        <v>44800</v>
      </c>
      <c r="B1151" s="168">
        <v>100573</v>
      </c>
    </row>
    <row r="1152" customHeight="1" spans="1:2">
      <c r="A1152" s="158">
        <v>44801</v>
      </c>
      <c r="B1152" s="168">
        <v>100183</v>
      </c>
    </row>
    <row r="1153" customHeight="1" spans="1:2">
      <c r="A1153" s="158">
        <v>44802</v>
      </c>
      <c r="B1153" s="168">
        <v>100783</v>
      </c>
    </row>
    <row r="1154" customHeight="1" spans="1:2">
      <c r="A1154" s="158">
        <v>44803</v>
      </c>
      <c r="B1154" s="168">
        <v>99668</v>
      </c>
    </row>
    <row r="1155" customHeight="1" spans="1:2">
      <c r="A1155" s="158">
        <v>44804</v>
      </c>
      <c r="B1155" s="168">
        <v>100218</v>
      </c>
    </row>
    <row r="1156" customHeight="1" spans="1:2">
      <c r="A1156" s="158">
        <v>44805</v>
      </c>
      <c r="B1156" s="168">
        <v>102410</v>
      </c>
    </row>
    <row r="1157" customHeight="1" spans="1:2">
      <c r="A1157" s="158">
        <v>44806</v>
      </c>
      <c r="B1157" s="168">
        <v>102175</v>
      </c>
    </row>
    <row r="1158" customHeight="1" spans="1:2">
      <c r="A1158" s="158">
        <v>44807</v>
      </c>
      <c r="B1158" s="168">
        <v>104857</v>
      </c>
    </row>
    <row r="1159" customHeight="1" spans="1:2">
      <c r="A1159" s="158">
        <v>44808</v>
      </c>
      <c r="B1159" s="168">
        <v>104896</v>
      </c>
    </row>
    <row r="1160" customHeight="1" spans="1:2">
      <c r="A1160" s="158">
        <v>44809</v>
      </c>
      <c r="B1160" s="168">
        <v>107623</v>
      </c>
    </row>
    <row r="1161" customHeight="1" spans="1:2">
      <c r="A1161" s="158">
        <v>44810</v>
      </c>
      <c r="B1161" s="168">
        <v>122268</v>
      </c>
    </row>
    <row r="1162" customHeight="1" spans="1:2">
      <c r="A1162" s="158">
        <v>44811</v>
      </c>
      <c r="B1162" s="168">
        <v>126623</v>
      </c>
    </row>
    <row r="1163" customHeight="1" spans="1:2">
      <c r="A1163" s="158">
        <v>44812</v>
      </c>
      <c r="B1163" s="168">
        <v>119102</v>
      </c>
    </row>
    <row r="1164" customHeight="1" spans="1:2">
      <c r="A1164" s="158">
        <v>44813</v>
      </c>
      <c r="B1164" s="168">
        <v>116308</v>
      </c>
    </row>
    <row r="1165" customHeight="1" spans="1:2">
      <c r="A1165" s="158">
        <v>44814</v>
      </c>
      <c r="B1165" s="168">
        <v>118953</v>
      </c>
    </row>
    <row r="1166" customHeight="1" spans="1:2">
      <c r="A1166" s="158">
        <v>44815</v>
      </c>
      <c r="B1166" s="168">
        <v>104211</v>
      </c>
    </row>
    <row r="1167" customHeight="1" spans="1:2">
      <c r="A1167" s="158">
        <v>44816</v>
      </c>
      <c r="B1167" s="168">
        <v>102919</v>
      </c>
    </row>
    <row r="1168" customHeight="1" spans="1:2">
      <c r="A1168" s="158">
        <v>44817</v>
      </c>
      <c r="B1168" s="168">
        <v>103164</v>
      </c>
    </row>
    <row r="1169" customHeight="1" spans="1:2">
      <c r="A1169" s="158">
        <v>44818</v>
      </c>
      <c r="B1169" s="168">
        <v>105095</v>
      </c>
    </row>
    <row r="1170" customHeight="1" spans="1:2">
      <c r="A1170" s="158">
        <v>44819</v>
      </c>
      <c r="B1170" s="168">
        <v>106063</v>
      </c>
    </row>
    <row r="1171" customHeight="1" spans="1:2">
      <c r="A1171" s="158">
        <v>44820</v>
      </c>
      <c r="B1171" s="168">
        <v>106709</v>
      </c>
    </row>
    <row r="1172" customHeight="1" spans="1:2">
      <c r="A1172" s="158">
        <v>44821</v>
      </c>
      <c r="B1172" s="168">
        <v>107788</v>
      </c>
    </row>
    <row r="1173" customHeight="1" spans="1:2">
      <c r="A1173" s="158">
        <v>44822</v>
      </c>
      <c r="B1173" s="168">
        <v>106556</v>
      </c>
    </row>
    <row r="1174" customHeight="1" spans="1:2">
      <c r="A1174" s="158">
        <v>44823</v>
      </c>
      <c r="B1174" s="168">
        <v>104498</v>
      </c>
    </row>
    <row r="1175" customHeight="1" spans="1:2">
      <c r="A1175" s="158">
        <v>44824</v>
      </c>
      <c r="B1175" s="168">
        <v>103483</v>
      </c>
    </row>
    <row r="1176" customHeight="1" spans="1:2">
      <c r="A1176" s="158">
        <v>44825</v>
      </c>
      <c r="B1176" s="168">
        <v>102838</v>
      </c>
    </row>
    <row r="1177" customHeight="1" spans="1:2">
      <c r="A1177" s="158">
        <v>44826</v>
      </c>
      <c r="B1177" s="168">
        <v>101645</v>
      </c>
    </row>
    <row r="1178" customHeight="1" spans="1:2">
      <c r="A1178" s="158">
        <v>44827</v>
      </c>
      <c r="B1178" s="168">
        <v>100762</v>
      </c>
    </row>
    <row r="1179" customHeight="1" spans="1:2">
      <c r="A1179" s="158">
        <v>44828</v>
      </c>
      <c r="B1179" s="168">
        <v>103690</v>
      </c>
    </row>
    <row r="1180" customHeight="1" spans="1:2">
      <c r="A1180" s="158">
        <v>44829</v>
      </c>
      <c r="B1180" s="168">
        <v>102563</v>
      </c>
    </row>
    <row r="1181" customHeight="1" spans="1:2">
      <c r="A1181" s="158">
        <v>44830</v>
      </c>
      <c r="B1181" s="168">
        <v>101015</v>
      </c>
    </row>
    <row r="1182" customHeight="1" spans="1:2">
      <c r="A1182" s="158">
        <v>44831</v>
      </c>
      <c r="B1182" s="168">
        <v>102991</v>
      </c>
    </row>
    <row r="1183" customHeight="1" spans="1:2">
      <c r="A1183" s="158">
        <v>44832</v>
      </c>
      <c r="B1183" s="168">
        <v>108466</v>
      </c>
    </row>
    <row r="1184" customHeight="1" spans="1:2">
      <c r="A1184" s="158">
        <v>44833</v>
      </c>
      <c r="B1184" s="168">
        <v>113685</v>
      </c>
    </row>
    <row r="1185" customHeight="1" spans="1:2">
      <c r="A1185" s="158">
        <v>44834</v>
      </c>
      <c r="B1185" s="168">
        <v>117380</v>
      </c>
    </row>
    <row r="1186" customHeight="1" spans="1:2">
      <c r="A1186" s="158">
        <v>44835</v>
      </c>
      <c r="B1186" s="168">
        <v>118933</v>
      </c>
    </row>
    <row r="1187" customHeight="1" spans="1:2">
      <c r="A1187" s="158">
        <v>44836</v>
      </c>
      <c r="B1187" s="168">
        <v>114368</v>
      </c>
    </row>
    <row r="1188" customHeight="1" spans="1:2">
      <c r="A1188" s="158">
        <v>44837</v>
      </c>
      <c r="B1188" s="168">
        <v>108422</v>
      </c>
    </row>
    <row r="1189" customHeight="1" spans="1:2">
      <c r="A1189" s="158">
        <v>44838</v>
      </c>
      <c r="B1189" s="168">
        <v>107080</v>
      </c>
    </row>
    <row r="1190" customHeight="1" spans="1:2">
      <c r="A1190" s="158">
        <v>44839</v>
      </c>
      <c r="B1190" s="168">
        <v>108274</v>
      </c>
    </row>
    <row r="1191" customHeight="1" spans="1:2">
      <c r="A1191" s="158">
        <v>44840</v>
      </c>
      <c r="B1191" s="168">
        <v>109038</v>
      </c>
    </row>
    <row r="1192" customHeight="1" spans="1:2">
      <c r="A1192" s="158">
        <v>44841</v>
      </c>
      <c r="B1192" s="168">
        <v>110002</v>
      </c>
    </row>
    <row r="1193" customHeight="1" spans="1:2">
      <c r="A1193" s="158">
        <v>44842</v>
      </c>
      <c r="B1193" s="168">
        <v>108893</v>
      </c>
    </row>
    <row r="1194" customHeight="1" spans="1:2">
      <c r="A1194" s="158">
        <v>44843</v>
      </c>
      <c r="B1194" s="168">
        <v>109051</v>
      </c>
    </row>
    <row r="1195" customHeight="1" spans="1:2">
      <c r="A1195" s="158">
        <v>44844</v>
      </c>
      <c r="B1195" s="168">
        <v>109000</v>
      </c>
    </row>
    <row r="1196" customHeight="1" spans="1:2">
      <c r="A1196" s="158">
        <v>44845</v>
      </c>
      <c r="B1196" s="168">
        <v>107826</v>
      </c>
    </row>
    <row r="1197" customHeight="1" spans="1:2">
      <c r="A1197" s="158">
        <v>44846</v>
      </c>
      <c r="B1197" s="168">
        <v>107535</v>
      </c>
    </row>
    <row r="1198" customHeight="1" spans="1:2">
      <c r="A1198" s="158">
        <v>44847</v>
      </c>
      <c r="B1198" s="168">
        <v>111834</v>
      </c>
    </row>
    <row r="1199" customHeight="1" spans="1:2">
      <c r="A1199" s="158">
        <v>44848</v>
      </c>
      <c r="B1199" s="168">
        <v>109876</v>
      </c>
    </row>
    <row r="1200" customHeight="1" spans="1:2">
      <c r="A1200" s="158">
        <v>44849</v>
      </c>
      <c r="B1200" s="168">
        <v>109918</v>
      </c>
    </row>
    <row r="1201" customHeight="1" spans="1:2">
      <c r="A1201" s="158">
        <v>44850</v>
      </c>
      <c r="B1201" s="168">
        <v>107953</v>
      </c>
    </row>
    <row r="1202" customHeight="1" spans="1:2">
      <c r="A1202" s="158">
        <v>44851</v>
      </c>
      <c r="B1202" s="168">
        <v>109248</v>
      </c>
    </row>
    <row r="1203" customHeight="1" spans="1:2">
      <c r="A1203" s="158">
        <v>44852</v>
      </c>
      <c r="B1203" s="168">
        <v>107820</v>
      </c>
    </row>
    <row r="1204" customHeight="1" spans="1:2">
      <c r="A1204" s="158">
        <v>44853</v>
      </c>
      <c r="B1204" s="168">
        <v>107478</v>
      </c>
    </row>
    <row r="1205" customHeight="1" spans="1:2">
      <c r="A1205" s="158">
        <v>44854</v>
      </c>
      <c r="B1205" s="168">
        <v>105640</v>
      </c>
    </row>
    <row r="1206" customHeight="1" spans="1:2">
      <c r="A1206" s="158">
        <v>44855</v>
      </c>
      <c r="B1206" s="168">
        <v>103560</v>
      </c>
    </row>
    <row r="1207" customHeight="1" spans="1:2">
      <c r="A1207" s="158">
        <v>44856</v>
      </c>
      <c r="B1207" s="168">
        <v>106931</v>
      </c>
    </row>
    <row r="1208" customHeight="1" spans="1:2">
      <c r="A1208" s="158">
        <v>44857</v>
      </c>
      <c r="B1208" s="168">
        <v>107014</v>
      </c>
    </row>
    <row r="1209" customHeight="1" spans="1:2">
      <c r="A1209" s="158">
        <v>44858</v>
      </c>
      <c r="B1209" s="168">
        <v>105395</v>
      </c>
    </row>
    <row r="1210" customHeight="1" spans="1:2">
      <c r="A1210" s="158">
        <v>44859</v>
      </c>
      <c r="B1210" s="168">
        <v>105978</v>
      </c>
    </row>
    <row r="1211" customHeight="1" spans="1:2">
      <c r="A1211" s="158">
        <v>44860</v>
      </c>
      <c r="B1211" s="168">
        <v>106571</v>
      </c>
    </row>
    <row r="1212" customHeight="1" spans="1:2">
      <c r="A1212" s="158">
        <v>44861</v>
      </c>
      <c r="B1212" s="168">
        <v>106100</v>
      </c>
    </row>
    <row r="1213" customHeight="1" spans="1:2">
      <c r="A1213" s="158">
        <v>44862</v>
      </c>
      <c r="B1213" s="168">
        <v>102748</v>
      </c>
    </row>
    <row r="1214" customHeight="1" spans="1:2">
      <c r="A1214" s="158">
        <v>44863</v>
      </c>
      <c r="B1214" s="168">
        <v>103572</v>
      </c>
    </row>
    <row r="1215" customHeight="1" spans="1:2">
      <c r="A1215" s="158">
        <v>44864</v>
      </c>
      <c r="B1215" s="168">
        <v>104379</v>
      </c>
    </row>
    <row r="1216" customHeight="1" spans="1:2">
      <c r="A1216" s="158">
        <v>44865</v>
      </c>
      <c r="B1216" s="168">
        <v>104212</v>
      </c>
    </row>
    <row r="1217" customHeight="1" spans="1:2">
      <c r="A1217" s="158">
        <v>44866</v>
      </c>
      <c r="B1217" s="168">
        <v>104000</v>
      </c>
    </row>
    <row r="1218" customHeight="1" spans="1:2">
      <c r="A1218" s="158">
        <v>44867</v>
      </c>
      <c r="B1218" s="168">
        <v>102988</v>
      </c>
    </row>
    <row r="1219" customHeight="1" spans="1:2">
      <c r="A1219" s="158">
        <v>44868</v>
      </c>
      <c r="B1219" s="168">
        <v>104102</v>
      </c>
    </row>
    <row r="1220" customHeight="1" spans="1:2">
      <c r="A1220" s="158">
        <v>44869</v>
      </c>
      <c r="B1220" s="168">
        <v>105219</v>
      </c>
    </row>
    <row r="1221" customHeight="1" spans="1:2">
      <c r="A1221" s="158">
        <v>44870</v>
      </c>
      <c r="B1221" s="168">
        <v>106428</v>
      </c>
    </row>
    <row r="1222" customHeight="1" spans="1:2">
      <c r="A1222" s="158">
        <v>44871</v>
      </c>
      <c r="B1222" s="168">
        <v>104833</v>
      </c>
    </row>
    <row r="1223" customHeight="1" spans="1:2">
      <c r="A1223" s="158">
        <v>44872</v>
      </c>
      <c r="B1223" s="168">
        <v>104609</v>
      </c>
    </row>
    <row r="1224" customHeight="1" spans="1:2">
      <c r="A1224" s="158">
        <v>44873</v>
      </c>
      <c r="B1224" s="168">
        <v>106366</v>
      </c>
    </row>
    <row r="1225" customHeight="1" spans="1:2">
      <c r="A1225" s="158">
        <v>44874</v>
      </c>
      <c r="B1225" s="168">
        <v>107013</v>
      </c>
    </row>
    <row r="1226" customHeight="1" spans="1:2">
      <c r="A1226" s="158">
        <v>44875</v>
      </c>
      <c r="B1226" s="168">
        <v>107074</v>
      </c>
    </row>
    <row r="1227" customHeight="1" spans="1:2">
      <c r="A1227" s="158">
        <v>44876</v>
      </c>
      <c r="B1227" s="168">
        <v>106615</v>
      </c>
    </row>
    <row r="1228" customHeight="1" spans="1:2">
      <c r="A1228" s="158">
        <v>44877</v>
      </c>
      <c r="B1228" s="168">
        <v>107747</v>
      </c>
    </row>
    <row r="1229" customHeight="1" spans="1:2">
      <c r="A1229" s="158">
        <v>44878</v>
      </c>
      <c r="B1229" s="168">
        <v>106978</v>
      </c>
    </row>
    <row r="1230" customHeight="1" spans="1:2">
      <c r="A1230" s="158">
        <v>44879</v>
      </c>
      <c r="B1230" s="168">
        <v>107341</v>
      </c>
    </row>
    <row r="1231" customHeight="1" spans="1:2">
      <c r="A1231" s="158">
        <v>44880</v>
      </c>
      <c r="B1231" s="168">
        <v>106621</v>
      </c>
    </row>
    <row r="1232" customHeight="1" spans="1:2">
      <c r="A1232" s="158">
        <v>44881</v>
      </c>
      <c r="B1232" s="168">
        <v>105067</v>
      </c>
    </row>
    <row r="1233" customHeight="1" spans="1:2">
      <c r="A1233" s="158">
        <v>44882</v>
      </c>
      <c r="B1233" s="168">
        <v>105210</v>
      </c>
    </row>
    <row r="1234" customHeight="1" spans="1:2">
      <c r="A1234" s="158">
        <v>44883</v>
      </c>
      <c r="B1234" s="168">
        <v>106578</v>
      </c>
    </row>
    <row r="1235" customHeight="1" spans="1:2">
      <c r="A1235" s="158">
        <v>44884</v>
      </c>
      <c r="B1235" s="168">
        <v>108094</v>
      </c>
    </row>
    <row r="1236" customHeight="1" spans="1:2">
      <c r="A1236" s="158">
        <v>44885</v>
      </c>
      <c r="B1236" s="168">
        <v>107666</v>
      </c>
    </row>
    <row r="1237" customHeight="1" spans="1:2">
      <c r="A1237" s="158">
        <v>44886</v>
      </c>
      <c r="B1237" s="168">
        <v>107562</v>
      </c>
    </row>
    <row r="1238" customHeight="1" spans="1:2">
      <c r="A1238" s="158">
        <v>44887</v>
      </c>
      <c r="B1238" s="168">
        <v>107246</v>
      </c>
    </row>
    <row r="1239" customHeight="1" spans="1:2">
      <c r="A1239" s="158">
        <v>44888</v>
      </c>
      <c r="B1239" s="168">
        <v>105837</v>
      </c>
    </row>
    <row r="1240" customHeight="1" spans="1:2">
      <c r="A1240" s="158">
        <v>44889</v>
      </c>
      <c r="B1240" s="168">
        <v>104948</v>
      </c>
    </row>
    <row r="1241" customHeight="1" spans="1:2">
      <c r="A1241" s="158">
        <v>44890</v>
      </c>
      <c r="B1241" s="168">
        <v>113410</v>
      </c>
    </row>
    <row r="1242" customHeight="1" spans="1:2">
      <c r="A1242" s="158">
        <v>44891</v>
      </c>
      <c r="B1242" s="168">
        <v>120233</v>
      </c>
    </row>
    <row r="1243" customHeight="1" spans="1:2">
      <c r="A1243" s="158">
        <v>44892</v>
      </c>
      <c r="B1243" s="168">
        <v>124086</v>
      </c>
    </row>
    <row r="1244" customHeight="1" spans="1:2">
      <c r="A1244" s="158">
        <v>44893</v>
      </c>
      <c r="B1244" s="168">
        <v>127459</v>
      </c>
    </row>
    <row r="1245" customHeight="1" spans="1:2">
      <c r="A1245" s="158">
        <v>44894</v>
      </c>
      <c r="B1245" s="168">
        <v>130846</v>
      </c>
    </row>
    <row r="1246" customHeight="1" spans="1:2">
      <c r="A1246" s="158">
        <v>44895</v>
      </c>
      <c r="B1246" s="168">
        <v>129409</v>
      </c>
    </row>
    <row r="1247" customHeight="1" spans="1:2">
      <c r="A1247" s="158">
        <v>44896</v>
      </c>
      <c r="B1247" s="168">
        <v>130098</v>
      </c>
    </row>
    <row r="1248" customHeight="1" spans="1:2">
      <c r="A1248" s="158">
        <v>44897</v>
      </c>
      <c r="B1248" s="168">
        <v>131830</v>
      </c>
    </row>
    <row r="1249" customHeight="1" spans="1:2">
      <c r="A1249" s="158">
        <v>44898</v>
      </c>
      <c r="B1249" s="168">
        <v>135461</v>
      </c>
    </row>
    <row r="1250" customHeight="1" spans="1:2">
      <c r="A1250" s="158">
        <v>44899</v>
      </c>
      <c r="B1250" s="168">
        <v>137425</v>
      </c>
    </row>
    <row r="1251" customHeight="1" spans="1:2">
      <c r="A1251" s="158">
        <v>44900</v>
      </c>
      <c r="B1251" s="168">
        <v>138146</v>
      </c>
    </row>
    <row r="1252" customHeight="1" spans="1:2">
      <c r="A1252" s="158">
        <v>44901</v>
      </c>
      <c r="B1252" s="168">
        <v>138813</v>
      </c>
    </row>
    <row r="1253" customHeight="1" spans="1:2">
      <c r="A1253" s="158">
        <v>44902</v>
      </c>
      <c r="B1253" s="168">
        <v>143178</v>
      </c>
    </row>
    <row r="1254" customHeight="1" spans="1:2">
      <c r="A1254" s="158">
        <v>44903</v>
      </c>
      <c r="B1254" s="168">
        <v>139686</v>
      </c>
    </row>
    <row r="1255" customHeight="1" spans="1:2">
      <c r="A1255" s="158">
        <v>44904</v>
      </c>
      <c r="B1255" s="168">
        <v>139348</v>
      </c>
    </row>
    <row r="1256" customHeight="1" spans="1:2">
      <c r="A1256" s="158">
        <v>44905</v>
      </c>
      <c r="B1256" s="168">
        <v>141730</v>
      </c>
    </row>
    <row r="1257" customHeight="1" spans="1:2">
      <c r="A1257" s="158">
        <v>44906</v>
      </c>
      <c r="B1257" s="168">
        <v>141299</v>
      </c>
    </row>
    <row r="1258" customHeight="1" spans="1:2">
      <c r="A1258" s="158">
        <v>44907</v>
      </c>
      <c r="B1258" s="168">
        <v>143084</v>
      </c>
    </row>
    <row r="1259" customHeight="1" spans="1:2">
      <c r="A1259" s="158">
        <v>44908</v>
      </c>
      <c r="B1259" s="168">
        <v>145985</v>
      </c>
    </row>
    <row r="1260" customHeight="1" spans="1:2">
      <c r="A1260" s="158">
        <v>44909</v>
      </c>
      <c r="B1260" s="168">
        <v>148943</v>
      </c>
    </row>
    <row r="1261" customHeight="1" spans="1:2">
      <c r="A1261" s="158">
        <v>44910</v>
      </c>
      <c r="B1261" s="168">
        <v>156144</v>
      </c>
    </row>
    <row r="1262" customHeight="1" spans="1:2">
      <c r="A1262" s="158">
        <v>44911</v>
      </c>
      <c r="B1262" s="168">
        <v>156803</v>
      </c>
    </row>
    <row r="1263" customHeight="1" spans="1:2">
      <c r="A1263" s="158">
        <v>44912</v>
      </c>
      <c r="B1263" s="168">
        <v>155262</v>
      </c>
    </row>
    <row r="1264" customHeight="1" spans="1:2">
      <c r="A1264" s="158">
        <v>44913</v>
      </c>
      <c r="B1264" s="168">
        <v>155428</v>
      </c>
    </row>
    <row r="1265" customHeight="1" spans="1:2">
      <c r="A1265" s="158">
        <v>44914</v>
      </c>
      <c r="B1265" s="168">
        <v>155603</v>
      </c>
    </row>
    <row r="1266" customHeight="1" spans="1:2">
      <c r="A1266" s="158">
        <v>44915</v>
      </c>
      <c r="B1266" s="168">
        <v>157161</v>
      </c>
    </row>
    <row r="1267" customHeight="1" spans="1:2">
      <c r="A1267" s="158">
        <v>44916</v>
      </c>
      <c r="B1267" s="168">
        <v>155484</v>
      </c>
    </row>
    <row r="1268" customHeight="1" spans="1:2">
      <c r="A1268" s="158">
        <v>44917</v>
      </c>
      <c r="B1268" s="168">
        <v>161421</v>
      </c>
    </row>
    <row r="1269" customHeight="1" spans="1:2">
      <c r="A1269" s="158">
        <v>44918</v>
      </c>
      <c r="B1269" s="168">
        <v>159449</v>
      </c>
    </row>
    <row r="1270" customHeight="1" spans="1:2">
      <c r="A1270" s="158">
        <v>44919</v>
      </c>
      <c r="B1270" s="168">
        <v>160023</v>
      </c>
    </row>
    <row r="1271" customHeight="1" spans="1:2">
      <c r="A1271" s="158">
        <v>44920</v>
      </c>
      <c r="B1271" s="168">
        <v>165226</v>
      </c>
    </row>
    <row r="1272" customHeight="1" spans="1:2">
      <c r="A1272" s="158">
        <v>44921</v>
      </c>
      <c r="B1272" s="168">
        <v>175692</v>
      </c>
    </row>
    <row r="1273" customHeight="1" spans="1:2">
      <c r="A1273" s="158">
        <v>44922</v>
      </c>
      <c r="B1273" s="168">
        <v>174965</v>
      </c>
    </row>
    <row r="1274" customHeight="1" spans="1:2">
      <c r="A1274" s="158">
        <v>44923</v>
      </c>
      <c r="B1274" s="168">
        <v>172849</v>
      </c>
    </row>
    <row r="1275" customHeight="1" spans="1:2">
      <c r="A1275" s="158">
        <v>44924</v>
      </c>
      <c r="B1275" s="168">
        <v>177298</v>
      </c>
    </row>
    <row r="1276" customHeight="1" spans="1:2">
      <c r="A1276" s="158">
        <v>44925</v>
      </c>
      <c r="B1276" s="168">
        <v>184392</v>
      </c>
    </row>
    <row r="1277" customHeight="1" spans="1:2">
      <c r="A1277" s="158">
        <v>44926</v>
      </c>
      <c r="B1277" s="168">
        <v>192718</v>
      </c>
    </row>
    <row r="1278" customHeight="1" spans="1:2">
      <c r="A1278" s="158">
        <v>44927</v>
      </c>
      <c r="B1278" s="168">
        <v>192689</v>
      </c>
    </row>
    <row r="1279" customHeight="1" spans="1:2">
      <c r="A1279" s="158">
        <v>44928</v>
      </c>
      <c r="B1279" s="168">
        <v>193013</v>
      </c>
    </row>
    <row r="1280" customHeight="1" spans="1:2">
      <c r="A1280" s="158">
        <v>44929</v>
      </c>
      <c r="B1280" s="168">
        <v>192319</v>
      </c>
    </row>
    <row r="1281" customHeight="1" spans="1:2">
      <c r="A1281" s="158">
        <v>44930</v>
      </c>
      <c r="B1281" s="168">
        <v>192894</v>
      </c>
    </row>
    <row r="1282" customHeight="1" spans="1:2">
      <c r="A1282" s="158">
        <v>44931</v>
      </c>
      <c r="B1282" s="168">
        <v>193400</v>
      </c>
    </row>
    <row r="1283" customHeight="1" spans="1:2">
      <c r="A1283" s="158">
        <v>44932</v>
      </c>
      <c r="B1283" s="168">
        <v>220224</v>
      </c>
    </row>
    <row r="1284" customHeight="1" spans="1:2">
      <c r="A1284" s="158">
        <v>44933</v>
      </c>
      <c r="B1284" s="168">
        <v>237608</v>
      </c>
    </row>
    <row r="1285" customHeight="1" spans="1:2">
      <c r="A1285" s="158">
        <v>44934</v>
      </c>
      <c r="B1285" s="168">
        <v>249566</v>
      </c>
    </row>
    <row r="1286" customHeight="1" spans="1:2">
      <c r="A1286" s="158">
        <v>44935</v>
      </c>
      <c r="B1286" s="168">
        <v>240974</v>
      </c>
    </row>
    <row r="1287" customHeight="1" spans="1:2">
      <c r="A1287" s="158">
        <v>44936</v>
      </c>
      <c r="B1287" s="168">
        <v>244918</v>
      </c>
    </row>
    <row r="1288" customHeight="1" spans="1:2">
      <c r="A1288" s="158">
        <v>44937</v>
      </c>
      <c r="B1288" s="168">
        <v>246450</v>
      </c>
    </row>
    <row r="1289" customHeight="1" spans="1:2">
      <c r="A1289" s="158">
        <v>44938</v>
      </c>
      <c r="B1289" s="168">
        <v>245504</v>
      </c>
    </row>
    <row r="1290" customHeight="1" spans="1:2">
      <c r="A1290" s="158">
        <v>44939</v>
      </c>
      <c r="B1290" s="168">
        <v>274026</v>
      </c>
    </row>
    <row r="1291" customHeight="1" spans="1:2">
      <c r="A1291" s="158">
        <v>44940</v>
      </c>
      <c r="B1291" s="168">
        <v>285387</v>
      </c>
    </row>
    <row r="1292" customHeight="1" spans="1:2">
      <c r="A1292" s="158">
        <v>44941</v>
      </c>
      <c r="B1292" s="168">
        <v>268020</v>
      </c>
    </row>
    <row r="1293" customHeight="1" spans="1:2">
      <c r="A1293" s="158">
        <v>44942</v>
      </c>
      <c r="B1293" s="168">
        <v>274048</v>
      </c>
    </row>
    <row r="1294" customHeight="1" spans="1:2">
      <c r="A1294" s="158">
        <v>44953</v>
      </c>
      <c r="B1294" s="168">
        <v>58078</v>
      </c>
    </row>
    <row r="1295" customHeight="1" spans="1:2">
      <c r="A1295" s="158">
        <v>44954</v>
      </c>
      <c r="B1295" s="168">
        <v>75562</v>
      </c>
    </row>
    <row r="1296" customHeight="1" spans="1:2">
      <c r="A1296" s="158">
        <v>44955</v>
      </c>
      <c r="B1296" s="168">
        <v>94134</v>
      </c>
    </row>
    <row r="1297" customHeight="1" spans="1:2">
      <c r="A1297" s="158">
        <v>44956</v>
      </c>
      <c r="B1297" s="168">
        <v>110499</v>
      </c>
    </row>
    <row r="1298" customHeight="1" spans="1:2">
      <c r="A1298" s="158">
        <v>44957</v>
      </c>
      <c r="B1298" s="168">
        <v>113640</v>
      </c>
    </row>
    <row r="1299" customHeight="1" spans="1:2">
      <c r="A1299" s="158">
        <v>44958</v>
      </c>
      <c r="B1299" s="168">
        <v>115619</v>
      </c>
    </row>
    <row r="1300" customHeight="1" spans="1:2">
      <c r="A1300" s="158">
        <v>44959</v>
      </c>
      <c r="B1300" s="168">
        <v>119562</v>
      </c>
    </row>
    <row r="1301" customHeight="1" spans="1:2">
      <c r="A1301" s="158">
        <v>44960</v>
      </c>
      <c r="B1301" s="168">
        <v>123970</v>
      </c>
    </row>
    <row r="1302" customHeight="1" spans="1:2">
      <c r="A1302" s="158">
        <v>44961</v>
      </c>
      <c r="B1302" s="168">
        <v>128853</v>
      </c>
    </row>
    <row r="1303" customHeight="1" spans="1:2">
      <c r="A1303" s="158">
        <v>44962</v>
      </c>
      <c r="B1303" s="168">
        <v>133080</v>
      </c>
    </row>
    <row r="1304" customHeight="1" spans="1:2">
      <c r="A1304" s="158">
        <v>44963</v>
      </c>
      <c r="B1304" s="168">
        <v>127622</v>
      </c>
    </row>
    <row r="1305" customHeight="1" spans="1:2">
      <c r="A1305" s="158">
        <v>44964</v>
      </c>
      <c r="B1305" s="168">
        <v>130071</v>
      </c>
    </row>
    <row r="1306" customHeight="1" spans="1:2">
      <c r="A1306" s="158">
        <v>44965</v>
      </c>
      <c r="B1306" s="168">
        <v>132742</v>
      </c>
    </row>
    <row r="1307" customHeight="1" spans="1:2">
      <c r="A1307" s="158">
        <v>44966</v>
      </c>
      <c r="B1307" s="168">
        <v>132066</v>
      </c>
    </row>
    <row r="1308" customHeight="1" spans="1:2">
      <c r="A1308" s="158">
        <v>44967</v>
      </c>
      <c r="B1308" s="168">
        <v>132256</v>
      </c>
    </row>
    <row r="1309" customHeight="1" spans="1:2">
      <c r="A1309" s="158">
        <v>44968</v>
      </c>
      <c r="B1309" s="168">
        <v>132917</v>
      </c>
    </row>
    <row r="1310" customHeight="1" spans="1:2">
      <c r="A1310" s="158">
        <v>44969</v>
      </c>
      <c r="B1310" s="168">
        <v>134494</v>
      </c>
    </row>
    <row r="1311" customHeight="1" spans="1:2">
      <c r="A1311" s="158">
        <v>44970</v>
      </c>
      <c r="B1311" s="168">
        <v>135505</v>
      </c>
    </row>
    <row r="1312" customHeight="1" spans="1:2">
      <c r="A1312" s="158">
        <v>44971</v>
      </c>
      <c r="B1312" s="168">
        <v>134179</v>
      </c>
    </row>
    <row r="1313" customHeight="1" spans="1:2">
      <c r="A1313" s="158">
        <v>44972</v>
      </c>
      <c r="B1313" s="168">
        <v>131617</v>
      </c>
    </row>
    <row r="1314" customHeight="1" spans="1:2">
      <c r="A1314" s="158">
        <v>44973</v>
      </c>
      <c r="B1314" s="168">
        <v>130031</v>
      </c>
    </row>
    <row r="1315" customHeight="1" spans="1:2">
      <c r="A1315" s="158">
        <v>44974</v>
      </c>
      <c r="B1315" s="168">
        <v>129984</v>
      </c>
    </row>
    <row r="1316" customHeight="1" spans="1:2">
      <c r="A1316" s="158">
        <v>44975</v>
      </c>
      <c r="B1316" s="168">
        <v>133468</v>
      </c>
    </row>
    <row r="1317" customHeight="1" spans="1:2">
      <c r="A1317" s="158">
        <v>44976</v>
      </c>
      <c r="B1317" s="168">
        <v>132221</v>
      </c>
    </row>
    <row r="1318" customHeight="1" spans="1:2">
      <c r="A1318" s="158">
        <v>44977</v>
      </c>
      <c r="B1318" s="168">
        <v>129742</v>
      </c>
    </row>
    <row r="1319" customHeight="1" spans="1:2">
      <c r="A1319" s="158">
        <v>44978</v>
      </c>
      <c r="B1319" s="168">
        <v>127185</v>
      </c>
    </row>
    <row r="1320" customHeight="1" spans="1:2">
      <c r="A1320" s="158">
        <v>44979</v>
      </c>
      <c r="B1320" s="168">
        <v>130880</v>
      </c>
    </row>
    <row r="1321" customHeight="1" spans="1:2">
      <c r="A1321" s="158">
        <v>44980</v>
      </c>
      <c r="B1321" s="168">
        <v>129984</v>
      </c>
    </row>
    <row r="1322" customHeight="1" spans="1:2">
      <c r="A1322" s="158">
        <v>44981</v>
      </c>
      <c r="B1322" s="168">
        <v>131260</v>
      </c>
    </row>
    <row r="1323" customHeight="1" spans="1:2">
      <c r="A1323" s="158">
        <v>44982</v>
      </c>
      <c r="B1323" s="168">
        <v>134155</v>
      </c>
    </row>
    <row r="1324" customHeight="1" spans="1:2">
      <c r="A1324" s="158">
        <v>44983</v>
      </c>
      <c r="B1324" s="168">
        <v>134375</v>
      </c>
    </row>
    <row r="1325" customHeight="1" spans="1:2">
      <c r="A1325" s="158">
        <v>44984</v>
      </c>
      <c r="B1325" s="168">
        <v>132385</v>
      </c>
    </row>
    <row r="1326" customHeight="1" spans="1:2">
      <c r="A1326" s="158">
        <v>44985</v>
      </c>
      <c r="B1326" s="168">
        <v>133478</v>
      </c>
    </row>
    <row r="1327" customHeight="1" spans="1:2">
      <c r="A1327" s="158">
        <v>44986</v>
      </c>
      <c r="B1327" s="168">
        <v>130944</v>
      </c>
    </row>
    <row r="1328" customHeight="1" spans="1:2">
      <c r="A1328" s="158">
        <v>44987</v>
      </c>
      <c r="B1328" s="168">
        <v>129919</v>
      </c>
    </row>
    <row r="1329" customHeight="1" spans="1:2">
      <c r="A1329" s="158">
        <v>44988</v>
      </c>
      <c r="B1329" s="168">
        <v>131207</v>
      </c>
    </row>
    <row r="1330" customHeight="1" spans="1:2">
      <c r="A1330" s="158">
        <v>44989</v>
      </c>
      <c r="B1330" s="168">
        <v>132001</v>
      </c>
    </row>
    <row r="1331" customHeight="1" spans="1:2">
      <c r="A1331" s="158">
        <v>44990</v>
      </c>
      <c r="B1331" s="168">
        <v>131287</v>
      </c>
    </row>
    <row r="1332" customHeight="1" spans="1:2">
      <c r="A1332" s="158">
        <v>44991</v>
      </c>
      <c r="B1332" s="168">
        <v>129507</v>
      </c>
    </row>
    <row r="1333" customHeight="1" spans="1:2">
      <c r="A1333" s="158">
        <v>44992</v>
      </c>
      <c r="B1333" s="168">
        <v>128951</v>
      </c>
    </row>
    <row r="1334" customHeight="1" spans="1:2">
      <c r="A1334" s="158">
        <v>44993</v>
      </c>
      <c r="B1334" s="168">
        <v>128322</v>
      </c>
    </row>
    <row r="1335" customHeight="1" spans="1:2">
      <c r="A1335" s="158">
        <v>44994</v>
      </c>
      <c r="B1335" s="168">
        <v>127077</v>
      </c>
    </row>
    <row r="1336" customHeight="1" spans="1:2">
      <c r="A1336" s="158">
        <v>44995</v>
      </c>
      <c r="B1336" s="168">
        <v>127531</v>
      </c>
    </row>
    <row r="1337" customHeight="1" spans="1:2">
      <c r="A1337" s="158">
        <v>44996</v>
      </c>
      <c r="B1337" s="168">
        <v>128575</v>
      </c>
    </row>
    <row r="1338" customHeight="1" spans="1:2">
      <c r="A1338" s="158">
        <v>44997</v>
      </c>
      <c r="B1338" s="168">
        <v>130986</v>
      </c>
    </row>
    <row r="1339" customHeight="1" spans="1:2">
      <c r="A1339" s="158">
        <v>44998</v>
      </c>
      <c r="B1339" s="168">
        <v>131861</v>
      </c>
    </row>
    <row r="1340" customHeight="1" spans="1:2">
      <c r="A1340" s="158">
        <v>44999</v>
      </c>
      <c r="B1340" s="168">
        <v>128759</v>
      </c>
    </row>
    <row r="1341" customHeight="1" spans="1:2">
      <c r="A1341" s="158">
        <v>45000</v>
      </c>
      <c r="B1341" s="168">
        <v>131374</v>
      </c>
    </row>
    <row r="1342" customHeight="1" spans="1:2">
      <c r="A1342" s="158">
        <v>45001</v>
      </c>
      <c r="B1342" s="168">
        <v>134603</v>
      </c>
    </row>
    <row r="1343" customHeight="1" spans="1:2">
      <c r="A1343" s="158">
        <v>45002</v>
      </c>
      <c r="B1343" s="168">
        <v>133278</v>
      </c>
    </row>
    <row r="1344" customHeight="1" spans="1:2">
      <c r="A1344" s="158">
        <v>45003</v>
      </c>
      <c r="B1344" s="168">
        <v>134895</v>
      </c>
    </row>
    <row r="1345" customHeight="1" spans="1:2">
      <c r="A1345" s="158">
        <v>45004</v>
      </c>
      <c r="B1345" s="168">
        <v>136748</v>
      </c>
    </row>
    <row r="1346" customHeight="1" spans="1:2">
      <c r="A1346" s="158">
        <v>45005</v>
      </c>
      <c r="B1346" s="168">
        <v>135747</v>
      </c>
    </row>
    <row r="1347" customHeight="1" spans="1:2">
      <c r="A1347" s="158">
        <v>45006</v>
      </c>
      <c r="B1347" s="168">
        <v>134840</v>
      </c>
    </row>
    <row r="1348" customHeight="1" spans="1:2">
      <c r="A1348" s="158">
        <v>45007</v>
      </c>
      <c r="B1348" s="168">
        <v>134460</v>
      </c>
    </row>
    <row r="1349" customHeight="1" spans="1:2">
      <c r="A1349" s="158">
        <v>45008</v>
      </c>
      <c r="B1349" s="168">
        <v>136002</v>
      </c>
    </row>
    <row r="1350" customHeight="1" spans="1:2">
      <c r="A1350" s="158">
        <v>45009</v>
      </c>
      <c r="B1350" s="168">
        <v>137621</v>
      </c>
    </row>
    <row r="1351" customHeight="1" spans="1:2">
      <c r="A1351" s="158">
        <v>45010</v>
      </c>
      <c r="B1351" s="168">
        <v>141664</v>
      </c>
    </row>
    <row r="1352" customHeight="1" spans="1:2">
      <c r="A1352" s="158">
        <v>45011</v>
      </c>
      <c r="B1352" s="168">
        <v>141179</v>
      </c>
    </row>
    <row r="1353" customHeight="1" spans="1:2">
      <c r="A1353" s="158">
        <v>45012</v>
      </c>
      <c r="B1353" s="168">
        <v>141176</v>
      </c>
    </row>
    <row r="1354" customHeight="1" spans="1:2">
      <c r="A1354" s="158">
        <v>45013</v>
      </c>
      <c r="B1354" s="168">
        <v>140071</v>
      </c>
    </row>
    <row r="1355" customHeight="1" spans="1:2">
      <c r="A1355" s="158">
        <v>45014</v>
      </c>
      <c r="B1355" s="168">
        <v>139105</v>
      </c>
    </row>
    <row r="1356" customHeight="1" spans="1:2">
      <c r="A1356" s="158">
        <v>45015</v>
      </c>
      <c r="B1356" s="168">
        <v>137326</v>
      </c>
    </row>
    <row r="1357" customHeight="1" spans="1:2">
      <c r="A1357" s="158">
        <v>45016</v>
      </c>
      <c r="B1357" s="168">
        <v>135134</v>
      </c>
    </row>
    <row r="1358" customHeight="1" spans="1:2">
      <c r="A1358" s="158">
        <v>45017</v>
      </c>
      <c r="B1358" s="168">
        <v>137636</v>
      </c>
    </row>
    <row r="1359" customHeight="1" spans="1:2">
      <c r="A1359" s="158">
        <v>45018</v>
      </c>
      <c r="B1359" s="168">
        <v>142445</v>
      </c>
    </row>
    <row r="1360" customHeight="1" spans="1:2">
      <c r="A1360" s="158">
        <v>45019</v>
      </c>
      <c r="B1360" s="168">
        <v>144836</v>
      </c>
    </row>
    <row r="1361" customHeight="1" spans="1:2">
      <c r="A1361" s="158">
        <v>45020</v>
      </c>
      <c r="B1361" s="168">
        <v>143894</v>
      </c>
    </row>
    <row r="1362" customHeight="1" spans="1:2">
      <c r="A1362" s="158">
        <v>45021</v>
      </c>
      <c r="B1362" s="168">
        <v>141586</v>
      </c>
    </row>
    <row r="1363" customHeight="1" spans="1:2">
      <c r="A1363" s="158">
        <v>45022</v>
      </c>
      <c r="B1363" s="168">
        <v>139229</v>
      </c>
    </row>
    <row r="1364" customHeight="1" spans="1:2">
      <c r="A1364" s="158">
        <v>45023</v>
      </c>
      <c r="B1364" s="168">
        <v>143434</v>
      </c>
    </row>
    <row r="1365" customHeight="1" spans="1:2">
      <c r="A1365" s="158">
        <v>45024</v>
      </c>
      <c r="B1365" s="168">
        <v>146474</v>
      </c>
    </row>
    <row r="1366" customHeight="1" spans="1:2">
      <c r="A1366" s="158">
        <v>45025</v>
      </c>
      <c r="B1366" s="168">
        <v>149960</v>
      </c>
    </row>
    <row r="1367" customHeight="1" spans="1:2">
      <c r="A1367" s="158">
        <v>45026</v>
      </c>
      <c r="B1367" s="168">
        <v>147368</v>
      </c>
    </row>
    <row r="1368" customHeight="1" spans="1:2">
      <c r="A1368" s="158">
        <v>45027</v>
      </c>
      <c r="B1368" s="168">
        <v>145325</v>
      </c>
    </row>
    <row r="1369" customHeight="1" spans="1:2">
      <c r="A1369" s="158">
        <v>45028</v>
      </c>
      <c r="B1369" s="168">
        <v>142499</v>
      </c>
    </row>
    <row r="1370" customHeight="1" spans="1:2">
      <c r="A1370" s="158">
        <v>45029</v>
      </c>
      <c r="B1370" s="168">
        <v>143037</v>
      </c>
    </row>
    <row r="1371" customHeight="1" spans="1:2">
      <c r="A1371" s="158">
        <v>45030</v>
      </c>
      <c r="B1371" s="168">
        <v>144690</v>
      </c>
    </row>
    <row r="1372" customHeight="1" spans="1:2">
      <c r="A1372" s="158">
        <v>45031</v>
      </c>
      <c r="B1372" s="168">
        <v>149817</v>
      </c>
    </row>
    <row r="1373" customHeight="1" spans="1:2">
      <c r="A1373" s="158">
        <v>45032</v>
      </c>
      <c r="B1373" s="168">
        <v>150801</v>
      </c>
    </row>
    <row r="1374" customHeight="1" spans="1:2">
      <c r="A1374" s="158">
        <v>45033</v>
      </c>
      <c r="B1374" s="168">
        <v>149708</v>
      </c>
    </row>
    <row r="1375" customHeight="1" spans="1:2">
      <c r="A1375" s="158">
        <v>45034</v>
      </c>
      <c r="B1375" s="168">
        <v>152251</v>
      </c>
    </row>
    <row r="1376" customHeight="1" spans="1:2">
      <c r="A1376" s="158">
        <v>45035</v>
      </c>
      <c r="B1376" s="168">
        <v>155100</v>
      </c>
    </row>
    <row r="1377" customHeight="1" spans="1:2">
      <c r="A1377" s="158">
        <v>45036</v>
      </c>
      <c r="B1377" s="168">
        <v>154255</v>
      </c>
    </row>
    <row r="1378" customHeight="1" spans="1:2">
      <c r="A1378" s="158">
        <v>45037</v>
      </c>
      <c r="B1378" s="168">
        <v>154806</v>
      </c>
    </row>
    <row r="1379" customHeight="1" spans="1:2">
      <c r="A1379" s="158">
        <v>45038</v>
      </c>
      <c r="B1379" s="168">
        <v>157296</v>
      </c>
    </row>
    <row r="1380" customHeight="1" spans="1:2">
      <c r="A1380" s="158">
        <v>45039</v>
      </c>
      <c r="B1380" s="168">
        <v>159753</v>
      </c>
    </row>
    <row r="1381" customHeight="1" spans="1:2">
      <c r="A1381" s="158">
        <v>45040</v>
      </c>
      <c r="B1381" s="168">
        <v>158113</v>
      </c>
    </row>
    <row r="1382" customHeight="1" spans="1:2">
      <c r="A1382" s="158">
        <v>45041</v>
      </c>
      <c r="B1382" s="168">
        <v>156311</v>
      </c>
    </row>
    <row r="1383" customHeight="1" spans="1:2">
      <c r="A1383" s="158">
        <v>45042</v>
      </c>
      <c r="B1383" s="168">
        <v>155445</v>
      </c>
    </row>
    <row r="1384" customHeight="1" spans="1:2">
      <c r="A1384" s="158">
        <v>45043</v>
      </c>
      <c r="B1384" s="168">
        <v>154110</v>
      </c>
    </row>
    <row r="1385" customHeight="1" spans="1:2">
      <c r="A1385" s="158">
        <v>45044</v>
      </c>
      <c r="B1385" s="168">
        <v>158108</v>
      </c>
    </row>
    <row r="1386" customHeight="1" spans="1:2">
      <c r="A1386" s="158">
        <v>45045</v>
      </c>
      <c r="B1386" s="168">
        <v>168609</v>
      </c>
    </row>
    <row r="1387" customHeight="1" spans="1:2">
      <c r="A1387" s="158">
        <v>45046</v>
      </c>
      <c r="B1387" s="168">
        <v>171174</v>
      </c>
    </row>
    <row r="1388" customHeight="1" spans="1:2">
      <c r="A1388" s="158">
        <v>45047</v>
      </c>
      <c r="B1388" s="168">
        <v>167382</v>
      </c>
    </row>
    <row r="1389" customHeight="1" spans="1:2">
      <c r="A1389" s="158">
        <v>45048</v>
      </c>
      <c r="B1389" s="168">
        <v>163412</v>
      </c>
    </row>
    <row r="1390" customHeight="1" spans="1:2">
      <c r="A1390" s="158">
        <v>45049</v>
      </c>
      <c r="B1390" s="168">
        <v>157395</v>
      </c>
    </row>
    <row r="1391" customHeight="1" spans="1:2">
      <c r="A1391" s="158">
        <v>45050</v>
      </c>
      <c r="B1391" s="168">
        <v>155082</v>
      </c>
    </row>
    <row r="1392" customHeight="1" spans="1:2">
      <c r="A1392" s="158">
        <v>45051</v>
      </c>
      <c r="B1392" s="168">
        <v>151696</v>
      </c>
    </row>
    <row r="1393" customHeight="1" spans="1:2">
      <c r="A1393" s="158">
        <v>45052</v>
      </c>
      <c r="B1393" s="168">
        <v>149631</v>
      </c>
    </row>
    <row r="1394" customHeight="1" spans="1:2">
      <c r="A1394" s="158">
        <v>45053</v>
      </c>
      <c r="B1394" s="168">
        <v>149932</v>
      </c>
    </row>
    <row r="1395" customHeight="1" spans="1:2">
      <c r="A1395" s="158">
        <v>45054</v>
      </c>
      <c r="B1395" s="168">
        <v>150313</v>
      </c>
    </row>
    <row r="1396" customHeight="1" spans="1:2">
      <c r="A1396" s="158">
        <v>45055</v>
      </c>
      <c r="B1396" s="168">
        <v>151305</v>
      </c>
    </row>
    <row r="1397" customHeight="1" spans="1:2">
      <c r="A1397" s="158">
        <v>45056</v>
      </c>
      <c r="B1397" s="168">
        <v>151507</v>
      </c>
    </row>
    <row r="1398" customHeight="1" spans="1:2">
      <c r="A1398" s="158">
        <v>45057</v>
      </c>
      <c r="B1398" s="168">
        <v>150726</v>
      </c>
    </row>
    <row r="1399" customHeight="1" spans="1:2">
      <c r="A1399" s="158">
        <v>45058</v>
      </c>
      <c r="B1399" s="168">
        <v>148237</v>
      </c>
    </row>
    <row r="1400" customHeight="1" spans="1:2">
      <c r="A1400" s="158">
        <v>45059</v>
      </c>
      <c r="B1400" s="168">
        <v>150969</v>
      </c>
    </row>
    <row r="1401" customHeight="1" spans="1:2">
      <c r="A1401" s="158">
        <v>45060</v>
      </c>
      <c r="B1401" s="168">
        <v>150116</v>
      </c>
    </row>
    <row r="1402" customHeight="1" spans="1:2">
      <c r="A1402" s="158">
        <v>45061</v>
      </c>
      <c r="B1402" s="168">
        <v>147766</v>
      </c>
    </row>
    <row r="1403" customHeight="1" spans="1:2">
      <c r="A1403" s="158">
        <v>45062</v>
      </c>
      <c r="B1403" s="168">
        <v>145819</v>
      </c>
    </row>
    <row r="1404" customHeight="1" spans="1:2">
      <c r="A1404" s="158">
        <v>45063</v>
      </c>
      <c r="B1404" s="168">
        <v>144584</v>
      </c>
    </row>
    <row r="1405" customHeight="1" spans="1:2">
      <c r="A1405" s="158">
        <v>45064</v>
      </c>
      <c r="B1405" s="168">
        <v>142600</v>
      </c>
    </row>
    <row r="1406" customHeight="1" spans="1:2">
      <c r="A1406" s="158">
        <v>45065</v>
      </c>
      <c r="B1406" s="108">
        <v>142853</v>
      </c>
    </row>
    <row r="1407" customHeight="1" spans="1:2">
      <c r="A1407" s="158">
        <v>45066</v>
      </c>
      <c r="B1407" s="108">
        <v>146784</v>
      </c>
    </row>
    <row r="1408" customHeight="1" spans="1:2">
      <c r="A1408" s="158">
        <v>45067</v>
      </c>
      <c r="B1408" s="108">
        <v>148320</v>
      </c>
    </row>
    <row r="1409" customHeight="1" spans="1:2">
      <c r="A1409" s="158">
        <v>45068</v>
      </c>
      <c r="B1409" s="108">
        <v>145495</v>
      </c>
    </row>
    <row r="1410" customHeight="1" spans="1:2">
      <c r="A1410" s="158">
        <v>45069</v>
      </c>
      <c r="B1410" s="108">
        <v>145789</v>
      </c>
    </row>
    <row r="1411" customHeight="1" spans="1:2">
      <c r="A1411" s="158">
        <v>45070</v>
      </c>
      <c r="B1411" s="108">
        <v>148141</v>
      </c>
    </row>
    <row r="1412" customHeight="1" spans="1:2">
      <c r="A1412" s="158">
        <v>45071</v>
      </c>
      <c r="B1412" s="108">
        <v>145533</v>
      </c>
    </row>
    <row r="1413" customHeight="1" spans="1:2">
      <c r="A1413" s="158">
        <v>45072</v>
      </c>
      <c r="B1413" s="108">
        <v>148225</v>
      </c>
    </row>
    <row r="1414" customHeight="1" spans="1:2">
      <c r="A1414" s="158">
        <v>45073</v>
      </c>
      <c r="B1414" s="108">
        <v>149931</v>
      </c>
    </row>
    <row r="1415" customHeight="1" spans="1:2">
      <c r="A1415" s="158">
        <v>45074</v>
      </c>
      <c r="B1415" s="108">
        <v>148734</v>
      </c>
    </row>
    <row r="1416" customHeight="1" spans="1:2">
      <c r="A1416" s="158">
        <v>45075</v>
      </c>
      <c r="B1416" s="108">
        <v>147010</v>
      </c>
    </row>
    <row r="1417" customHeight="1" spans="1:2">
      <c r="A1417" s="158">
        <v>45076</v>
      </c>
      <c r="B1417" s="108">
        <v>148746</v>
      </c>
    </row>
    <row r="1418" customHeight="1" spans="1:2">
      <c r="A1418" s="158">
        <v>45077</v>
      </c>
      <c r="B1418" s="108">
        <v>146642</v>
      </c>
    </row>
    <row r="1419" customHeight="1" spans="1:2">
      <c r="A1419" s="158">
        <v>45078</v>
      </c>
      <c r="B1419" s="108">
        <v>144664</v>
      </c>
    </row>
    <row r="1420" customHeight="1" spans="1:2">
      <c r="A1420" s="158">
        <v>45079</v>
      </c>
      <c r="B1420" s="108">
        <v>142742</v>
      </c>
    </row>
    <row r="1421" customHeight="1" spans="1:2">
      <c r="A1421" s="158">
        <v>45080</v>
      </c>
      <c r="B1421" s="108">
        <v>147235</v>
      </c>
    </row>
    <row r="1422" customHeight="1" spans="1:2">
      <c r="A1422" s="158">
        <v>45081</v>
      </c>
      <c r="B1422" s="108">
        <v>146570</v>
      </c>
    </row>
    <row r="1423" customHeight="1" spans="1:2">
      <c r="A1423" s="158">
        <v>45082</v>
      </c>
      <c r="B1423" s="108">
        <v>145648</v>
      </c>
    </row>
    <row r="1424" customHeight="1" spans="1:2">
      <c r="A1424" s="158">
        <v>45083</v>
      </c>
      <c r="B1424" s="108">
        <v>145531</v>
      </c>
    </row>
    <row r="1425" customHeight="1" spans="1:2">
      <c r="A1425" s="158">
        <v>45084</v>
      </c>
      <c r="B1425" s="108">
        <v>146892</v>
      </c>
    </row>
    <row r="1426" customHeight="1" spans="1:2">
      <c r="A1426" s="158">
        <v>45085</v>
      </c>
      <c r="B1426" s="108">
        <v>144399</v>
      </c>
    </row>
    <row r="1427" customHeight="1" spans="1:2">
      <c r="A1427" s="158">
        <v>45086</v>
      </c>
      <c r="B1427" s="108">
        <v>144117</v>
      </c>
    </row>
    <row r="1428" customHeight="1" spans="1:2">
      <c r="A1428" s="158">
        <v>45087</v>
      </c>
      <c r="B1428" s="108">
        <v>145128</v>
      </c>
    </row>
    <row r="1429" customHeight="1" spans="1:2">
      <c r="A1429" s="158">
        <v>45088</v>
      </c>
      <c r="B1429" s="108">
        <v>147688</v>
      </c>
    </row>
    <row r="1430" customHeight="1" spans="1:2">
      <c r="A1430" s="158">
        <v>45089</v>
      </c>
      <c r="B1430" s="108">
        <v>144611</v>
      </c>
    </row>
    <row r="1431" customHeight="1" spans="1:2">
      <c r="A1431" s="158">
        <v>45090</v>
      </c>
      <c r="B1431" s="108">
        <v>146037</v>
      </c>
    </row>
    <row r="1432" customHeight="1" spans="1:2">
      <c r="A1432" s="158">
        <v>45091</v>
      </c>
      <c r="B1432" s="108">
        <v>148142</v>
      </c>
    </row>
    <row r="1433" customHeight="1" spans="1:2">
      <c r="A1433" s="158">
        <v>45092</v>
      </c>
      <c r="B1433" s="108">
        <v>148342</v>
      </c>
    </row>
    <row r="1434" customHeight="1" spans="1:2">
      <c r="A1434" s="158">
        <v>45093</v>
      </c>
      <c r="B1434" s="108">
        <v>151165</v>
      </c>
    </row>
    <row r="1435" customHeight="1" spans="1:2">
      <c r="A1435" s="158">
        <v>45094</v>
      </c>
      <c r="B1435" s="108">
        <v>152657</v>
      </c>
    </row>
    <row r="1436" customHeight="1" spans="1:2">
      <c r="A1436" s="158">
        <v>45095</v>
      </c>
      <c r="B1436" s="108">
        <v>152434</v>
      </c>
    </row>
    <row r="1437" customHeight="1" spans="1:2">
      <c r="A1437" s="158">
        <v>45096</v>
      </c>
      <c r="B1437" s="108">
        <v>151291</v>
      </c>
    </row>
    <row r="1438" customHeight="1" spans="1:2">
      <c r="A1438" s="158">
        <v>45097</v>
      </c>
      <c r="B1438" s="108">
        <v>153863</v>
      </c>
    </row>
    <row r="1439" customHeight="1" spans="1:2">
      <c r="A1439" s="158">
        <v>45098</v>
      </c>
      <c r="B1439" s="108">
        <v>155590</v>
      </c>
    </row>
    <row r="1440" customHeight="1" spans="1:2">
      <c r="A1440" s="158">
        <v>45099</v>
      </c>
      <c r="B1440" s="108">
        <v>158761</v>
      </c>
    </row>
    <row r="1441" customHeight="1" spans="1:2">
      <c r="A1441" s="158">
        <v>45100</v>
      </c>
      <c r="B1441" s="108">
        <v>153651</v>
      </c>
    </row>
    <row r="1442" customHeight="1" spans="1:2">
      <c r="A1442" s="158">
        <v>45101</v>
      </c>
      <c r="B1442" s="108">
        <v>148433</v>
      </c>
    </row>
    <row r="1443" customHeight="1" spans="1:2">
      <c r="A1443" s="158">
        <v>45102</v>
      </c>
      <c r="B1443" s="108">
        <v>145546</v>
      </c>
    </row>
    <row r="1444" customHeight="1" spans="1:2">
      <c r="A1444" s="158">
        <v>45103</v>
      </c>
      <c r="B1444" s="108">
        <v>141952</v>
      </c>
    </row>
    <row r="1445" customHeight="1" spans="1:2">
      <c r="A1445" s="158">
        <v>45104</v>
      </c>
      <c r="B1445" s="108">
        <v>138259</v>
      </c>
    </row>
    <row r="1446" customHeight="1" spans="1:2">
      <c r="A1446" s="158">
        <v>45105</v>
      </c>
      <c r="B1446" s="108">
        <v>137806</v>
      </c>
    </row>
    <row r="1447" customHeight="1" spans="1:2">
      <c r="A1447" s="158">
        <v>45106</v>
      </c>
      <c r="B1447" s="108">
        <v>137633</v>
      </c>
    </row>
    <row r="1448" customHeight="1" spans="1:2">
      <c r="A1448" s="158">
        <v>45107</v>
      </c>
      <c r="B1448" s="108">
        <v>140030</v>
      </c>
    </row>
    <row r="1449" customHeight="1" spans="1:2">
      <c r="A1449" s="158">
        <v>45108</v>
      </c>
      <c r="B1449" s="108">
        <v>140648</v>
      </c>
    </row>
    <row r="1450" customHeight="1" spans="1:2">
      <c r="A1450" s="158">
        <v>45109</v>
      </c>
      <c r="B1450" s="108">
        <v>143959</v>
      </c>
    </row>
    <row r="1451" customHeight="1" spans="1:2">
      <c r="A1451" s="158">
        <v>45110</v>
      </c>
      <c r="B1451" s="108">
        <v>142541</v>
      </c>
    </row>
    <row r="1452" customHeight="1" spans="1:2">
      <c r="A1452" s="158">
        <v>45111</v>
      </c>
      <c r="B1452" s="108">
        <v>144021</v>
      </c>
    </row>
    <row r="1453" customHeight="1" spans="1:2">
      <c r="A1453" s="158">
        <v>45112</v>
      </c>
      <c r="B1453" s="108">
        <v>145827</v>
      </c>
    </row>
    <row r="1454" customHeight="1" spans="1:2">
      <c r="A1454" s="158">
        <v>45113</v>
      </c>
      <c r="B1454" s="108">
        <v>143631</v>
      </c>
    </row>
    <row r="1455" customHeight="1" spans="1:2">
      <c r="A1455" s="158">
        <v>45114</v>
      </c>
      <c r="B1455" s="108">
        <v>143673</v>
      </c>
    </row>
    <row r="1456" customHeight="1" spans="1:2">
      <c r="A1456" s="158">
        <v>45115</v>
      </c>
      <c r="B1456" s="108">
        <v>146292</v>
      </c>
    </row>
    <row r="1457" customHeight="1" spans="1:2">
      <c r="A1457" s="158">
        <v>45116</v>
      </c>
      <c r="B1457" s="108">
        <v>146450</v>
      </c>
    </row>
    <row r="1458" customHeight="1" spans="1:2">
      <c r="A1458" s="158">
        <v>45117</v>
      </c>
      <c r="B1458" s="108">
        <v>144971</v>
      </c>
    </row>
    <row r="1459" customHeight="1" spans="1:2">
      <c r="A1459" s="158">
        <v>45118</v>
      </c>
      <c r="B1459" s="108">
        <v>144554</v>
      </c>
    </row>
    <row r="1460" customHeight="1" spans="1:2">
      <c r="A1460" s="158">
        <v>45119</v>
      </c>
      <c r="B1460" s="108">
        <v>146502</v>
      </c>
    </row>
    <row r="1461" customHeight="1" spans="1:2">
      <c r="A1461" s="158">
        <v>45120</v>
      </c>
      <c r="B1461" s="108">
        <v>144288</v>
      </c>
    </row>
    <row r="1462" customHeight="1" spans="1:2">
      <c r="A1462" s="158">
        <v>45121</v>
      </c>
      <c r="B1462" s="108">
        <v>146265</v>
      </c>
    </row>
    <row r="1463" customHeight="1" spans="1:2">
      <c r="A1463" s="158">
        <v>45122</v>
      </c>
      <c r="B1463" s="108">
        <v>147068</v>
      </c>
    </row>
    <row r="1464" customHeight="1" spans="1:2">
      <c r="A1464" s="158">
        <v>45123</v>
      </c>
      <c r="B1464" s="108">
        <v>150225</v>
      </c>
    </row>
    <row r="1465" customHeight="1" spans="1:2">
      <c r="A1465" s="158">
        <v>45124</v>
      </c>
      <c r="B1465" s="108">
        <v>147462</v>
      </c>
    </row>
    <row r="1466" customHeight="1" spans="1:2">
      <c r="A1466" s="158">
        <v>45125</v>
      </c>
      <c r="B1466" s="108">
        <v>146227</v>
      </c>
    </row>
    <row r="1467" customHeight="1" spans="1:2">
      <c r="A1467" s="158">
        <v>45126</v>
      </c>
      <c r="B1467" s="108">
        <v>147005</v>
      </c>
    </row>
    <row r="1468" customHeight="1" spans="1:2">
      <c r="A1468" s="158">
        <v>45127</v>
      </c>
      <c r="B1468" s="108">
        <v>148679</v>
      </c>
    </row>
    <row r="1469" customHeight="1" spans="1:2">
      <c r="A1469" s="158">
        <v>45128</v>
      </c>
      <c r="B1469" s="108">
        <v>148154</v>
      </c>
    </row>
    <row r="1470" customHeight="1" spans="1:2">
      <c r="A1470" s="158">
        <v>45129</v>
      </c>
      <c r="B1470" s="108">
        <v>150808</v>
      </c>
    </row>
    <row r="1471" customHeight="1" spans="1:2">
      <c r="A1471" s="158">
        <v>45130</v>
      </c>
      <c r="B1471" s="108">
        <v>150148</v>
      </c>
    </row>
    <row r="1472" customHeight="1" spans="1:2">
      <c r="A1472" s="158">
        <v>45131</v>
      </c>
      <c r="B1472" s="108">
        <v>150239</v>
      </c>
    </row>
    <row r="1473" customHeight="1" spans="1:2">
      <c r="A1473" s="158">
        <v>45132</v>
      </c>
      <c r="B1473" s="108">
        <v>148024</v>
      </c>
    </row>
    <row r="1474" customHeight="1" spans="1:2">
      <c r="A1474" s="158">
        <v>45133</v>
      </c>
      <c r="B1474" s="108">
        <v>149864</v>
      </c>
    </row>
    <row r="1475" customHeight="1" spans="1:2">
      <c r="A1475" s="158">
        <v>45134</v>
      </c>
      <c r="B1475" s="108">
        <v>147111</v>
      </c>
    </row>
    <row r="1476" customHeight="1" spans="1:2">
      <c r="A1476" s="158">
        <v>45135</v>
      </c>
      <c r="B1476" s="108">
        <v>143330</v>
      </c>
    </row>
    <row r="1477" customHeight="1" spans="1:2">
      <c r="A1477" s="158">
        <v>45136</v>
      </c>
      <c r="B1477" s="108">
        <v>145625</v>
      </c>
    </row>
    <row r="1478" customHeight="1" spans="1:2">
      <c r="A1478" s="158">
        <v>45137</v>
      </c>
      <c r="B1478" s="108">
        <v>144382</v>
      </c>
    </row>
    <row r="1479" customHeight="1" spans="1:2">
      <c r="A1479" s="158">
        <v>45138</v>
      </c>
      <c r="B1479" s="108">
        <v>141309</v>
      </c>
    </row>
    <row r="1480" customHeight="1" spans="1:2">
      <c r="A1480" s="158">
        <v>45139</v>
      </c>
      <c r="B1480" s="108">
        <v>137428</v>
      </c>
    </row>
    <row r="1481" customHeight="1" spans="1:2">
      <c r="A1481" s="158">
        <v>45140</v>
      </c>
      <c r="B1481" s="108">
        <v>135345</v>
      </c>
    </row>
    <row r="1482" customHeight="1" spans="1:2">
      <c r="A1482" s="158">
        <v>45141</v>
      </c>
      <c r="B1482" s="108">
        <v>135485</v>
      </c>
    </row>
    <row r="1483" customHeight="1" spans="1:2">
      <c r="A1483" s="158">
        <v>45142</v>
      </c>
      <c r="B1483" s="108">
        <v>135658</v>
      </c>
    </row>
    <row r="1484" customHeight="1" spans="1:2">
      <c r="A1484" s="158">
        <v>45143</v>
      </c>
      <c r="B1484" s="108">
        <v>139179</v>
      </c>
    </row>
    <row r="1485" customHeight="1" spans="1:2">
      <c r="A1485" s="158">
        <v>45144</v>
      </c>
      <c r="B1485" s="108">
        <v>139832</v>
      </c>
    </row>
    <row r="1486" customHeight="1" spans="1:2">
      <c r="A1486" s="158">
        <v>45145</v>
      </c>
      <c r="B1486" s="108">
        <v>137562</v>
      </c>
    </row>
    <row r="1487" customHeight="1" spans="1:2">
      <c r="A1487" s="158">
        <v>45146</v>
      </c>
      <c r="B1487" s="108">
        <v>135337</v>
      </c>
    </row>
    <row r="1488" customHeight="1" spans="1:2">
      <c r="A1488" s="158">
        <v>45147</v>
      </c>
      <c r="B1488" s="108">
        <v>135840</v>
      </c>
    </row>
    <row r="1489" customHeight="1" spans="1:2">
      <c r="A1489" s="158">
        <v>45148</v>
      </c>
      <c r="B1489" s="108">
        <v>133568</v>
      </c>
    </row>
    <row r="1490" customHeight="1" spans="1:2">
      <c r="A1490" s="158">
        <v>45149</v>
      </c>
      <c r="B1490" s="108">
        <v>134670</v>
      </c>
    </row>
    <row r="1491" customHeight="1" spans="1:2">
      <c r="A1491" s="158">
        <v>45150</v>
      </c>
      <c r="B1491" s="108">
        <v>135965</v>
      </c>
    </row>
    <row r="1492" customHeight="1" spans="1:2">
      <c r="A1492" s="158">
        <v>45151</v>
      </c>
      <c r="B1492" s="108">
        <v>137024</v>
      </c>
    </row>
    <row r="1493" customHeight="1" spans="1:2">
      <c r="A1493" s="158">
        <v>45152</v>
      </c>
      <c r="B1493" s="108">
        <v>135027</v>
      </c>
    </row>
    <row r="1494" customHeight="1" spans="1:2">
      <c r="A1494" s="158">
        <v>45153</v>
      </c>
      <c r="B1494" s="108">
        <v>136373</v>
      </c>
    </row>
    <row r="1495" customHeight="1" spans="1:2">
      <c r="A1495" s="158">
        <v>45154</v>
      </c>
      <c r="B1495" s="108">
        <v>136224</v>
      </c>
    </row>
    <row r="1496" customHeight="1" spans="1:2">
      <c r="A1496" s="158">
        <v>45155</v>
      </c>
      <c r="B1496" s="108">
        <v>138378</v>
      </c>
    </row>
    <row r="1497" customHeight="1" spans="1:2">
      <c r="A1497" s="158">
        <v>45156</v>
      </c>
      <c r="B1497" s="108">
        <v>136735</v>
      </c>
    </row>
    <row r="1498" customHeight="1" spans="1:2">
      <c r="A1498" s="158">
        <v>45157</v>
      </c>
      <c r="B1498" s="108">
        <v>137694</v>
      </c>
    </row>
    <row r="1499" customHeight="1" spans="1:2">
      <c r="A1499" s="158">
        <v>45158</v>
      </c>
      <c r="B1499" s="108">
        <v>137941</v>
      </c>
    </row>
    <row r="1500" customHeight="1" spans="1:2">
      <c r="A1500" s="158">
        <v>45159</v>
      </c>
      <c r="B1500" s="108">
        <v>137495</v>
      </c>
    </row>
    <row r="1501" customHeight="1" spans="1:2">
      <c r="A1501" s="158">
        <v>45160</v>
      </c>
      <c r="B1501" s="108">
        <v>139128</v>
      </c>
    </row>
    <row r="1502" customHeight="1" spans="1:2">
      <c r="A1502" s="158">
        <v>45161</v>
      </c>
      <c r="B1502" s="108">
        <v>141524</v>
      </c>
    </row>
    <row r="1503" customHeight="1" spans="1:2">
      <c r="A1503" s="158">
        <v>45162</v>
      </c>
      <c r="B1503" s="108">
        <v>142377</v>
      </c>
    </row>
    <row r="1504" customHeight="1" spans="1:2">
      <c r="A1504" s="158">
        <v>45163</v>
      </c>
      <c r="B1504" s="108">
        <v>143561</v>
      </c>
    </row>
    <row r="1505" customHeight="1" spans="1:2">
      <c r="A1505" s="158">
        <v>45164</v>
      </c>
      <c r="B1505" s="108">
        <v>143305</v>
      </c>
    </row>
    <row r="1506" customHeight="1" spans="1:2">
      <c r="A1506" s="158">
        <v>45165</v>
      </c>
      <c r="B1506" s="108">
        <v>145736</v>
      </c>
    </row>
    <row r="1507" customHeight="1" spans="1:2">
      <c r="A1507" s="158">
        <v>45166</v>
      </c>
      <c r="B1507" s="108">
        <v>144222</v>
      </c>
    </row>
    <row r="1508" customHeight="1" spans="1:2">
      <c r="A1508" s="158">
        <v>45167</v>
      </c>
      <c r="B1508" s="108">
        <v>146057</v>
      </c>
    </row>
    <row r="1509" customHeight="1" spans="1:2">
      <c r="A1509" s="158">
        <v>45168</v>
      </c>
      <c r="B1509" s="108">
        <v>147297</v>
      </c>
    </row>
    <row r="1510" customHeight="1" spans="1:2">
      <c r="A1510" s="158">
        <v>45169</v>
      </c>
      <c r="B1510" s="108">
        <v>144568</v>
      </c>
    </row>
    <row r="1511" customHeight="1" spans="1:2">
      <c r="A1511" s="158">
        <v>45170</v>
      </c>
      <c r="B1511" s="108">
        <v>143860</v>
      </c>
    </row>
    <row r="1512" customHeight="1" spans="1:2">
      <c r="A1512" s="158">
        <v>45171</v>
      </c>
      <c r="B1512" s="108">
        <v>143500</v>
      </c>
    </row>
    <row r="1513" customHeight="1" spans="1:2">
      <c r="A1513" s="158">
        <v>45172</v>
      </c>
      <c r="B1513" s="108">
        <v>143636</v>
      </c>
    </row>
    <row r="1514" customHeight="1" spans="1:2">
      <c r="A1514" s="158">
        <v>45173</v>
      </c>
      <c r="B1514" s="108">
        <v>142898</v>
      </c>
    </row>
    <row r="1515" customHeight="1" spans="1:2">
      <c r="A1515" s="158">
        <v>45174</v>
      </c>
      <c r="B1515" s="108">
        <v>143703</v>
      </c>
    </row>
    <row r="1516" customHeight="1" spans="1:2">
      <c r="A1516" s="158">
        <v>45175</v>
      </c>
      <c r="B1516" s="108">
        <v>144174</v>
      </c>
    </row>
    <row r="1517" customHeight="1" spans="1:2">
      <c r="A1517" s="158">
        <v>45176</v>
      </c>
      <c r="B1517" s="108">
        <v>143420</v>
      </c>
    </row>
    <row r="1518" customHeight="1" spans="1:2">
      <c r="A1518" s="158">
        <v>45177</v>
      </c>
      <c r="B1518" s="108">
        <v>143869</v>
      </c>
    </row>
    <row r="1519" customHeight="1" spans="1:2">
      <c r="A1519" s="158">
        <v>45178</v>
      </c>
      <c r="B1519" s="108">
        <v>145740</v>
      </c>
    </row>
    <row r="1520" customHeight="1" spans="1:2">
      <c r="A1520" s="158">
        <v>45179</v>
      </c>
      <c r="B1520" s="108">
        <v>146677</v>
      </c>
    </row>
    <row r="1521" customHeight="1" spans="1:2">
      <c r="A1521" s="158">
        <v>45180</v>
      </c>
      <c r="B1521" s="108">
        <v>146309</v>
      </c>
    </row>
    <row r="1522" customHeight="1" spans="1:2">
      <c r="A1522" s="158">
        <v>45181</v>
      </c>
      <c r="B1522" s="108">
        <v>147096</v>
      </c>
    </row>
    <row r="1523" customHeight="1" spans="1:2">
      <c r="A1523" s="158">
        <v>45182</v>
      </c>
      <c r="B1523" s="108">
        <v>145524</v>
      </c>
    </row>
    <row r="1524" customHeight="1" spans="1:2">
      <c r="A1524" s="158">
        <v>45183</v>
      </c>
      <c r="B1524" s="108">
        <v>144507</v>
      </c>
    </row>
    <row r="1525" customHeight="1" spans="1:2">
      <c r="A1525" s="158">
        <v>45184</v>
      </c>
      <c r="B1525" s="108">
        <v>144009</v>
      </c>
    </row>
    <row r="1526" customHeight="1" spans="1:2">
      <c r="A1526" s="158">
        <v>45185</v>
      </c>
      <c r="B1526" s="108">
        <v>149829</v>
      </c>
    </row>
    <row r="1527" customHeight="1" spans="1:2">
      <c r="A1527" s="158">
        <v>45186</v>
      </c>
      <c r="B1527" s="108">
        <v>150027</v>
      </c>
    </row>
    <row r="1528" customHeight="1" spans="1:2">
      <c r="A1528" s="158">
        <v>45187</v>
      </c>
      <c r="B1528" s="108">
        <v>149004</v>
      </c>
    </row>
    <row r="1529" customHeight="1" spans="1:2">
      <c r="A1529" s="158">
        <v>45188</v>
      </c>
      <c r="B1529" s="108">
        <v>149874</v>
      </c>
    </row>
    <row r="1530" customHeight="1" spans="1:2">
      <c r="A1530" s="158">
        <v>45189</v>
      </c>
      <c r="B1530" s="108">
        <v>148141</v>
      </c>
    </row>
    <row r="1531" customHeight="1" spans="1:2">
      <c r="A1531" s="158">
        <v>45190</v>
      </c>
      <c r="B1531" s="108">
        <v>150737</v>
      </c>
    </row>
    <row r="1532" customHeight="1" spans="1:2">
      <c r="A1532" s="158">
        <v>45191</v>
      </c>
      <c r="B1532" s="108">
        <v>153438</v>
      </c>
    </row>
    <row r="1533" customHeight="1" spans="1:2">
      <c r="A1533" s="158">
        <v>45192</v>
      </c>
      <c r="B1533" s="108">
        <v>154094</v>
      </c>
    </row>
    <row r="1534" customHeight="1" spans="1:2">
      <c r="A1534" s="158">
        <v>45193</v>
      </c>
      <c r="B1534" s="108">
        <v>161257</v>
      </c>
    </row>
    <row r="1535" customHeight="1" spans="1:2">
      <c r="A1535" s="158">
        <v>45194</v>
      </c>
      <c r="B1535" s="108">
        <v>174092</v>
      </c>
    </row>
    <row r="1536" customHeight="1" spans="1:2">
      <c r="A1536" s="158">
        <v>45195</v>
      </c>
      <c r="B1536" s="108">
        <v>177936</v>
      </c>
    </row>
    <row r="1537" customHeight="1" spans="1:2">
      <c r="A1537" s="158">
        <v>45196</v>
      </c>
      <c r="B1537" s="108">
        <v>183003</v>
      </c>
    </row>
    <row r="1538" customHeight="1" spans="1:2">
      <c r="A1538" s="158">
        <v>45197</v>
      </c>
      <c r="B1538" s="108">
        <v>177748</v>
      </c>
    </row>
    <row r="1539" customHeight="1" spans="1:2">
      <c r="A1539" s="158">
        <v>45198</v>
      </c>
      <c r="B1539" s="108">
        <v>182992</v>
      </c>
    </row>
    <row r="1540" customHeight="1" spans="1:2">
      <c r="A1540" s="158">
        <v>45199</v>
      </c>
      <c r="B1540" s="108">
        <v>162149</v>
      </c>
    </row>
    <row r="1541" customHeight="1" spans="1:2">
      <c r="A1541" s="158">
        <v>45200</v>
      </c>
      <c r="B1541" s="108">
        <v>154294</v>
      </c>
    </row>
    <row r="1542" customHeight="1" spans="1:2">
      <c r="A1542" s="158">
        <v>45201</v>
      </c>
      <c r="B1542" s="108">
        <v>150208</v>
      </c>
    </row>
    <row r="1543" customHeight="1" spans="1:2">
      <c r="A1543" s="158">
        <v>45202</v>
      </c>
      <c r="B1543" s="108">
        <v>144392</v>
      </c>
    </row>
    <row r="1544" customHeight="1" spans="1:2">
      <c r="A1544" s="158">
        <v>45203</v>
      </c>
      <c r="B1544" s="108">
        <v>142250</v>
      </c>
    </row>
    <row r="1545" customHeight="1" spans="1:2">
      <c r="A1545" s="158">
        <v>45204</v>
      </c>
      <c r="B1545" s="108">
        <v>143468</v>
      </c>
    </row>
    <row r="1546" customHeight="1" spans="1:2">
      <c r="A1546" s="158">
        <v>45205</v>
      </c>
      <c r="B1546" s="108">
        <v>146074</v>
      </c>
    </row>
    <row r="1547" customHeight="1" spans="1:2">
      <c r="A1547" s="158">
        <v>45206</v>
      </c>
      <c r="B1547" s="108">
        <v>149524</v>
      </c>
    </row>
    <row r="1548" customHeight="1" spans="1:2">
      <c r="A1548" s="158">
        <v>45207</v>
      </c>
      <c r="B1548" s="108">
        <v>148498</v>
      </c>
    </row>
    <row r="1549" customHeight="1" spans="1:2">
      <c r="A1549" s="158">
        <v>45208</v>
      </c>
      <c r="B1549" s="108">
        <v>146603</v>
      </c>
    </row>
    <row r="1550" customHeight="1" spans="1:2">
      <c r="A1550" s="158">
        <v>45209</v>
      </c>
      <c r="B1550" s="108">
        <v>145576</v>
      </c>
    </row>
    <row r="1551" customHeight="1" spans="1:2">
      <c r="A1551" s="158">
        <v>45210</v>
      </c>
      <c r="B1551" s="108">
        <v>143867</v>
      </c>
    </row>
    <row r="1552" customHeight="1" spans="1:2">
      <c r="A1552" s="158">
        <v>45211</v>
      </c>
      <c r="B1552" s="108">
        <v>143534</v>
      </c>
    </row>
    <row r="1553" customHeight="1" spans="1:2">
      <c r="A1553" s="158">
        <v>45212</v>
      </c>
      <c r="B1553" s="108">
        <v>146031</v>
      </c>
    </row>
    <row r="1554" customHeight="1" spans="1:2">
      <c r="A1554" s="158">
        <v>45213</v>
      </c>
      <c r="B1554" s="108">
        <v>147440</v>
      </c>
    </row>
    <row r="1555" customHeight="1" spans="1:2">
      <c r="A1555" s="158">
        <v>45214</v>
      </c>
      <c r="B1555" s="108">
        <v>147212</v>
      </c>
    </row>
    <row r="1556" customHeight="1" spans="1:2">
      <c r="A1556" s="158">
        <v>45215</v>
      </c>
      <c r="B1556" s="108">
        <v>146899</v>
      </c>
    </row>
    <row r="1557" customHeight="1" spans="1:2">
      <c r="A1557" s="158">
        <v>45216</v>
      </c>
      <c r="B1557" s="108">
        <v>148183</v>
      </c>
    </row>
    <row r="1558" customHeight="1" spans="1:2">
      <c r="A1558" s="158">
        <v>45217</v>
      </c>
      <c r="B1558" s="108">
        <v>148220</v>
      </c>
    </row>
    <row r="1559" customHeight="1" spans="1:2">
      <c r="A1559" s="158">
        <v>45218</v>
      </c>
      <c r="B1559" s="108">
        <v>147513</v>
      </c>
    </row>
    <row r="1560" customHeight="1" spans="1:2">
      <c r="A1560" s="158">
        <v>45219</v>
      </c>
      <c r="B1560" s="108">
        <v>148465</v>
      </c>
    </row>
    <row r="1561" customHeight="1" spans="1:2">
      <c r="A1561" s="158">
        <v>45220</v>
      </c>
      <c r="B1561" s="108">
        <v>149447</v>
      </c>
    </row>
    <row r="1562" customHeight="1" spans="1:2">
      <c r="A1562" s="158">
        <v>45221</v>
      </c>
      <c r="B1562" s="108">
        <v>149803</v>
      </c>
    </row>
    <row r="1563" customHeight="1" spans="1:2">
      <c r="A1563" s="158">
        <v>45222</v>
      </c>
      <c r="B1563" s="108">
        <v>148878</v>
      </c>
    </row>
    <row r="1564" customHeight="1" spans="1:2">
      <c r="A1564" s="158">
        <v>45223</v>
      </c>
      <c r="B1564" s="108">
        <v>150554</v>
      </c>
    </row>
    <row r="1565" customHeight="1" spans="1:2">
      <c r="A1565" s="158">
        <v>45224</v>
      </c>
      <c r="B1565" s="108">
        <v>149229</v>
      </c>
    </row>
    <row r="1566" customHeight="1" spans="1:2">
      <c r="A1566" s="158">
        <v>45225</v>
      </c>
      <c r="B1566" s="108">
        <v>150822</v>
      </c>
    </row>
    <row r="1567" customHeight="1" spans="1:2">
      <c r="A1567" s="158">
        <v>45226</v>
      </c>
      <c r="B1567" s="108">
        <v>149026</v>
      </c>
    </row>
    <row r="1568" customHeight="1" spans="1:2">
      <c r="A1568" s="158">
        <v>45227</v>
      </c>
      <c r="B1568" s="108">
        <v>155161</v>
      </c>
    </row>
    <row r="1569" customHeight="1" spans="1:2">
      <c r="A1569" s="158">
        <v>45228</v>
      </c>
      <c r="B1569" s="108">
        <v>160200</v>
      </c>
    </row>
    <row r="1570" customHeight="1" spans="1:2">
      <c r="A1570" s="158">
        <v>45229</v>
      </c>
      <c r="B1570" s="108">
        <v>161106</v>
      </c>
    </row>
    <row r="1571" customHeight="1" spans="1:2">
      <c r="A1571" s="158">
        <v>45230</v>
      </c>
      <c r="B1571" s="108">
        <v>161981</v>
      </c>
    </row>
    <row r="1572" customHeight="1" spans="1:2">
      <c r="A1572" s="158">
        <v>45231</v>
      </c>
      <c r="B1572" s="108">
        <v>162340</v>
      </c>
    </row>
    <row r="1573" customHeight="1" spans="1:2">
      <c r="A1573" s="158">
        <v>45232</v>
      </c>
      <c r="B1573" s="108">
        <v>159506</v>
      </c>
    </row>
    <row r="1574" customHeight="1" spans="1:2">
      <c r="A1574" s="158">
        <v>45233</v>
      </c>
      <c r="B1574" s="108">
        <v>157797</v>
      </c>
    </row>
    <row r="1575" customHeight="1" spans="1:2">
      <c r="A1575" s="158">
        <v>45234</v>
      </c>
      <c r="B1575" s="108">
        <v>161139</v>
      </c>
    </row>
    <row r="1576" customHeight="1" spans="1:2">
      <c r="A1576" s="158">
        <v>45235</v>
      </c>
      <c r="B1576" s="108">
        <v>163737</v>
      </c>
    </row>
    <row r="1577" customHeight="1" spans="1:2">
      <c r="A1577" s="158">
        <v>45236</v>
      </c>
      <c r="B1577" s="108">
        <v>163064</v>
      </c>
    </row>
    <row r="1578" customHeight="1" spans="1:2">
      <c r="A1578" s="158">
        <v>45237</v>
      </c>
      <c r="B1578" s="108">
        <v>164955</v>
      </c>
    </row>
    <row r="1579" customHeight="1" spans="1:2">
      <c r="A1579" s="158">
        <v>45238</v>
      </c>
      <c r="B1579" s="108">
        <v>164655</v>
      </c>
    </row>
    <row r="1580" customHeight="1" spans="1:2">
      <c r="A1580" s="158">
        <v>45239</v>
      </c>
      <c r="B1580" s="108">
        <v>162931</v>
      </c>
    </row>
    <row r="1581" customHeight="1" spans="1:2">
      <c r="A1581" s="158">
        <v>45240</v>
      </c>
      <c r="B1581" s="108">
        <v>160975</v>
      </c>
    </row>
    <row r="1582" customHeight="1" spans="1:2">
      <c r="A1582" s="158">
        <v>45241</v>
      </c>
      <c r="B1582" s="108">
        <v>164370</v>
      </c>
    </row>
    <row r="1583" customHeight="1" spans="1:2">
      <c r="A1583" s="158">
        <v>45242</v>
      </c>
      <c r="B1583" s="108">
        <v>169696</v>
      </c>
    </row>
    <row r="1584" customHeight="1" spans="1:2">
      <c r="A1584" s="158">
        <v>45243</v>
      </c>
      <c r="B1584" s="108">
        <v>167950</v>
      </c>
    </row>
    <row r="1585" customHeight="1" spans="1:2">
      <c r="A1585" s="158">
        <v>45244</v>
      </c>
      <c r="B1585" s="108">
        <v>167611</v>
      </c>
    </row>
    <row r="1586" customHeight="1" spans="1:2">
      <c r="A1586" s="158">
        <v>45245</v>
      </c>
      <c r="B1586" s="108">
        <v>167538</v>
      </c>
    </row>
    <row r="1587" customHeight="1" spans="1:2">
      <c r="A1587" s="158">
        <v>45246</v>
      </c>
      <c r="B1587" s="108">
        <v>167529</v>
      </c>
    </row>
    <row r="1588" customHeight="1" spans="1:2">
      <c r="A1588" s="158">
        <v>45247</v>
      </c>
      <c r="B1588" s="108">
        <v>167399</v>
      </c>
    </row>
    <row r="1589" customHeight="1" spans="1:2">
      <c r="A1589" s="158">
        <v>45248</v>
      </c>
      <c r="B1589" s="108">
        <v>169653</v>
      </c>
    </row>
    <row r="1590" customHeight="1" spans="1:2">
      <c r="A1590" s="158">
        <v>45249</v>
      </c>
      <c r="B1590" s="108">
        <v>171548</v>
      </c>
    </row>
    <row r="1591" customHeight="1" spans="1:2">
      <c r="A1591" s="158">
        <v>45250</v>
      </c>
      <c r="B1591" s="108">
        <v>170353</v>
      </c>
    </row>
    <row r="1592" customHeight="1" spans="1:2">
      <c r="A1592" s="158">
        <v>45251</v>
      </c>
      <c r="B1592" s="108">
        <v>167727</v>
      </c>
    </row>
    <row r="1593" customHeight="1" spans="1:2">
      <c r="A1593" s="158">
        <v>45252</v>
      </c>
      <c r="B1593" s="108">
        <v>165816</v>
      </c>
    </row>
    <row r="1594" customHeight="1" spans="1:2">
      <c r="A1594" s="158">
        <v>45253</v>
      </c>
      <c r="B1594" s="108">
        <v>166498</v>
      </c>
    </row>
    <row r="1595" customHeight="1" spans="1:2">
      <c r="A1595" s="158">
        <v>45254</v>
      </c>
      <c r="B1595" s="108">
        <v>166674</v>
      </c>
    </row>
    <row r="1596" customHeight="1" spans="1:2">
      <c r="A1596" s="158">
        <v>45255</v>
      </c>
      <c r="B1596" s="108">
        <v>167842</v>
      </c>
    </row>
    <row r="1597" customHeight="1" spans="1:2">
      <c r="A1597" s="158">
        <v>45256</v>
      </c>
      <c r="B1597" s="108">
        <v>171368</v>
      </c>
    </row>
    <row r="1598" customHeight="1" spans="1:2">
      <c r="A1598" s="158">
        <v>45257</v>
      </c>
      <c r="B1598" s="108">
        <v>170979</v>
      </c>
    </row>
    <row r="1599" customHeight="1" spans="1:2">
      <c r="A1599" s="158">
        <v>45258</v>
      </c>
      <c r="B1599" s="108">
        <v>170303</v>
      </c>
    </row>
    <row r="1600" customHeight="1" spans="1:2">
      <c r="A1600" s="158">
        <v>45259</v>
      </c>
      <c r="B1600" s="108">
        <v>172576</v>
      </c>
    </row>
    <row r="1601" customHeight="1" spans="1:2">
      <c r="A1601" s="158">
        <v>45260</v>
      </c>
      <c r="B1601" s="108">
        <v>170369</v>
      </c>
    </row>
    <row r="1602" customHeight="1" spans="1:2">
      <c r="A1602" s="158">
        <v>45261</v>
      </c>
      <c r="B1602" s="108">
        <v>169354</v>
      </c>
    </row>
    <row r="1603" customHeight="1" spans="1:2">
      <c r="A1603" s="158">
        <v>45262</v>
      </c>
      <c r="B1603" s="108">
        <v>172919</v>
      </c>
    </row>
    <row r="1604" customHeight="1" spans="1:2">
      <c r="A1604" s="158">
        <v>45263</v>
      </c>
      <c r="B1604" s="108">
        <v>175825</v>
      </c>
    </row>
    <row r="1605" customHeight="1" spans="1:2">
      <c r="A1605" s="158">
        <v>45264</v>
      </c>
      <c r="B1605" s="108">
        <v>173888</v>
      </c>
    </row>
    <row r="1606" customHeight="1" spans="1:2">
      <c r="A1606" s="158">
        <v>45265</v>
      </c>
      <c r="B1606" s="108">
        <v>177436</v>
      </c>
    </row>
    <row r="1607" customHeight="1" spans="1:2">
      <c r="A1607" s="158">
        <v>45266</v>
      </c>
      <c r="B1607" s="108">
        <v>178414</v>
      </c>
    </row>
    <row r="1608" customHeight="1" spans="1:2">
      <c r="A1608" s="158">
        <v>45267</v>
      </c>
      <c r="B1608" s="108">
        <v>178309</v>
      </c>
    </row>
    <row r="1609" customHeight="1" spans="1:2">
      <c r="A1609" s="158">
        <v>45268</v>
      </c>
      <c r="B1609" s="108">
        <v>176539</v>
      </c>
    </row>
    <row r="1610" customHeight="1" spans="1:2">
      <c r="A1610" s="158">
        <v>45269</v>
      </c>
      <c r="B1610" s="108">
        <v>178992</v>
      </c>
    </row>
    <row r="1611" customHeight="1" spans="1:2">
      <c r="A1611" s="158">
        <v>45270</v>
      </c>
      <c r="B1611" s="108">
        <v>180136</v>
      </c>
    </row>
    <row r="1612" customHeight="1" spans="1:2">
      <c r="A1612" s="158">
        <v>45271</v>
      </c>
      <c r="B1612" s="108">
        <v>179872</v>
      </c>
    </row>
    <row r="1613" customHeight="1" spans="1:2">
      <c r="A1613" s="158">
        <v>45272</v>
      </c>
      <c r="B1613" s="108">
        <v>182341</v>
      </c>
    </row>
    <row r="1614" customHeight="1" spans="1:2">
      <c r="A1614" s="158">
        <v>45273</v>
      </c>
      <c r="B1614" s="108">
        <v>185274</v>
      </c>
    </row>
    <row r="1615" customHeight="1" spans="1:2">
      <c r="A1615" s="158">
        <v>45274</v>
      </c>
      <c r="B1615" s="108">
        <v>182761</v>
      </c>
    </row>
    <row r="1616" customHeight="1" spans="1:2">
      <c r="A1616" s="158">
        <v>45275</v>
      </c>
      <c r="B1616" s="108">
        <v>180895</v>
      </c>
    </row>
    <row r="1617" customHeight="1" spans="1:2">
      <c r="A1617" s="158">
        <v>45276</v>
      </c>
      <c r="B1617" s="108">
        <v>180109</v>
      </c>
    </row>
    <row r="1618" customHeight="1" spans="1:2">
      <c r="A1618" s="158">
        <v>45277</v>
      </c>
      <c r="B1618" s="108">
        <v>184043</v>
      </c>
    </row>
    <row r="1619" customHeight="1" spans="1:2">
      <c r="A1619" s="158">
        <v>45278</v>
      </c>
      <c r="B1619" s="108">
        <v>186180</v>
      </c>
    </row>
    <row r="1620" customHeight="1" spans="1:2">
      <c r="A1620" s="158">
        <v>45279</v>
      </c>
      <c r="B1620" s="108">
        <v>192641</v>
      </c>
    </row>
    <row r="1621" customHeight="1" spans="1:2">
      <c r="A1621" s="158">
        <v>45280</v>
      </c>
      <c r="B1621" s="108">
        <v>199917</v>
      </c>
    </row>
    <row r="1622" customHeight="1" spans="1:2">
      <c r="A1622" s="158">
        <v>45281</v>
      </c>
      <c r="B1622" s="108">
        <v>192414</v>
      </c>
    </row>
    <row r="1623" customHeight="1" spans="1:2">
      <c r="A1623" s="158">
        <v>45282</v>
      </c>
      <c r="B1623" s="108">
        <v>190227</v>
      </c>
    </row>
    <row r="1624" customHeight="1" spans="1:2">
      <c r="A1624" s="158">
        <v>45283</v>
      </c>
      <c r="B1624" s="108">
        <v>188624</v>
      </c>
    </row>
    <row r="1625" customHeight="1" spans="1:2">
      <c r="A1625" s="158">
        <v>45284</v>
      </c>
      <c r="B1625" s="108">
        <v>188801</v>
      </c>
    </row>
    <row r="1626" customHeight="1" spans="1:2">
      <c r="A1626" s="158">
        <v>45285</v>
      </c>
      <c r="B1626" s="108">
        <v>187748</v>
      </c>
    </row>
    <row r="1627" customHeight="1" spans="1:2">
      <c r="A1627" s="158">
        <v>45286</v>
      </c>
      <c r="B1627" s="108">
        <v>185186</v>
      </c>
    </row>
    <row r="1628" customHeight="1" spans="1:2">
      <c r="A1628" s="158">
        <v>45287</v>
      </c>
      <c r="B1628" s="108">
        <v>184199</v>
      </c>
    </row>
    <row r="1629" customHeight="1" spans="1:2">
      <c r="A1629" s="158">
        <v>45288</v>
      </c>
      <c r="B1629" s="108">
        <v>183874</v>
      </c>
    </row>
    <row r="1630" customHeight="1" spans="1:2">
      <c r="A1630" s="158">
        <v>45289</v>
      </c>
      <c r="B1630" s="108">
        <v>183819</v>
      </c>
    </row>
    <row r="1631" customHeight="1" spans="1:2">
      <c r="A1631" s="158">
        <v>45290</v>
      </c>
      <c r="B1631" s="108">
        <v>185316</v>
      </c>
    </row>
    <row r="1632" customHeight="1" spans="1:2">
      <c r="A1632" s="158">
        <v>45291</v>
      </c>
      <c r="B1632" s="108">
        <v>184126</v>
      </c>
    </row>
    <row r="1633" customHeight="1" spans="1:2">
      <c r="A1633" s="158">
        <v>45292</v>
      </c>
      <c r="B1633" s="108">
        <v>181665</v>
      </c>
    </row>
    <row r="1634" customHeight="1" spans="1:2">
      <c r="A1634" s="158">
        <v>45293</v>
      </c>
      <c r="B1634" s="108">
        <v>174930</v>
      </c>
    </row>
    <row r="1635" customHeight="1" spans="1:2">
      <c r="A1635" s="158">
        <v>45294</v>
      </c>
      <c r="B1635" s="108">
        <v>173682</v>
      </c>
    </row>
    <row r="1636" customHeight="1" spans="1:2">
      <c r="A1636" s="158">
        <v>45295</v>
      </c>
      <c r="B1636" s="108">
        <v>171294</v>
      </c>
    </row>
    <row r="1637" customHeight="1" spans="1:2">
      <c r="A1637" s="158">
        <v>45296</v>
      </c>
      <c r="B1637" s="108">
        <v>171822</v>
      </c>
    </row>
    <row r="1638" customHeight="1" spans="1:2">
      <c r="A1638" s="158">
        <v>45297</v>
      </c>
      <c r="B1638" s="108">
        <v>173391</v>
      </c>
    </row>
    <row r="1639" customHeight="1" spans="1:2">
      <c r="A1639" s="158">
        <v>45298</v>
      </c>
      <c r="B1639" s="108">
        <v>172655</v>
      </c>
    </row>
    <row r="1640" customHeight="1" spans="1:2">
      <c r="A1640" s="158">
        <v>45299</v>
      </c>
      <c r="B1640" s="108">
        <v>172689</v>
      </c>
    </row>
    <row r="1641" customHeight="1" spans="1:2">
      <c r="A1641" s="158">
        <v>45300</v>
      </c>
      <c r="B1641" s="108">
        <v>174602</v>
      </c>
    </row>
    <row r="1642" customHeight="1" spans="1:2">
      <c r="A1642" s="158">
        <v>45301</v>
      </c>
      <c r="B1642" s="108">
        <v>174393</v>
      </c>
    </row>
    <row r="1643" customHeight="1" spans="1:2">
      <c r="A1643" s="158">
        <v>45302</v>
      </c>
      <c r="B1643" s="108">
        <v>174819</v>
      </c>
    </row>
    <row r="1644" customHeight="1" spans="1:2">
      <c r="A1644" s="158">
        <v>45303</v>
      </c>
      <c r="B1644" s="108">
        <v>176037</v>
      </c>
    </row>
    <row r="1645" customHeight="1" spans="1:2">
      <c r="A1645" s="158">
        <v>45304</v>
      </c>
      <c r="B1645" s="108">
        <v>179541</v>
      </c>
    </row>
    <row r="1646" customHeight="1" spans="1:2">
      <c r="A1646" s="158">
        <v>45305</v>
      </c>
      <c r="B1646" s="108">
        <v>180771</v>
      </c>
    </row>
    <row r="1647" customHeight="1" spans="1:2">
      <c r="A1647" s="158">
        <v>45306</v>
      </c>
      <c r="B1647" s="108">
        <v>179568</v>
      </c>
    </row>
    <row r="1648" customHeight="1" spans="1:2">
      <c r="A1648" s="158">
        <v>45307</v>
      </c>
      <c r="B1648" s="108">
        <v>183247</v>
      </c>
    </row>
    <row r="1649" customHeight="1" spans="1:2">
      <c r="A1649" s="158">
        <v>45308</v>
      </c>
      <c r="B1649" s="108">
        <v>186268</v>
      </c>
    </row>
    <row r="1650" customHeight="1" spans="1:2">
      <c r="A1650" s="158">
        <v>45309</v>
      </c>
      <c r="B1650" s="108">
        <v>183758</v>
      </c>
    </row>
    <row r="1651" customHeight="1" spans="1:2">
      <c r="A1651" s="158">
        <v>45310</v>
      </c>
      <c r="B1651" s="108">
        <v>180946</v>
      </c>
    </row>
    <row r="1652" customHeight="1" spans="1:2">
      <c r="A1652" s="158">
        <v>45311</v>
      </c>
      <c r="B1652" s="108">
        <v>182854</v>
      </c>
    </row>
    <row r="1653" customHeight="1" spans="1:2">
      <c r="A1653" s="158">
        <v>45312</v>
      </c>
      <c r="B1653" s="108">
        <v>185471</v>
      </c>
    </row>
    <row r="1654" customHeight="1" spans="1:2">
      <c r="A1654" s="158">
        <v>45313</v>
      </c>
      <c r="B1654" s="108">
        <v>188268</v>
      </c>
    </row>
    <row r="1655" customHeight="1" spans="1:2">
      <c r="A1655" s="158">
        <v>45314</v>
      </c>
      <c r="B1655" s="108">
        <v>191944</v>
      </c>
    </row>
    <row r="1656" customHeight="1" spans="1:2">
      <c r="A1656" s="158">
        <v>45315</v>
      </c>
      <c r="B1656" s="108">
        <v>192774</v>
      </c>
    </row>
    <row r="1657" customHeight="1" spans="1:2">
      <c r="A1657" s="158">
        <v>45316</v>
      </c>
      <c r="B1657" s="108">
        <v>190077</v>
      </c>
    </row>
    <row r="1658" customHeight="1" spans="1:2">
      <c r="A1658" s="158">
        <v>45317</v>
      </c>
      <c r="B1658" s="108">
        <v>196666</v>
      </c>
    </row>
    <row r="1659" customHeight="1" spans="1:2">
      <c r="A1659" s="158">
        <v>45318</v>
      </c>
      <c r="B1659" s="108">
        <v>206503</v>
      </c>
    </row>
    <row r="1660" customHeight="1" spans="1:2">
      <c r="A1660" s="158">
        <v>45319</v>
      </c>
      <c r="B1660" s="108">
        <v>223733</v>
      </c>
    </row>
    <row r="1661" customHeight="1" spans="1:2">
      <c r="A1661" s="158">
        <v>45320</v>
      </c>
      <c r="B1661" s="108">
        <v>226314</v>
      </c>
    </row>
    <row r="1662" customHeight="1" spans="1:2">
      <c r="A1662" s="158">
        <v>45321</v>
      </c>
      <c r="B1662" s="108">
        <v>252998</v>
      </c>
    </row>
    <row r="1663" customHeight="1" spans="1:2">
      <c r="A1663" s="158">
        <v>45322</v>
      </c>
      <c r="B1663" s="108">
        <v>280304</v>
      </c>
    </row>
    <row r="1664" customHeight="1" spans="1:2">
      <c r="A1664" s="158">
        <v>45323</v>
      </c>
      <c r="B1664" s="108">
        <v>296011</v>
      </c>
    </row>
    <row r="1665" customHeight="1" spans="1:2">
      <c r="A1665" s="158">
        <v>45340</v>
      </c>
      <c r="B1665" s="108">
        <v>115990</v>
      </c>
    </row>
    <row r="1666" customHeight="1" spans="1:2">
      <c r="A1666" s="158">
        <v>45341</v>
      </c>
      <c r="B1666" s="108">
        <v>124188</v>
      </c>
    </row>
    <row r="1667" customHeight="1" spans="1:2">
      <c r="A1667" s="158">
        <v>45342</v>
      </c>
      <c r="B1667" s="108">
        <v>128799</v>
      </c>
    </row>
    <row r="1668" customHeight="1" spans="1:2">
      <c r="A1668" s="158">
        <v>45343</v>
      </c>
      <c r="B1668" s="108">
        <v>126821</v>
      </c>
    </row>
    <row r="1669" customHeight="1" spans="1:2">
      <c r="A1669" s="158">
        <v>45344</v>
      </c>
      <c r="B1669" s="108">
        <v>123832</v>
      </c>
    </row>
    <row r="1670" customHeight="1" spans="1:2">
      <c r="A1670" s="158">
        <v>45345</v>
      </c>
      <c r="B1670" s="108">
        <v>127828</v>
      </c>
    </row>
    <row r="1671" customHeight="1" spans="1:2">
      <c r="A1671" s="158">
        <v>45346</v>
      </c>
      <c r="B1671" s="108">
        <v>133293</v>
      </c>
    </row>
    <row r="1672" customHeight="1" spans="1:2">
      <c r="A1672" s="158">
        <v>45347</v>
      </c>
      <c r="B1672" s="108">
        <v>134590</v>
      </c>
    </row>
    <row r="1673" customHeight="1" spans="1:2">
      <c r="A1673" s="158">
        <v>45348</v>
      </c>
      <c r="B1673" s="108">
        <v>135125</v>
      </c>
    </row>
    <row r="1674" customHeight="1" spans="1:2">
      <c r="A1674" s="158">
        <v>45349</v>
      </c>
      <c r="B1674" s="108">
        <v>134896</v>
      </c>
    </row>
    <row r="1675" customHeight="1" spans="1:2">
      <c r="A1675" s="158">
        <v>45350</v>
      </c>
      <c r="B1675" s="108">
        <v>138341</v>
      </c>
    </row>
    <row r="1676" customHeight="1" spans="1:2">
      <c r="A1676" s="158">
        <v>45351</v>
      </c>
      <c r="B1676" s="108">
        <v>137100</v>
      </c>
    </row>
    <row r="1677" customHeight="1" spans="1:2">
      <c r="A1677" s="158">
        <v>45352</v>
      </c>
      <c r="B1677" s="108">
        <v>136446</v>
      </c>
    </row>
    <row r="1678" customHeight="1" spans="1:2">
      <c r="A1678" s="158">
        <v>45353</v>
      </c>
      <c r="B1678" s="108">
        <v>136917</v>
      </c>
    </row>
    <row r="1679" customHeight="1" spans="1:2">
      <c r="A1679" s="158">
        <v>45354</v>
      </c>
      <c r="B1679" s="108">
        <v>136336</v>
      </c>
    </row>
    <row r="1680" customHeight="1" spans="1:2">
      <c r="A1680" s="158">
        <v>45355</v>
      </c>
      <c r="B1680" s="108">
        <v>136433</v>
      </c>
    </row>
    <row r="1681" customHeight="1" spans="1:2">
      <c r="A1681" s="158">
        <v>45356</v>
      </c>
      <c r="B1681" s="108">
        <v>137314</v>
      </c>
    </row>
    <row r="1682" customHeight="1" spans="1:2">
      <c r="A1682" s="158">
        <v>45357</v>
      </c>
      <c r="B1682" s="108">
        <v>135046</v>
      </c>
    </row>
    <row r="1683" customHeight="1" spans="1:2">
      <c r="A1683" s="158">
        <v>45358</v>
      </c>
      <c r="B1683" s="108">
        <v>133587</v>
      </c>
    </row>
    <row r="1684" customHeight="1" spans="1:2">
      <c r="A1684" s="158">
        <v>45359</v>
      </c>
      <c r="B1684" s="108">
        <v>133176</v>
      </c>
    </row>
    <row r="1685" customHeight="1" spans="1:2">
      <c r="A1685" s="158">
        <v>45360</v>
      </c>
      <c r="B1685" s="108">
        <v>134455</v>
      </c>
    </row>
    <row r="1686" customHeight="1" spans="1:2">
      <c r="A1686" s="158">
        <v>45361</v>
      </c>
      <c r="B1686" s="108">
        <v>133984</v>
      </c>
    </row>
    <row r="1687" customHeight="1" spans="1:2">
      <c r="A1687" s="158">
        <v>45362</v>
      </c>
      <c r="B1687" s="108">
        <v>132779</v>
      </c>
    </row>
    <row r="1688" customHeight="1" spans="1:2">
      <c r="A1688" s="158">
        <v>45363</v>
      </c>
      <c r="B1688" s="108">
        <v>129360</v>
      </c>
    </row>
    <row r="1689" customHeight="1" spans="1:2">
      <c r="A1689" s="158">
        <v>45364</v>
      </c>
      <c r="B1689" s="108">
        <v>127236</v>
      </c>
    </row>
    <row r="1690" customHeight="1" spans="1:2">
      <c r="A1690" s="158">
        <v>45365</v>
      </c>
      <c r="B1690" s="108">
        <v>126362</v>
      </c>
    </row>
    <row r="1691" customHeight="1" spans="1:2">
      <c r="A1691" s="158">
        <v>45366</v>
      </c>
      <c r="B1691" s="108">
        <v>125275</v>
      </c>
    </row>
    <row r="1692" customHeight="1" spans="1:2">
      <c r="A1692" s="158">
        <v>45367</v>
      </c>
      <c r="B1692" s="108">
        <v>125624</v>
      </c>
    </row>
    <row r="1693" customHeight="1" spans="1:2">
      <c r="A1693" s="158">
        <v>45368</v>
      </c>
      <c r="B1693" s="108">
        <v>124312</v>
      </c>
    </row>
    <row r="1694" customHeight="1" spans="1:2">
      <c r="A1694" s="158">
        <v>45369</v>
      </c>
      <c r="B1694" s="108">
        <v>123599</v>
      </c>
    </row>
    <row r="1695" customHeight="1" spans="1:2">
      <c r="A1695" s="158">
        <v>45370</v>
      </c>
      <c r="B1695" s="108">
        <v>125643</v>
      </c>
    </row>
    <row r="1696" customHeight="1" spans="1:2">
      <c r="A1696" s="158">
        <v>45371</v>
      </c>
      <c r="B1696" s="108">
        <v>125731</v>
      </c>
    </row>
    <row r="1697" customHeight="1" spans="1:2">
      <c r="A1697" s="158">
        <v>45372</v>
      </c>
      <c r="B1697" s="108">
        <v>124223</v>
      </c>
    </row>
    <row r="1698" customHeight="1" spans="1:2">
      <c r="A1698" s="158">
        <v>45373</v>
      </c>
      <c r="B1698" s="108">
        <v>122739</v>
      </c>
    </row>
    <row r="1699" customHeight="1" spans="1:2">
      <c r="A1699" s="158">
        <v>45374</v>
      </c>
      <c r="B1699" s="108">
        <v>123213</v>
      </c>
    </row>
    <row r="1700" customHeight="1" spans="1:2">
      <c r="A1700" s="158">
        <v>45375</v>
      </c>
      <c r="B1700" s="108">
        <v>122323</v>
      </c>
    </row>
    <row r="1701" customHeight="1" spans="1:2">
      <c r="A1701" s="158">
        <v>45376</v>
      </c>
      <c r="B1701" s="108">
        <v>123906</v>
      </c>
    </row>
    <row r="1702" customHeight="1" spans="1:2">
      <c r="A1702" s="158">
        <v>45377</v>
      </c>
      <c r="B1702" s="108">
        <v>124653</v>
      </c>
    </row>
    <row r="1703" customHeight="1" spans="1:2">
      <c r="A1703" s="158">
        <v>45378</v>
      </c>
      <c r="B1703" s="108">
        <v>123369</v>
      </c>
    </row>
    <row r="1704" customHeight="1" spans="1:2">
      <c r="A1704" s="158">
        <v>45379</v>
      </c>
      <c r="B1704" s="108">
        <v>122778</v>
      </c>
    </row>
    <row r="1705" customHeight="1" spans="1:2">
      <c r="A1705" s="158">
        <v>45380</v>
      </c>
      <c r="B1705" s="108">
        <v>123024</v>
      </c>
    </row>
    <row r="1706" customHeight="1" spans="1:2">
      <c r="A1706" s="158">
        <v>45381</v>
      </c>
      <c r="B1706" s="108">
        <v>125537</v>
      </c>
    </row>
    <row r="1707" customHeight="1" spans="1:2">
      <c r="A1707" s="158">
        <v>45382</v>
      </c>
      <c r="B1707" s="108">
        <v>126955</v>
      </c>
    </row>
    <row r="1708" customHeight="1" spans="1:2">
      <c r="A1708" s="158">
        <v>45383</v>
      </c>
      <c r="B1708" s="108">
        <v>124562</v>
      </c>
    </row>
    <row r="1709" customHeight="1" spans="1:2">
      <c r="A1709" s="158">
        <v>45384</v>
      </c>
      <c r="B1709" s="108">
        <v>124819</v>
      </c>
    </row>
    <row r="1710" customHeight="1" spans="1:2">
      <c r="A1710" s="158">
        <v>45385</v>
      </c>
      <c r="B1710" s="108">
        <v>128317</v>
      </c>
    </row>
    <row r="1711" customHeight="1" spans="1:2">
      <c r="A1711" s="158">
        <v>45386</v>
      </c>
      <c r="B1711" s="108">
        <v>128383</v>
      </c>
    </row>
    <row r="1712" customHeight="1" spans="1:2">
      <c r="A1712" s="158">
        <v>45387</v>
      </c>
      <c r="B1712" s="108">
        <v>129040</v>
      </c>
    </row>
    <row r="1713" customHeight="1" spans="1:2">
      <c r="A1713" s="158">
        <v>45388</v>
      </c>
      <c r="B1713" s="108">
        <v>129116</v>
      </c>
    </row>
    <row r="1714" customHeight="1" spans="1:2">
      <c r="A1714" s="158">
        <v>45389</v>
      </c>
      <c r="B1714" s="108">
        <v>129103</v>
      </c>
    </row>
    <row r="1715" customHeight="1" spans="1:2">
      <c r="A1715" s="158">
        <v>45390</v>
      </c>
      <c r="B1715" s="108">
        <v>129210</v>
      </c>
    </row>
    <row r="1716" customHeight="1" spans="1:2">
      <c r="A1716" s="158">
        <v>45391</v>
      </c>
      <c r="B1716" s="108">
        <v>128091</v>
      </c>
    </row>
    <row r="1717" customHeight="1" spans="1:2">
      <c r="A1717" s="158">
        <v>45392</v>
      </c>
      <c r="B1717" s="108">
        <v>129118</v>
      </c>
    </row>
    <row r="1718" customHeight="1" spans="1:2">
      <c r="A1718" s="158">
        <v>45393</v>
      </c>
      <c r="B1718" s="108">
        <v>126315</v>
      </c>
    </row>
    <row r="1719" customHeight="1" spans="1:2">
      <c r="A1719" s="158">
        <v>45394</v>
      </c>
      <c r="B1719" s="108">
        <v>128140</v>
      </c>
    </row>
    <row r="1720" customHeight="1" spans="1:2">
      <c r="A1720" s="158">
        <v>45395</v>
      </c>
      <c r="B1720" s="108">
        <v>126464</v>
      </c>
    </row>
    <row r="1721" customHeight="1" spans="1:2">
      <c r="A1721" s="158">
        <v>45396</v>
      </c>
      <c r="B1721" s="108">
        <v>129920</v>
      </c>
    </row>
    <row r="1722" customHeight="1" spans="1:2">
      <c r="A1722" s="158">
        <v>45397</v>
      </c>
      <c r="B1722" s="108">
        <v>131342</v>
      </c>
    </row>
    <row r="1723" customHeight="1" spans="1:2">
      <c r="A1723" s="158">
        <v>45398</v>
      </c>
      <c r="B1723" s="108">
        <v>129586</v>
      </c>
    </row>
    <row r="1724" customHeight="1" spans="1:2">
      <c r="A1724" s="158">
        <v>45399</v>
      </c>
      <c r="B1724" s="108">
        <v>128714</v>
      </c>
    </row>
    <row r="1725" customHeight="1" spans="1:2">
      <c r="A1725" s="158">
        <v>45400</v>
      </c>
      <c r="B1725" s="108">
        <v>131023</v>
      </c>
    </row>
    <row r="1726" customHeight="1" spans="1:2">
      <c r="A1726" s="158">
        <v>45401</v>
      </c>
      <c r="B1726" s="108">
        <v>130816</v>
      </c>
    </row>
    <row r="1727" customHeight="1" spans="1:2">
      <c r="A1727" s="158">
        <v>45402</v>
      </c>
      <c r="B1727" s="108">
        <v>133047</v>
      </c>
    </row>
    <row r="1728" customHeight="1" spans="1:2">
      <c r="A1728" s="158">
        <v>45403</v>
      </c>
      <c r="B1728" s="108">
        <v>134836</v>
      </c>
    </row>
    <row r="1729" customHeight="1" spans="1:2">
      <c r="A1729" s="158">
        <v>45404</v>
      </c>
      <c r="B1729" s="108">
        <v>133838</v>
      </c>
    </row>
    <row r="1730" customHeight="1" spans="1:2">
      <c r="A1730" s="158">
        <v>45405</v>
      </c>
      <c r="B1730" s="108">
        <v>133413</v>
      </c>
    </row>
    <row r="1731" customHeight="1" spans="1:2">
      <c r="A1731" s="158">
        <v>45406</v>
      </c>
      <c r="B1731" s="108">
        <v>136005</v>
      </c>
    </row>
    <row r="1732" customHeight="1" spans="1:2">
      <c r="A1732" s="158">
        <v>45407</v>
      </c>
      <c r="B1732" s="108">
        <v>135589</v>
      </c>
    </row>
    <row r="1733" customHeight="1" spans="1:2">
      <c r="A1733" s="158">
        <v>45408</v>
      </c>
      <c r="B1733" s="108">
        <v>141181</v>
      </c>
    </row>
    <row r="1734" customHeight="1" spans="1:2">
      <c r="A1734" s="158">
        <v>45409</v>
      </c>
      <c r="B1734" s="108">
        <v>145635</v>
      </c>
    </row>
    <row r="1735" customHeight="1" spans="1:2">
      <c r="A1735" s="158">
        <v>45410</v>
      </c>
      <c r="B1735" s="108">
        <v>145718</v>
      </c>
    </row>
    <row r="1736" customHeight="1" spans="1:2">
      <c r="A1736" s="158">
        <v>45411</v>
      </c>
      <c r="B1736" s="108">
        <v>153288</v>
      </c>
    </row>
    <row r="1737" customHeight="1" spans="1:2">
      <c r="A1737" s="158">
        <v>45412</v>
      </c>
      <c r="B1737" s="108">
        <v>153828</v>
      </c>
    </row>
    <row r="1738" customHeight="1" spans="1:2">
      <c r="A1738" s="158">
        <v>45413</v>
      </c>
      <c r="B1738" s="108">
        <v>144583</v>
      </c>
    </row>
    <row r="1739" customHeight="1" spans="1:2">
      <c r="A1739" s="158">
        <v>45414</v>
      </c>
      <c r="B1739" s="108">
        <v>140436</v>
      </c>
    </row>
    <row r="1740" customHeight="1" spans="1:2">
      <c r="A1740" s="158">
        <v>45415</v>
      </c>
      <c r="B1740" s="108">
        <v>153828</v>
      </c>
    </row>
    <row r="1741" customHeight="1" spans="1:2">
      <c r="A1741" s="158">
        <v>45416</v>
      </c>
      <c r="B1741" s="108">
        <v>144583</v>
      </c>
    </row>
    <row r="1742" customHeight="1" spans="1:2">
      <c r="A1742" s="158">
        <v>45417</v>
      </c>
      <c r="B1742" s="108">
        <v>140436</v>
      </c>
    </row>
    <row r="1743" customHeight="1" spans="1:2">
      <c r="A1743" s="158">
        <v>45418</v>
      </c>
      <c r="B1743" s="108">
        <v>139423</v>
      </c>
    </row>
    <row r="1744" customHeight="1" spans="1:2">
      <c r="A1744" s="158">
        <v>45419</v>
      </c>
      <c r="B1744" s="108">
        <v>138217</v>
      </c>
    </row>
    <row r="1745" customHeight="1" spans="1:2">
      <c r="A1745" s="158">
        <v>45420</v>
      </c>
      <c r="B1745" s="108">
        <v>139089</v>
      </c>
    </row>
    <row r="1746" customHeight="1" spans="1:2">
      <c r="A1746" s="158">
        <v>45421</v>
      </c>
      <c r="B1746" s="108">
        <v>138743</v>
      </c>
    </row>
    <row r="1747" customHeight="1" spans="1:2">
      <c r="A1747" s="158">
        <v>45422</v>
      </c>
      <c r="B1747" s="108">
        <v>137867</v>
      </c>
    </row>
    <row r="1748" customHeight="1" spans="1:2">
      <c r="A1748" s="158">
        <v>45423</v>
      </c>
      <c r="B1748" s="108">
        <v>141477</v>
      </c>
    </row>
    <row r="1749" customHeight="1" spans="1:2">
      <c r="A1749" s="158">
        <v>45424</v>
      </c>
      <c r="B1749" s="108">
        <v>141288</v>
      </c>
    </row>
    <row r="1750" customHeight="1" spans="1:2">
      <c r="A1750" s="158">
        <v>45425</v>
      </c>
      <c r="B1750" s="108">
        <v>138256</v>
      </c>
    </row>
    <row r="1751" customHeight="1" spans="1:2">
      <c r="A1751" s="158">
        <v>45426</v>
      </c>
      <c r="B1751" s="108">
        <v>138452</v>
      </c>
    </row>
    <row r="1752" customHeight="1" spans="1:2">
      <c r="A1752" s="158">
        <v>45427</v>
      </c>
      <c r="B1752" s="108">
        <v>138994</v>
      </c>
    </row>
    <row r="1753" customHeight="1" spans="1:2">
      <c r="A1753" s="158">
        <v>45428</v>
      </c>
      <c r="B1753" s="108">
        <v>137031</v>
      </c>
    </row>
    <row r="1754" customHeight="1" spans="1:2">
      <c r="A1754" s="158">
        <v>45429</v>
      </c>
      <c r="B1754" s="172">
        <v>135441</v>
      </c>
    </row>
    <row r="1755" customHeight="1" spans="1:2">
      <c r="A1755" s="158">
        <v>45430</v>
      </c>
      <c r="B1755" s="172">
        <v>136505</v>
      </c>
    </row>
    <row r="1756" customHeight="1" spans="1:2">
      <c r="A1756" s="158">
        <v>45431</v>
      </c>
      <c r="B1756" s="172">
        <v>136367</v>
      </c>
    </row>
    <row r="1757" customHeight="1" spans="1:2">
      <c r="A1757" s="158">
        <v>45432</v>
      </c>
      <c r="B1757" s="172">
        <v>135817</v>
      </c>
    </row>
    <row r="1758" customHeight="1" spans="1:2">
      <c r="A1758" s="158">
        <v>45433</v>
      </c>
      <c r="B1758" s="172">
        <v>134688</v>
      </c>
    </row>
    <row r="1759" customHeight="1" spans="1:2">
      <c r="A1759" s="158">
        <v>45434</v>
      </c>
      <c r="B1759" s="172">
        <v>133378</v>
      </c>
    </row>
    <row r="1760" customHeight="1" spans="1:2">
      <c r="A1760" s="158">
        <v>45435</v>
      </c>
      <c r="B1760" s="172">
        <v>132962</v>
      </c>
    </row>
    <row r="1761" customHeight="1" spans="1:2">
      <c r="A1761" s="158">
        <v>45436</v>
      </c>
      <c r="B1761" s="172">
        <v>129949</v>
      </c>
    </row>
    <row r="1762" customHeight="1" spans="1:2">
      <c r="A1762" s="158">
        <v>45437</v>
      </c>
      <c r="B1762" s="172">
        <v>131866</v>
      </c>
    </row>
    <row r="1763" customHeight="1" spans="1:2">
      <c r="A1763" s="158">
        <v>45438</v>
      </c>
      <c r="B1763" s="172">
        <v>131171</v>
      </c>
    </row>
    <row r="1764" customHeight="1" spans="1:2">
      <c r="A1764" s="158">
        <v>45439</v>
      </c>
      <c r="B1764" s="172">
        <v>130321</v>
      </c>
    </row>
    <row r="1765" customHeight="1" spans="1:2">
      <c r="A1765" s="158">
        <v>45440</v>
      </c>
      <c r="B1765" s="172">
        <v>129347</v>
      </c>
    </row>
    <row r="1766" customHeight="1" spans="1:2">
      <c r="A1766" s="158">
        <v>45441</v>
      </c>
      <c r="B1766" s="172">
        <v>128597</v>
      </c>
    </row>
    <row r="1767" customHeight="1" spans="1:2">
      <c r="A1767" s="158">
        <v>45442</v>
      </c>
      <c r="B1767" s="172">
        <v>127674</v>
      </c>
    </row>
    <row r="1768" customHeight="1" spans="1:2">
      <c r="A1768" s="158">
        <v>45443</v>
      </c>
      <c r="B1768" s="172">
        <v>126124</v>
      </c>
    </row>
    <row r="1769" customHeight="1" spans="1:2">
      <c r="A1769" s="158">
        <v>45444</v>
      </c>
      <c r="B1769" s="172">
        <v>127676</v>
      </c>
    </row>
    <row r="1770" customHeight="1" spans="1:2">
      <c r="A1770" s="158">
        <v>45445</v>
      </c>
      <c r="B1770" s="172">
        <v>125064</v>
      </c>
    </row>
    <row r="1771" customHeight="1" spans="1:2">
      <c r="A1771" s="158">
        <v>45446</v>
      </c>
      <c r="B1771" s="172">
        <v>126004</v>
      </c>
    </row>
    <row r="1772" customHeight="1" spans="1:2">
      <c r="A1772" s="158">
        <v>45447</v>
      </c>
      <c r="B1772" s="172">
        <v>125918</v>
      </c>
    </row>
    <row r="1773" customHeight="1" spans="1:2">
      <c r="A1773" s="158">
        <v>45448</v>
      </c>
      <c r="B1773" s="172">
        <v>125904</v>
      </c>
    </row>
    <row r="1774" customHeight="1" spans="1:2">
      <c r="A1774" s="158">
        <v>45449</v>
      </c>
      <c r="B1774" s="172">
        <v>127206</v>
      </c>
    </row>
    <row r="1775" customHeight="1" spans="1:2">
      <c r="A1775" s="158">
        <v>45450</v>
      </c>
      <c r="B1775" s="172">
        <v>129363</v>
      </c>
    </row>
    <row r="1776" customHeight="1" spans="1:2">
      <c r="A1776" s="158">
        <v>45451</v>
      </c>
      <c r="B1776" s="172">
        <v>131755</v>
      </c>
    </row>
    <row r="1777" customHeight="1" spans="1:2">
      <c r="A1777" s="158">
        <v>45452</v>
      </c>
      <c r="B1777" s="172">
        <v>135791</v>
      </c>
    </row>
    <row r="1778" customHeight="1" spans="1:2">
      <c r="A1778" s="158">
        <v>45453</v>
      </c>
      <c r="B1778" s="172">
        <v>134619</v>
      </c>
    </row>
    <row r="1779" customHeight="1" spans="1:2">
      <c r="A1779" s="158">
        <v>45454</v>
      </c>
      <c r="B1779" s="172">
        <v>129972</v>
      </c>
    </row>
    <row r="1780" customHeight="1" spans="1:2">
      <c r="A1780" s="158">
        <v>45455</v>
      </c>
      <c r="B1780" s="172">
        <v>127145</v>
      </c>
    </row>
    <row r="1781" customHeight="1" spans="1:2">
      <c r="A1781" s="158">
        <v>45456</v>
      </c>
      <c r="B1781" s="172">
        <v>123281</v>
      </c>
    </row>
    <row r="1782" customHeight="1" spans="1:2">
      <c r="A1782" s="158">
        <v>45457</v>
      </c>
      <c r="B1782" s="172">
        <v>121360</v>
      </c>
    </row>
    <row r="1783" customHeight="1" spans="1:2">
      <c r="A1783" s="158">
        <v>45458</v>
      </c>
      <c r="B1783" s="172">
        <v>124874</v>
      </c>
    </row>
    <row r="1784" customHeight="1" spans="1:2">
      <c r="A1784" s="158">
        <v>45459</v>
      </c>
      <c r="B1784" s="172">
        <v>127122</v>
      </c>
    </row>
    <row r="1785" customHeight="1" spans="1:2">
      <c r="A1785" s="158">
        <v>45460</v>
      </c>
      <c r="B1785" s="172">
        <v>126083</v>
      </c>
    </row>
    <row r="1786" customHeight="1" spans="1:2">
      <c r="A1786" s="158">
        <v>45461</v>
      </c>
      <c r="B1786" s="172">
        <v>126693</v>
      </c>
    </row>
    <row r="1787" customHeight="1" spans="1:2">
      <c r="A1787" s="158">
        <v>45462</v>
      </c>
      <c r="B1787" s="172">
        <v>128807</v>
      </c>
    </row>
    <row r="1788" customHeight="1" spans="1:2">
      <c r="A1788" s="158">
        <v>45463</v>
      </c>
      <c r="B1788" s="172">
        <v>129886</v>
      </c>
    </row>
    <row r="1789" customHeight="1" spans="1:2">
      <c r="A1789" s="158">
        <v>45464</v>
      </c>
      <c r="B1789" s="172">
        <v>129979</v>
      </c>
    </row>
    <row r="1790" customHeight="1" spans="1:2">
      <c r="A1790" s="158">
        <v>45465</v>
      </c>
      <c r="B1790" s="172">
        <v>128900</v>
      </c>
    </row>
    <row r="1791" customHeight="1" spans="1:2">
      <c r="A1791" s="158">
        <v>45466</v>
      </c>
      <c r="B1791" s="172">
        <v>128588</v>
      </c>
    </row>
    <row r="1792" customHeight="1" spans="1:2">
      <c r="A1792" s="158">
        <v>45467</v>
      </c>
      <c r="B1792" s="172">
        <v>126988</v>
      </c>
    </row>
    <row r="1793" customHeight="1" spans="1:2">
      <c r="A1793" s="158">
        <v>45468</v>
      </c>
      <c r="B1793" s="172">
        <v>128790</v>
      </c>
    </row>
    <row r="1794" customHeight="1" spans="1:2">
      <c r="A1794" s="158">
        <v>45469</v>
      </c>
      <c r="B1794" s="172">
        <v>129729</v>
      </c>
    </row>
    <row r="1795" customHeight="1" spans="1:2">
      <c r="A1795" s="158">
        <v>45470</v>
      </c>
      <c r="B1795" s="172">
        <v>127418</v>
      </c>
    </row>
    <row r="1796" customHeight="1" spans="1:2">
      <c r="A1796" s="158">
        <v>45471</v>
      </c>
      <c r="B1796" s="172">
        <v>129252</v>
      </c>
    </row>
    <row r="1797" customHeight="1" spans="1:2">
      <c r="A1797" s="158">
        <v>45472</v>
      </c>
      <c r="B1797" s="172">
        <v>130091</v>
      </c>
    </row>
    <row r="1798" customHeight="1" spans="1:2">
      <c r="A1798" s="158">
        <v>45473</v>
      </c>
      <c r="B1798" s="172">
        <v>132391</v>
      </c>
    </row>
    <row r="1799" customHeight="1" spans="1:2">
      <c r="A1799" s="158">
        <v>45474</v>
      </c>
      <c r="B1799" s="172">
        <v>130618</v>
      </c>
    </row>
    <row r="1800" customHeight="1" spans="1:2">
      <c r="A1800" s="158">
        <v>45475</v>
      </c>
      <c r="B1800" s="172">
        <v>131391</v>
      </c>
    </row>
    <row r="1801" customHeight="1" spans="1:2">
      <c r="A1801" s="158">
        <v>45476</v>
      </c>
      <c r="B1801" s="172">
        <v>132413</v>
      </c>
    </row>
    <row r="1802" customHeight="1" spans="1:2">
      <c r="A1802" s="158">
        <v>45477</v>
      </c>
      <c r="B1802" s="172">
        <v>131518</v>
      </c>
    </row>
    <row r="1803" customHeight="1" spans="1:2">
      <c r="A1803" s="158">
        <v>45478</v>
      </c>
      <c r="B1803" s="172">
        <v>132105</v>
      </c>
    </row>
    <row r="1804" customHeight="1" spans="1:2">
      <c r="A1804" s="158">
        <v>45479</v>
      </c>
      <c r="B1804" s="172">
        <v>132909</v>
      </c>
    </row>
    <row r="1805" customHeight="1" spans="1:2">
      <c r="A1805" s="158">
        <v>45480</v>
      </c>
      <c r="B1805" s="172">
        <v>131573</v>
      </c>
    </row>
    <row r="1806" customHeight="1" spans="1:2">
      <c r="A1806" s="158">
        <v>45481</v>
      </c>
      <c r="B1806" s="172">
        <v>133630</v>
      </c>
    </row>
    <row r="1807" customHeight="1" spans="1:2">
      <c r="A1807" s="158">
        <v>45482</v>
      </c>
      <c r="B1807" s="172">
        <v>132818</v>
      </c>
    </row>
    <row r="1808" customHeight="1" spans="1:2">
      <c r="A1808" s="158">
        <v>45483</v>
      </c>
      <c r="B1808" s="172">
        <v>132423</v>
      </c>
    </row>
    <row r="1809" customHeight="1" spans="1:2">
      <c r="A1809" s="158">
        <v>45484</v>
      </c>
      <c r="B1809" s="172">
        <v>130272</v>
      </c>
    </row>
    <row r="1810" customHeight="1" spans="1:2">
      <c r="A1810" s="158">
        <v>45485</v>
      </c>
      <c r="B1810" s="172">
        <v>132729</v>
      </c>
    </row>
    <row r="1811" customHeight="1" spans="1:2">
      <c r="A1811" s="158">
        <v>45486</v>
      </c>
      <c r="B1811" s="172">
        <v>130847</v>
      </c>
    </row>
    <row r="1812" customHeight="1" spans="1:2">
      <c r="A1812" s="158">
        <v>45487</v>
      </c>
      <c r="B1812" s="172">
        <v>132478</v>
      </c>
    </row>
    <row r="1813" customHeight="1" spans="1:2">
      <c r="A1813" s="158">
        <v>45488</v>
      </c>
      <c r="B1813" s="172">
        <v>132659</v>
      </c>
    </row>
    <row r="1814" customHeight="1" spans="1:2">
      <c r="A1814" s="158">
        <v>45489</v>
      </c>
      <c r="B1814" s="172">
        <v>132807</v>
      </c>
    </row>
    <row r="1815" customHeight="1" spans="1:2">
      <c r="A1815" s="158">
        <v>45490</v>
      </c>
      <c r="B1815" s="172">
        <v>131447</v>
      </c>
    </row>
    <row r="1816" customHeight="1" spans="1:2">
      <c r="A1816" s="158">
        <v>45491</v>
      </c>
      <c r="B1816" s="172">
        <v>130956</v>
      </c>
    </row>
    <row r="1817" customHeight="1" spans="1:2">
      <c r="A1817" s="158">
        <v>45492</v>
      </c>
      <c r="B1817" s="172">
        <v>130624</v>
      </c>
    </row>
    <row r="1818" customHeight="1" spans="1:2">
      <c r="A1818" s="158">
        <v>45493</v>
      </c>
      <c r="B1818" s="172">
        <v>131318</v>
      </c>
    </row>
    <row r="1819" customHeight="1" spans="1:2">
      <c r="A1819" s="158">
        <v>45494</v>
      </c>
      <c r="B1819" s="172">
        <v>132954</v>
      </c>
    </row>
    <row r="1820" customHeight="1" spans="1:2">
      <c r="A1820" s="158">
        <v>45495</v>
      </c>
      <c r="B1820" s="172">
        <v>131074</v>
      </c>
    </row>
    <row r="1821" customHeight="1" spans="1:2">
      <c r="A1821" s="158">
        <v>45496</v>
      </c>
      <c r="B1821" s="172">
        <v>131401</v>
      </c>
    </row>
    <row r="1822" customHeight="1" spans="1:2">
      <c r="A1822" s="158">
        <v>45497</v>
      </c>
      <c r="B1822" s="172">
        <v>130420</v>
      </c>
    </row>
    <row r="1823" customHeight="1" spans="1:2">
      <c r="A1823" s="158">
        <v>45498</v>
      </c>
      <c r="B1823" s="172">
        <v>129769</v>
      </c>
    </row>
    <row r="1824" customHeight="1" spans="1:2">
      <c r="A1824" s="158">
        <v>45499</v>
      </c>
      <c r="B1824" s="172">
        <v>130637</v>
      </c>
    </row>
    <row r="1825" customHeight="1" spans="1:2">
      <c r="A1825" s="158">
        <v>45500</v>
      </c>
      <c r="B1825" s="172">
        <v>131773</v>
      </c>
    </row>
    <row r="1826" customHeight="1" spans="1:2">
      <c r="A1826" s="158">
        <v>45501</v>
      </c>
      <c r="B1826" s="172">
        <v>133485</v>
      </c>
    </row>
    <row r="1827" customHeight="1" spans="1:2">
      <c r="A1827" s="158">
        <v>45502</v>
      </c>
      <c r="B1827" s="172">
        <v>132641</v>
      </c>
    </row>
    <row r="1828" customHeight="1" spans="1:2">
      <c r="A1828" s="158">
        <v>45503</v>
      </c>
      <c r="B1828" s="172">
        <v>132138</v>
      </c>
    </row>
    <row r="1829" customHeight="1" spans="1:2">
      <c r="A1829" s="158">
        <v>45504</v>
      </c>
      <c r="B1829" s="172">
        <v>130792</v>
      </c>
    </row>
    <row r="1830" customHeight="1" spans="1:2">
      <c r="A1830" s="158">
        <v>45505</v>
      </c>
      <c r="B1830" s="172">
        <v>131179</v>
      </c>
    </row>
    <row r="1831" customHeight="1" spans="1:2">
      <c r="A1831" s="158">
        <v>45506</v>
      </c>
      <c r="B1831" s="172">
        <v>129110</v>
      </c>
    </row>
    <row r="1832" customHeight="1" spans="1:2">
      <c r="A1832" s="158">
        <v>45507</v>
      </c>
      <c r="B1832" s="172">
        <v>130556</v>
      </c>
    </row>
    <row r="1833" customHeight="1" spans="1:2">
      <c r="A1833" s="158">
        <v>45508</v>
      </c>
      <c r="B1833" s="172">
        <v>132521</v>
      </c>
    </row>
    <row r="1834" customHeight="1" spans="1:2">
      <c r="A1834" s="158">
        <v>45509</v>
      </c>
      <c r="B1834" s="172">
        <v>132757</v>
      </c>
    </row>
    <row r="1835" customHeight="1" spans="1:2">
      <c r="A1835" s="158">
        <v>45510</v>
      </c>
      <c r="B1835" s="172">
        <v>134391</v>
      </c>
    </row>
    <row r="1836" customHeight="1" spans="1:2">
      <c r="A1836" s="158">
        <v>45511</v>
      </c>
      <c r="B1836" s="172">
        <v>132063</v>
      </c>
    </row>
    <row r="1837" customHeight="1" spans="1:2">
      <c r="A1837" s="158">
        <v>45512</v>
      </c>
      <c r="B1837" s="172">
        <v>131264</v>
      </c>
    </row>
    <row r="1838" customHeight="1" spans="1:2">
      <c r="A1838" s="158">
        <v>45513</v>
      </c>
      <c r="B1838" s="172">
        <v>132182</v>
      </c>
    </row>
    <row r="1839" customHeight="1" spans="1:2">
      <c r="A1839" s="158">
        <v>45514</v>
      </c>
      <c r="B1839" s="172">
        <v>132826</v>
      </c>
    </row>
    <row r="1840" customHeight="1" spans="1:2">
      <c r="A1840" s="158">
        <v>45515</v>
      </c>
      <c r="B1840" s="172">
        <v>132893</v>
      </c>
    </row>
    <row r="1841" customHeight="1" spans="1:2">
      <c r="A1841" s="158">
        <v>45516</v>
      </c>
      <c r="B1841" s="172">
        <v>131157</v>
      </c>
    </row>
    <row r="1842" customHeight="1" spans="1:2">
      <c r="A1842" s="158">
        <v>45517</v>
      </c>
      <c r="B1842" s="172">
        <v>131530</v>
      </c>
    </row>
    <row r="1843" customHeight="1" spans="1:2">
      <c r="A1843" s="158">
        <v>45518</v>
      </c>
      <c r="B1843" s="172">
        <v>132338</v>
      </c>
    </row>
    <row r="1844" customHeight="1" spans="1:2">
      <c r="A1844" s="158">
        <v>45519</v>
      </c>
      <c r="B1844" s="172">
        <v>131466</v>
      </c>
    </row>
    <row r="1845" customHeight="1" spans="1:2">
      <c r="A1845" s="158">
        <v>45520</v>
      </c>
      <c r="B1845" s="172">
        <v>132192</v>
      </c>
    </row>
    <row r="1846" customHeight="1" spans="1:2">
      <c r="A1846" s="158">
        <v>45521</v>
      </c>
      <c r="B1846" s="172">
        <v>132631</v>
      </c>
    </row>
    <row r="1847" customHeight="1" spans="1:2">
      <c r="A1847" s="158">
        <v>45522</v>
      </c>
      <c r="B1847" s="172">
        <v>131955</v>
      </c>
    </row>
    <row r="1848" customHeight="1" spans="1:2">
      <c r="A1848" s="158">
        <v>45523</v>
      </c>
      <c r="B1848" s="172">
        <v>129094</v>
      </c>
    </row>
    <row r="1849" customHeight="1" spans="1:2">
      <c r="A1849" s="158">
        <v>45524</v>
      </c>
      <c r="B1849" s="172">
        <v>129460</v>
      </c>
    </row>
    <row r="1850" customHeight="1" spans="1:2">
      <c r="A1850" s="158">
        <v>45525</v>
      </c>
      <c r="B1850" s="172">
        <v>130704</v>
      </c>
    </row>
    <row r="1851" customHeight="1" spans="1:2">
      <c r="A1851" s="158">
        <v>45526</v>
      </c>
      <c r="B1851" s="172">
        <v>131974</v>
      </c>
    </row>
    <row r="1852" customHeight="1" spans="1:2">
      <c r="A1852" s="158">
        <v>45527</v>
      </c>
      <c r="B1852" s="172">
        <v>133111</v>
      </c>
    </row>
    <row r="1853" customHeight="1" spans="1:2">
      <c r="A1853" s="158">
        <v>45528</v>
      </c>
      <c r="B1853" s="172">
        <v>133848</v>
      </c>
    </row>
    <row r="1854" customHeight="1" spans="1:2">
      <c r="A1854" s="158">
        <v>45529</v>
      </c>
      <c r="B1854" s="172">
        <v>135192</v>
      </c>
    </row>
    <row r="1855" customHeight="1" spans="1:2">
      <c r="A1855" s="158">
        <v>45530</v>
      </c>
      <c r="B1855" s="172">
        <v>134673</v>
      </c>
    </row>
    <row r="1856" customHeight="1" spans="1:2">
      <c r="A1856" s="158">
        <v>45531</v>
      </c>
      <c r="B1856" s="172">
        <v>132382</v>
      </c>
    </row>
    <row r="1857" customHeight="1" spans="1:2">
      <c r="A1857" s="158">
        <v>45532</v>
      </c>
      <c r="B1857" s="172">
        <v>132223</v>
      </c>
    </row>
    <row r="1858" customHeight="1" spans="1:2">
      <c r="A1858" s="158">
        <v>45533</v>
      </c>
      <c r="B1858" s="172">
        <v>133326</v>
      </c>
    </row>
    <row r="1859" customHeight="1" spans="1:2">
      <c r="A1859" s="173">
        <v>45534</v>
      </c>
      <c r="B1859" s="172">
        <v>136799</v>
      </c>
    </row>
    <row r="1860" customHeight="1" spans="1:2">
      <c r="A1860" s="173">
        <v>45535</v>
      </c>
      <c r="B1860" s="172">
        <v>138721</v>
      </c>
    </row>
    <row r="1861" customHeight="1" spans="1:2">
      <c r="A1861" s="173">
        <v>45536</v>
      </c>
      <c r="B1861" s="172">
        <v>141902</v>
      </c>
    </row>
    <row r="1862" customHeight="1" spans="1:2">
      <c r="A1862" s="173">
        <v>45537</v>
      </c>
      <c r="B1862" s="172">
        <v>140890</v>
      </c>
    </row>
    <row r="1863" customHeight="1" spans="1:2">
      <c r="A1863" s="173">
        <v>45538</v>
      </c>
      <c r="B1863" s="172">
        <v>138197</v>
      </c>
    </row>
    <row r="1864" customHeight="1" spans="1:2">
      <c r="A1864" s="173">
        <v>45539</v>
      </c>
      <c r="B1864" s="172">
        <v>139118</v>
      </c>
    </row>
    <row r="1865" customHeight="1" spans="1:2">
      <c r="A1865" s="173">
        <v>45540</v>
      </c>
      <c r="B1865" s="172">
        <v>139331</v>
      </c>
    </row>
    <row r="1866" customHeight="1" spans="1:2">
      <c r="A1866" s="173">
        <v>45541</v>
      </c>
      <c r="B1866" s="172">
        <v>141158</v>
      </c>
    </row>
    <row r="1867" customHeight="1" spans="1:2">
      <c r="A1867" s="173">
        <v>45542</v>
      </c>
      <c r="B1867" s="172">
        <v>142313</v>
      </c>
    </row>
    <row r="1868" customHeight="1" spans="1:2">
      <c r="A1868" s="173">
        <v>45543</v>
      </c>
      <c r="B1868" s="172">
        <v>141240</v>
      </c>
    </row>
    <row r="1869" customHeight="1" spans="1:2">
      <c r="A1869" s="173">
        <v>45544</v>
      </c>
      <c r="B1869" s="172">
        <v>142912</v>
      </c>
    </row>
    <row r="1870" customHeight="1" spans="1:2">
      <c r="A1870" s="173">
        <v>45545</v>
      </c>
      <c r="B1870" s="172">
        <v>143480</v>
      </c>
    </row>
    <row r="1871" customHeight="1" spans="1:2">
      <c r="A1871" s="173">
        <v>45546</v>
      </c>
      <c r="B1871" s="172">
        <v>145017</v>
      </c>
    </row>
    <row r="1872" customHeight="1" spans="1:2">
      <c r="A1872" s="173">
        <v>45547</v>
      </c>
      <c r="B1872" s="172">
        <v>146299</v>
      </c>
    </row>
    <row r="1873" customHeight="1" spans="1:2">
      <c r="A1873" s="173">
        <v>45548</v>
      </c>
      <c r="B1873" s="172">
        <v>152158</v>
      </c>
    </row>
    <row r="1874" customHeight="1" spans="1:2">
      <c r="A1874" s="173">
        <v>45549</v>
      </c>
      <c r="B1874" s="172">
        <v>161187</v>
      </c>
    </row>
    <row r="1875" customHeight="1" spans="1:2">
      <c r="A1875" s="173">
        <v>45550</v>
      </c>
      <c r="B1875" s="172">
        <v>172926</v>
      </c>
    </row>
    <row r="1876" customHeight="1" spans="1:2">
      <c r="A1876" s="173">
        <v>45551</v>
      </c>
      <c r="B1876" s="172">
        <v>167385</v>
      </c>
    </row>
    <row r="1877" customHeight="1" spans="1:2">
      <c r="A1877" s="173">
        <v>45552</v>
      </c>
      <c r="B1877" s="172">
        <v>161426</v>
      </c>
    </row>
    <row r="1878" customHeight="1" spans="1:2">
      <c r="A1878" s="173">
        <v>45553</v>
      </c>
      <c r="B1878" s="172">
        <v>139231</v>
      </c>
    </row>
    <row r="1879" customHeight="1" spans="1:2">
      <c r="A1879" s="173">
        <v>45554</v>
      </c>
      <c r="B1879" s="172">
        <v>138483</v>
      </c>
    </row>
    <row r="1880" customHeight="1" spans="1:2">
      <c r="A1880" s="173">
        <v>45555</v>
      </c>
      <c r="B1880" s="172">
        <v>136494</v>
      </c>
    </row>
    <row r="1881" customHeight="1" spans="1:2">
      <c r="A1881" s="173">
        <v>45556</v>
      </c>
      <c r="B1881" s="172">
        <v>137349</v>
      </c>
    </row>
    <row r="1882" customHeight="1" spans="1:2">
      <c r="A1882" s="173">
        <v>45557</v>
      </c>
      <c r="B1882" s="172">
        <v>139162</v>
      </c>
    </row>
    <row r="1883" customHeight="1" spans="1:2">
      <c r="A1883" s="173">
        <v>45558</v>
      </c>
      <c r="B1883" s="172">
        <v>140059</v>
      </c>
    </row>
    <row r="1884" customHeight="1" spans="1:2">
      <c r="A1884" s="173">
        <v>45559</v>
      </c>
      <c r="B1884" s="172">
        <v>142373</v>
      </c>
    </row>
    <row r="1885" customHeight="1" spans="1:2">
      <c r="A1885" s="173">
        <v>45560</v>
      </c>
      <c r="B1885" s="172">
        <v>147882</v>
      </c>
    </row>
    <row r="1886" customHeight="1" spans="1:2">
      <c r="A1886" s="173">
        <v>45561</v>
      </c>
      <c r="B1886" s="172">
        <v>147798</v>
      </c>
    </row>
    <row r="1887" customHeight="1" spans="1:2">
      <c r="A1887" s="173">
        <v>45562</v>
      </c>
      <c r="B1887" s="172">
        <v>144404</v>
      </c>
    </row>
    <row r="1888" customHeight="1" spans="1:2">
      <c r="A1888" s="173">
        <v>45563</v>
      </c>
      <c r="B1888" s="172">
        <v>145988</v>
      </c>
    </row>
    <row r="1889" customHeight="1" spans="1:2">
      <c r="A1889" s="173">
        <v>45564</v>
      </c>
      <c r="B1889" s="172">
        <v>153243</v>
      </c>
    </row>
    <row r="1890" customHeight="1" spans="1:2">
      <c r="A1890" s="173">
        <v>45565</v>
      </c>
      <c r="B1890" s="172">
        <v>153913</v>
      </c>
    </row>
    <row r="1891" customHeight="1" spans="1:2">
      <c r="A1891" s="173">
        <v>45566</v>
      </c>
      <c r="B1891" s="172">
        <v>153823</v>
      </c>
    </row>
    <row r="1892" customHeight="1" spans="1:2">
      <c r="A1892" s="173">
        <v>45567</v>
      </c>
      <c r="B1892" s="172">
        <v>152596</v>
      </c>
    </row>
    <row r="1893" customHeight="1" spans="1:2">
      <c r="A1893" s="173">
        <v>45568</v>
      </c>
      <c r="B1893" s="172">
        <v>147709</v>
      </c>
    </row>
    <row r="1894" customHeight="1" spans="1:2">
      <c r="A1894" s="173">
        <v>45569</v>
      </c>
      <c r="B1894" s="172">
        <v>143820</v>
      </c>
    </row>
    <row r="1895" customHeight="1" spans="1:2">
      <c r="A1895" s="173">
        <v>45570</v>
      </c>
      <c r="B1895" s="172">
        <v>144864</v>
      </c>
    </row>
    <row r="1896" customHeight="1" spans="1:2">
      <c r="A1896" s="173">
        <v>45571</v>
      </c>
      <c r="B1896" s="172">
        <v>146488</v>
      </c>
    </row>
    <row r="1897" customHeight="1" spans="1:2">
      <c r="A1897" s="173">
        <v>45572</v>
      </c>
      <c r="B1897" s="172">
        <v>144493</v>
      </c>
    </row>
    <row r="1898" customHeight="1" spans="1:2">
      <c r="A1898" s="173">
        <v>45573</v>
      </c>
      <c r="B1898" s="172">
        <v>145075</v>
      </c>
    </row>
    <row r="1899" customHeight="1" spans="1:2">
      <c r="A1899" s="173">
        <v>45574</v>
      </c>
      <c r="B1899" s="172">
        <v>146801</v>
      </c>
    </row>
    <row r="1900" customHeight="1" spans="1:2">
      <c r="A1900" s="173">
        <v>45575</v>
      </c>
      <c r="B1900" s="172">
        <v>146348</v>
      </c>
    </row>
    <row r="1901" customHeight="1" spans="1:2">
      <c r="A1901" s="173">
        <v>45576</v>
      </c>
      <c r="B1901" s="172">
        <v>143827</v>
      </c>
    </row>
    <row r="1902" customHeight="1" spans="1:2">
      <c r="A1902" s="173">
        <v>45577</v>
      </c>
      <c r="B1902" s="172">
        <v>146932</v>
      </c>
    </row>
    <row r="1903" customHeight="1" spans="1:2">
      <c r="A1903" s="173">
        <v>45578</v>
      </c>
      <c r="B1903" s="172">
        <v>146125</v>
      </c>
    </row>
    <row r="1904" customHeight="1" spans="1:2">
      <c r="A1904" s="173">
        <v>45579</v>
      </c>
      <c r="B1904" s="172">
        <v>146121</v>
      </c>
    </row>
    <row r="1905" customHeight="1" spans="1:2">
      <c r="A1905" s="173">
        <v>45580</v>
      </c>
      <c r="B1905" s="172">
        <v>145260</v>
      </c>
    </row>
    <row r="1906" customHeight="1" spans="1:2">
      <c r="A1906" s="173">
        <v>45581</v>
      </c>
      <c r="B1906" s="172">
        <v>143422</v>
      </c>
    </row>
    <row r="1907" customHeight="1" spans="1:2">
      <c r="A1907" s="173">
        <v>45582</v>
      </c>
      <c r="B1907" s="172">
        <v>145362</v>
      </c>
    </row>
    <row r="1908" customHeight="1" spans="1:2">
      <c r="A1908" s="173">
        <v>45583</v>
      </c>
      <c r="B1908" s="172">
        <v>143486</v>
      </c>
    </row>
    <row r="1909" customHeight="1" spans="1:2">
      <c r="A1909" s="173">
        <v>45584</v>
      </c>
      <c r="B1909" s="172">
        <v>144724</v>
      </c>
    </row>
    <row r="1910" customHeight="1" spans="1:2">
      <c r="A1910" s="173">
        <v>45585</v>
      </c>
      <c r="B1910" s="172">
        <v>149165</v>
      </c>
    </row>
    <row r="1911" customHeight="1" spans="1:2">
      <c r="A1911" s="173">
        <v>45586</v>
      </c>
      <c r="B1911" s="172">
        <v>148779</v>
      </c>
    </row>
    <row r="1912" customHeight="1" spans="1:2">
      <c r="A1912" s="173">
        <v>45587</v>
      </c>
      <c r="B1912" s="172">
        <v>150348</v>
      </c>
    </row>
    <row r="1913" customHeight="1" spans="1:2">
      <c r="A1913" s="173">
        <v>45588</v>
      </c>
      <c r="B1913" s="172">
        <v>151541</v>
      </c>
    </row>
    <row r="1914" customHeight="1" spans="1:2">
      <c r="A1914" s="173">
        <v>45589</v>
      </c>
      <c r="B1914" s="172">
        <v>151882</v>
      </c>
    </row>
    <row r="1915" customHeight="1" spans="1:2">
      <c r="A1915" s="173">
        <v>45590</v>
      </c>
      <c r="B1915" s="172">
        <v>150538</v>
      </c>
    </row>
    <row r="1916" customHeight="1" spans="1:2">
      <c r="A1916" s="173">
        <v>45591</v>
      </c>
      <c r="B1916" s="172">
        <v>152345</v>
      </c>
    </row>
    <row r="1917" customHeight="1" spans="1:2">
      <c r="A1917" s="173">
        <v>45592</v>
      </c>
      <c r="B1917" s="172">
        <v>152373</v>
      </c>
    </row>
    <row r="1918" customHeight="1" spans="1:2">
      <c r="A1918" s="173">
        <v>45593</v>
      </c>
      <c r="B1918" s="172">
        <v>151460</v>
      </c>
    </row>
    <row r="1919" customHeight="1" spans="1:2">
      <c r="A1919" s="173">
        <v>45594</v>
      </c>
      <c r="B1919" s="172">
        <v>152877</v>
      </c>
    </row>
    <row r="1920" customHeight="1" spans="1:2">
      <c r="A1920" s="173">
        <v>45595</v>
      </c>
      <c r="B1920" s="172">
        <v>153151</v>
      </c>
    </row>
    <row r="1921" customHeight="1" spans="1:2">
      <c r="A1921" s="173">
        <v>45596</v>
      </c>
      <c r="B1921" s="172">
        <v>154460</v>
      </c>
    </row>
    <row r="1922" customHeight="1" spans="1:2">
      <c r="A1922" s="173">
        <v>45597</v>
      </c>
      <c r="B1922" s="172">
        <v>154255</v>
      </c>
    </row>
    <row r="1923" customHeight="1" spans="1:2">
      <c r="A1923" s="173">
        <v>45598</v>
      </c>
      <c r="B1923" s="172">
        <v>155166</v>
      </c>
    </row>
    <row r="1924" customHeight="1" spans="1:2">
      <c r="A1924" s="173">
        <v>45599</v>
      </c>
      <c r="B1924" s="172">
        <v>155757</v>
      </c>
    </row>
    <row r="1925" customHeight="1" spans="1:2">
      <c r="A1925" s="173">
        <v>45600</v>
      </c>
      <c r="B1925" s="172">
        <v>154822</v>
      </c>
    </row>
    <row r="1926" customHeight="1" spans="1:2">
      <c r="A1926" s="173">
        <v>45601</v>
      </c>
      <c r="B1926" s="172">
        <v>152268</v>
      </c>
    </row>
    <row r="1927" customHeight="1" spans="1:2">
      <c r="A1927" s="173">
        <v>45602</v>
      </c>
      <c r="B1927" s="172">
        <v>151608</v>
      </c>
    </row>
    <row r="1928" customHeight="1" spans="1:2">
      <c r="A1928" s="173">
        <v>45603</v>
      </c>
      <c r="B1928" s="172">
        <v>152653</v>
      </c>
    </row>
    <row r="1929" customHeight="1" spans="1:2">
      <c r="A1929" s="173">
        <v>45604</v>
      </c>
      <c r="B1929" s="172">
        <v>152748</v>
      </c>
    </row>
    <row r="1930" customHeight="1" spans="1:2">
      <c r="A1930" s="173">
        <v>45605</v>
      </c>
      <c r="B1930" s="172">
        <v>155639</v>
      </c>
    </row>
    <row r="1931" customHeight="1" spans="1:2">
      <c r="A1931" s="173">
        <v>45606</v>
      </c>
      <c r="B1931" s="172">
        <v>156460</v>
      </c>
    </row>
    <row r="1932" customHeight="1" spans="1:2">
      <c r="A1932" s="173">
        <v>45607</v>
      </c>
      <c r="B1932" s="172">
        <v>154978</v>
      </c>
    </row>
    <row r="1933" customHeight="1" spans="1:2">
      <c r="A1933" s="173">
        <v>45608</v>
      </c>
      <c r="B1933" s="172">
        <v>154512</v>
      </c>
    </row>
    <row r="1934" customHeight="1" spans="1:2">
      <c r="A1934" s="173">
        <v>45609</v>
      </c>
      <c r="B1934" s="172">
        <v>152577</v>
      </c>
    </row>
    <row r="1935" customHeight="1" spans="1:2">
      <c r="A1935" s="173">
        <v>45610</v>
      </c>
      <c r="B1935" s="172">
        <v>152775</v>
      </c>
    </row>
    <row r="1936" customHeight="1" spans="1:2">
      <c r="A1936" s="173">
        <v>45611</v>
      </c>
      <c r="B1936" s="172">
        <v>151411</v>
      </c>
    </row>
    <row r="1937" customHeight="1" spans="1:2">
      <c r="A1937" s="173">
        <v>45612</v>
      </c>
      <c r="B1937" s="172">
        <v>154114</v>
      </c>
    </row>
    <row r="1938" customHeight="1" spans="1:2">
      <c r="A1938" s="173">
        <v>45613</v>
      </c>
      <c r="B1938" s="172">
        <v>156378</v>
      </c>
    </row>
    <row r="1939" customHeight="1" spans="1:2">
      <c r="A1939" s="173">
        <v>45614</v>
      </c>
      <c r="B1939" s="172">
        <v>158536</v>
      </c>
    </row>
    <row r="1940" customHeight="1" spans="1:2">
      <c r="A1940" s="173">
        <v>45615</v>
      </c>
      <c r="B1940" s="172">
        <v>158047</v>
      </c>
    </row>
    <row r="1941" customHeight="1" spans="1:2">
      <c r="A1941" s="173">
        <v>45616</v>
      </c>
      <c r="B1941" s="172">
        <v>158777</v>
      </c>
    </row>
    <row r="1942" customHeight="1" spans="1:2">
      <c r="A1942" s="173">
        <v>45617</v>
      </c>
      <c r="B1942" s="172">
        <v>163784</v>
      </c>
    </row>
    <row r="1943" customHeight="1" spans="1:2">
      <c r="A1943" s="173">
        <v>45618</v>
      </c>
      <c r="B1943" s="172">
        <v>166369</v>
      </c>
    </row>
    <row r="1944" customHeight="1" spans="1:2">
      <c r="A1944" s="173">
        <v>45619</v>
      </c>
      <c r="B1944" s="172">
        <v>167148</v>
      </c>
    </row>
    <row r="1945" customHeight="1" spans="1:2">
      <c r="A1945" s="173">
        <v>45620</v>
      </c>
      <c r="B1945" s="172">
        <v>170786</v>
      </c>
    </row>
    <row r="1946" customHeight="1" spans="1:2">
      <c r="A1946" s="173">
        <v>45621</v>
      </c>
      <c r="B1946" s="172">
        <v>171490</v>
      </c>
    </row>
    <row r="1947" customHeight="1" spans="1:2">
      <c r="A1947" s="173">
        <v>45622</v>
      </c>
      <c r="B1947" s="172">
        <v>168384</v>
      </c>
    </row>
    <row r="1948" customHeight="1" spans="1:2">
      <c r="A1948" s="173">
        <v>45623</v>
      </c>
      <c r="B1948" s="172">
        <v>166853</v>
      </c>
    </row>
    <row r="1949" customHeight="1" spans="1:2">
      <c r="A1949" s="173">
        <v>45624</v>
      </c>
      <c r="B1949" s="172">
        <v>167602</v>
      </c>
    </row>
    <row r="1950" customHeight="1" spans="1:2">
      <c r="A1950" s="173">
        <v>45625</v>
      </c>
      <c r="B1950" s="172">
        <v>169782</v>
      </c>
    </row>
    <row r="1951" customHeight="1" spans="1:2">
      <c r="A1951" s="173">
        <v>45626</v>
      </c>
      <c r="B1951" s="172">
        <v>170558</v>
      </c>
    </row>
    <row r="1952" customHeight="1" spans="1:2">
      <c r="A1952" s="173">
        <v>45627</v>
      </c>
      <c r="B1952" s="172">
        <v>172811</v>
      </c>
    </row>
    <row r="1953" customHeight="1" spans="1:2">
      <c r="A1953" s="173">
        <v>45628</v>
      </c>
      <c r="B1953" s="172">
        <v>171463</v>
      </c>
    </row>
    <row r="1954" customHeight="1" spans="1:2">
      <c r="A1954" s="173">
        <v>45629</v>
      </c>
      <c r="B1954" s="172">
        <v>170018</v>
      </c>
    </row>
    <row r="1955" customHeight="1" spans="1:2">
      <c r="A1955" s="173">
        <v>45630</v>
      </c>
      <c r="B1955" s="172">
        <v>168285</v>
      </c>
    </row>
    <row r="1956" customHeight="1" spans="1:2">
      <c r="A1956" s="173">
        <v>45631</v>
      </c>
      <c r="B1956" s="172">
        <v>167415</v>
      </c>
    </row>
    <row r="1957" customHeight="1" spans="1:2">
      <c r="A1957" s="173">
        <v>45632</v>
      </c>
      <c r="B1957" s="172">
        <v>169679</v>
      </c>
    </row>
    <row r="1958" customHeight="1" spans="1:2">
      <c r="A1958" s="173">
        <v>45633</v>
      </c>
      <c r="B1958" s="172">
        <v>172877</v>
      </c>
    </row>
    <row r="1959" customHeight="1" spans="1:2">
      <c r="A1959" s="173">
        <v>45634</v>
      </c>
      <c r="B1959" s="172">
        <v>174415</v>
      </c>
    </row>
    <row r="1960" customHeight="1" spans="1:2">
      <c r="A1960" s="173">
        <v>45635</v>
      </c>
      <c r="B1960" s="172">
        <v>175138</v>
      </c>
    </row>
    <row r="1961" customHeight="1" spans="1:2">
      <c r="A1961" s="173">
        <v>45636</v>
      </c>
      <c r="B1961" s="172">
        <v>177161</v>
      </c>
    </row>
    <row r="1962" customHeight="1" spans="1:2">
      <c r="A1962" s="173">
        <v>45637</v>
      </c>
      <c r="B1962" s="172">
        <v>180576</v>
      </c>
    </row>
    <row r="1963" customHeight="1" spans="1:2">
      <c r="A1963" s="173">
        <v>45638</v>
      </c>
      <c r="B1963" s="172">
        <v>182804</v>
      </c>
    </row>
    <row r="1964" customHeight="1" spans="1:2">
      <c r="A1964" s="173">
        <v>45639</v>
      </c>
      <c r="B1964" s="172">
        <v>183706</v>
      </c>
    </row>
    <row r="1965" customHeight="1" spans="1:2">
      <c r="A1965" s="173">
        <v>45640</v>
      </c>
      <c r="B1965" s="172">
        <v>186573</v>
      </c>
    </row>
    <row r="1966" customHeight="1" spans="1:2">
      <c r="A1966" s="173">
        <v>45641</v>
      </c>
      <c r="B1966" s="172">
        <v>191004</v>
      </c>
    </row>
    <row r="1967" customHeight="1" spans="1:2">
      <c r="A1967" s="173">
        <v>45642</v>
      </c>
      <c r="B1967" s="172">
        <v>193048</v>
      </c>
    </row>
    <row r="1968" customHeight="1" spans="1:2">
      <c r="A1968" s="173">
        <v>45643</v>
      </c>
      <c r="B1968" s="172">
        <v>191080</v>
      </c>
    </row>
    <row r="1969" customHeight="1" spans="1:2">
      <c r="A1969" s="173">
        <v>45644</v>
      </c>
      <c r="B1969" s="172">
        <v>195990</v>
      </c>
    </row>
    <row r="1970" customHeight="1" spans="1:2">
      <c r="A1970" s="173">
        <v>45645</v>
      </c>
      <c r="B1970" s="172">
        <v>201854</v>
      </c>
    </row>
    <row r="1971" customHeight="1" spans="1:2">
      <c r="A1971" s="173">
        <v>45646</v>
      </c>
      <c r="B1971" s="172">
        <v>206344</v>
      </c>
    </row>
    <row r="1972" customHeight="1" spans="1:2">
      <c r="A1972" s="173">
        <v>45647</v>
      </c>
      <c r="B1972" s="172">
        <v>199489</v>
      </c>
    </row>
    <row r="1973" customHeight="1" spans="1:2">
      <c r="A1973" s="173">
        <v>45648</v>
      </c>
      <c r="B1973" s="172">
        <v>192915</v>
      </c>
    </row>
    <row r="1974" customHeight="1" spans="1:2">
      <c r="A1974" s="173">
        <v>45649</v>
      </c>
      <c r="B1974" s="172">
        <v>191498</v>
      </c>
    </row>
    <row r="1975" customHeight="1" spans="1:2">
      <c r="A1975" s="173">
        <v>45650</v>
      </c>
      <c r="B1975" s="172">
        <v>190638</v>
      </c>
    </row>
    <row r="1976" customHeight="1" spans="1:2">
      <c r="A1976" s="173">
        <v>45651</v>
      </c>
      <c r="B1976" s="172">
        <v>191404</v>
      </c>
    </row>
    <row r="1977" customHeight="1" spans="1:2">
      <c r="A1977" s="173">
        <v>45652</v>
      </c>
      <c r="B1977" s="172">
        <v>188505</v>
      </c>
    </row>
    <row r="1978" customHeight="1" spans="1:2">
      <c r="A1978" s="173">
        <v>45653</v>
      </c>
      <c r="B1978" s="172">
        <v>188143</v>
      </c>
    </row>
    <row r="1979" customHeight="1" spans="1:2">
      <c r="A1979" s="173">
        <v>45654</v>
      </c>
      <c r="B1979" s="172">
        <v>187473</v>
      </c>
    </row>
    <row r="1980" customHeight="1" spans="1:2">
      <c r="A1980" s="173">
        <v>45655</v>
      </c>
      <c r="B1980" s="172">
        <v>188490</v>
      </c>
    </row>
    <row r="1981" customHeight="1" spans="1:2">
      <c r="A1981" s="173">
        <v>45656</v>
      </c>
      <c r="B1981" s="172">
        <v>188707</v>
      </c>
    </row>
    <row r="1982" customHeight="1" spans="1:2">
      <c r="A1982" s="173">
        <v>45657</v>
      </c>
      <c r="B1982" s="172">
        <v>190789</v>
      </c>
    </row>
    <row r="1983" customHeight="1" spans="1:2">
      <c r="A1983" s="173">
        <v>45658</v>
      </c>
      <c r="B1983" s="172">
        <v>186915</v>
      </c>
    </row>
    <row r="1984" customHeight="1" spans="1:2">
      <c r="A1984" s="173">
        <v>45659</v>
      </c>
      <c r="B1984" s="172">
        <v>187801</v>
      </c>
    </row>
    <row r="1985" customHeight="1" spans="1:2">
      <c r="A1985" s="173">
        <v>45660</v>
      </c>
      <c r="B1985" s="172">
        <v>184789</v>
      </c>
    </row>
    <row r="1986" customHeight="1" spans="1:2">
      <c r="A1986" s="173">
        <v>45661</v>
      </c>
      <c r="B1986" s="172">
        <v>182452</v>
      </c>
    </row>
    <row r="1987" customHeight="1" spans="1:2">
      <c r="A1987" s="173">
        <v>45662</v>
      </c>
      <c r="B1987" s="172">
        <v>183306</v>
      </c>
    </row>
    <row r="1988" customHeight="1" spans="1:2">
      <c r="A1988" s="173">
        <v>45663</v>
      </c>
      <c r="B1988" s="172">
        <v>181270</v>
      </c>
    </row>
    <row r="1989" customHeight="1" spans="1:2">
      <c r="A1989" s="173">
        <v>45664</v>
      </c>
      <c r="B1989" s="172">
        <v>180241</v>
      </c>
    </row>
    <row r="1990" customHeight="1" spans="1:2">
      <c r="A1990" s="173">
        <v>45665</v>
      </c>
      <c r="B1990" s="172">
        <v>180679</v>
      </c>
    </row>
    <row r="1991" customHeight="1" spans="1:2">
      <c r="A1991" s="173">
        <v>45666</v>
      </c>
      <c r="B1991" s="172">
        <v>182713</v>
      </c>
    </row>
    <row r="1992" customHeight="1" spans="1:2">
      <c r="A1992" s="173">
        <v>45667</v>
      </c>
      <c r="B1992" s="172">
        <v>182870</v>
      </c>
    </row>
    <row r="1993" customHeight="1" spans="1:2">
      <c r="A1993" s="173">
        <v>45668</v>
      </c>
      <c r="B1993" s="172">
        <v>184949</v>
      </c>
    </row>
    <row r="1994" customHeight="1" spans="1:2">
      <c r="A1994" s="173">
        <v>45669</v>
      </c>
      <c r="B1994" s="172">
        <v>185626</v>
      </c>
    </row>
    <row r="1995" customHeight="1" spans="1:2">
      <c r="A1995" s="173">
        <v>45670</v>
      </c>
      <c r="B1995" s="172">
        <v>184885</v>
      </c>
    </row>
    <row r="1996" customHeight="1" spans="1:2">
      <c r="A1996" s="173">
        <v>45671</v>
      </c>
      <c r="B1996" s="172">
        <v>185580</v>
      </c>
    </row>
    <row r="1997" customHeight="1" spans="1:2">
      <c r="A1997" s="173">
        <v>45672</v>
      </c>
      <c r="B1997" s="172">
        <v>193461</v>
      </c>
    </row>
    <row r="1998" customHeight="1" spans="1:2">
      <c r="A1998" s="173">
        <v>45673</v>
      </c>
      <c r="B1998" s="172">
        <v>196404</v>
      </c>
    </row>
    <row r="1999" customHeight="1" spans="1:2">
      <c r="A1999" s="173">
        <v>45674</v>
      </c>
      <c r="B1999" s="172">
        <v>197074</v>
      </c>
    </row>
    <row r="2000" customHeight="1" spans="1:2">
      <c r="A2000" s="173">
        <v>45675</v>
      </c>
      <c r="B2000" s="172">
        <v>204940</v>
      </c>
    </row>
    <row r="2001" customHeight="1" spans="1:2">
      <c r="A2001" s="173">
        <v>45676</v>
      </c>
      <c r="B2001" s="172">
        <v>219632</v>
      </c>
    </row>
    <row r="2002" customHeight="1" spans="1:2">
      <c r="A2002" s="173">
        <v>45677</v>
      </c>
      <c r="B2002" s="172">
        <v>228415</v>
      </c>
    </row>
    <row r="2003" customHeight="1" spans="1:2">
      <c r="A2003" s="173">
        <v>45678</v>
      </c>
      <c r="B2003" s="172">
        <v>256083</v>
      </c>
    </row>
    <row r="2004" customHeight="1" spans="1:2">
      <c r="A2004" s="173">
        <v>45679</v>
      </c>
      <c r="B2004" s="172">
        <v>291256</v>
      </c>
    </row>
    <row r="2005" customHeight="1" spans="1:2">
      <c r="A2005" s="173">
        <v>45680</v>
      </c>
      <c r="B2005" s="172">
        <v>294426</v>
      </c>
    </row>
    <row r="2006" customHeight="1" spans="1:2">
      <c r="A2006" s="158">
        <v>45692</v>
      </c>
      <c r="B2006" s="172">
        <v>99587</v>
      </c>
    </row>
    <row r="2007" customHeight="1" spans="1:2">
      <c r="A2007" s="158">
        <v>45693</v>
      </c>
      <c r="B2007" s="172">
        <v>119469</v>
      </c>
    </row>
    <row r="2008" customHeight="1" spans="1:2">
      <c r="A2008" s="158">
        <v>45694</v>
      </c>
      <c r="B2008" s="172">
        <v>124103</v>
      </c>
    </row>
    <row r="2009" customHeight="1" spans="1:2">
      <c r="A2009" s="158">
        <v>45695</v>
      </c>
      <c r="B2009" s="172">
        <v>117376</v>
      </c>
    </row>
    <row r="2010" customHeight="1" spans="1:2">
      <c r="A2010" s="158">
        <v>45696</v>
      </c>
      <c r="B2010" s="172">
        <v>119062</v>
      </c>
    </row>
    <row r="2011" customHeight="1" spans="1:2">
      <c r="A2011" s="158">
        <v>45697</v>
      </c>
      <c r="B2011" s="172">
        <v>120137</v>
      </c>
    </row>
    <row r="2012" customHeight="1" spans="1:2">
      <c r="A2012" s="158">
        <v>45698</v>
      </c>
      <c r="B2012" s="172">
        <v>120680</v>
      </c>
    </row>
    <row r="2013" customHeight="1" spans="1:2">
      <c r="A2013" s="158">
        <v>45699</v>
      </c>
      <c r="B2013" s="172">
        <v>125421</v>
      </c>
    </row>
    <row r="2014" customHeight="1" spans="1:2">
      <c r="A2014" s="158">
        <v>45700</v>
      </c>
      <c r="B2014" s="172">
        <v>128699</v>
      </c>
    </row>
    <row r="2015" customHeight="1" spans="1:2">
      <c r="A2015" s="158">
        <v>45701</v>
      </c>
      <c r="B2015" s="172">
        <v>127640</v>
      </c>
    </row>
    <row r="2016" customHeight="1" spans="1:2">
      <c r="A2016" s="158">
        <v>45702</v>
      </c>
      <c r="B2016" s="172">
        <v>126519</v>
      </c>
    </row>
    <row r="2017" customHeight="1" spans="1:2">
      <c r="A2017" s="158">
        <v>45703</v>
      </c>
      <c r="B2017" s="172">
        <v>128544</v>
      </c>
    </row>
    <row r="2018" customHeight="1" spans="1:2">
      <c r="A2018" s="158">
        <v>45704</v>
      </c>
      <c r="B2018" s="172">
        <v>127417</v>
      </c>
    </row>
    <row r="2019" customHeight="1" spans="1:2">
      <c r="A2019" s="158">
        <v>45705</v>
      </c>
      <c r="B2019" s="172">
        <v>127677</v>
      </c>
    </row>
    <row r="2020" customHeight="1" spans="1:2">
      <c r="A2020" s="158">
        <v>45706</v>
      </c>
      <c r="B2020" s="172">
        <v>130423</v>
      </c>
    </row>
    <row r="2021" customHeight="1" spans="1:2">
      <c r="A2021" s="158">
        <v>45707</v>
      </c>
      <c r="B2021" s="172">
        <v>134557</v>
      </c>
    </row>
    <row r="2022" customHeight="1" spans="1:2">
      <c r="A2022" s="158">
        <v>45708</v>
      </c>
      <c r="B2022" s="172">
        <v>135041</v>
      </c>
    </row>
    <row r="2023" customHeight="1" spans="1:2">
      <c r="A2023" s="158">
        <v>45709</v>
      </c>
      <c r="B2023" s="172">
        <v>134169</v>
      </c>
    </row>
    <row r="2024" customHeight="1" spans="1:2">
      <c r="A2024" s="158">
        <v>45710</v>
      </c>
      <c r="B2024" s="172">
        <v>134986</v>
      </c>
    </row>
    <row r="2025" customHeight="1" spans="1:2">
      <c r="A2025" s="158">
        <v>45711</v>
      </c>
      <c r="B2025" s="172">
        <v>135088</v>
      </c>
    </row>
    <row r="2026" customHeight="1" spans="1:2">
      <c r="A2026" s="158">
        <v>45712</v>
      </c>
      <c r="B2026" s="172">
        <v>135428</v>
      </c>
    </row>
    <row r="2027" customHeight="1" spans="1:2">
      <c r="A2027" s="158">
        <v>45713</v>
      </c>
      <c r="B2027" s="172">
        <v>136760</v>
      </c>
    </row>
    <row r="2028" customHeight="1" spans="1:2">
      <c r="A2028" s="158">
        <v>45714</v>
      </c>
      <c r="B2028" s="172">
        <v>136420</v>
      </c>
    </row>
    <row r="2029" customHeight="1" spans="1:2">
      <c r="A2029" s="158">
        <v>45715</v>
      </c>
      <c r="B2029" s="172">
        <v>135948</v>
      </c>
    </row>
    <row r="2030" customHeight="1" spans="1:2">
      <c r="A2030" s="158">
        <v>45716</v>
      </c>
      <c r="B2030" s="172">
        <v>157555</v>
      </c>
    </row>
    <row r="2031" customHeight="1" spans="1:2">
      <c r="A2031" s="158">
        <v>45717</v>
      </c>
      <c r="B2031" s="172">
        <v>160044</v>
      </c>
    </row>
    <row r="2032" customHeight="1" spans="1:2">
      <c r="A2032" s="158">
        <v>45718</v>
      </c>
      <c r="B2032" s="172">
        <v>162453</v>
      </c>
    </row>
    <row r="2033" customHeight="1" spans="1:2">
      <c r="A2033" s="158">
        <v>45719</v>
      </c>
      <c r="B2033" s="172">
        <v>160495</v>
      </c>
    </row>
    <row r="2034" customHeight="1" spans="1:2">
      <c r="A2034" s="158">
        <v>45720</v>
      </c>
      <c r="B2034" s="172">
        <v>161702</v>
      </c>
    </row>
    <row r="2035" customHeight="1" spans="1:2">
      <c r="A2035" s="158">
        <v>45721</v>
      </c>
      <c r="B2035" s="172">
        <v>162456</v>
      </c>
    </row>
    <row r="2036" customHeight="1" spans="1:2">
      <c r="A2036" s="158">
        <v>45722</v>
      </c>
      <c r="B2036" s="172">
        <v>163343</v>
      </c>
    </row>
    <row r="2037" customHeight="1" spans="1:2">
      <c r="A2037" s="158">
        <v>45723</v>
      </c>
      <c r="B2037" s="172">
        <v>164819</v>
      </c>
    </row>
    <row r="2038" customHeight="1" spans="1:2">
      <c r="A2038" s="158">
        <v>45724</v>
      </c>
      <c r="B2038" s="172">
        <v>166927</v>
      </c>
    </row>
    <row r="2039" customHeight="1" spans="1:2">
      <c r="A2039" s="158">
        <v>45725</v>
      </c>
      <c r="B2039" s="172">
        <v>167297</v>
      </c>
    </row>
    <row r="2040" customHeight="1" spans="1:2">
      <c r="A2040" s="158">
        <v>45726</v>
      </c>
      <c r="B2040" s="172">
        <v>168984</v>
      </c>
    </row>
    <row r="2041" customHeight="1" spans="1:2">
      <c r="A2041" s="158">
        <v>45727</v>
      </c>
      <c r="B2041" s="172">
        <v>167854</v>
      </c>
    </row>
    <row r="2042" customHeight="1" spans="1:2">
      <c r="A2042" s="158">
        <v>45728</v>
      </c>
      <c r="B2042" s="172">
        <v>167379</v>
      </c>
    </row>
    <row r="2043" customHeight="1" spans="1:2">
      <c r="A2043" s="158">
        <v>45729</v>
      </c>
      <c r="B2043" s="172">
        <v>165939</v>
      </c>
    </row>
    <row r="2044" customHeight="1" spans="1:2">
      <c r="A2044" s="158">
        <v>45730</v>
      </c>
      <c r="B2044" s="172">
        <v>142504</v>
      </c>
    </row>
    <row r="2045" customHeight="1" spans="1:2">
      <c r="A2045" s="158">
        <v>45731</v>
      </c>
      <c r="B2045" s="172">
        <v>143281</v>
      </c>
    </row>
    <row r="2046" customHeight="1" spans="1:2">
      <c r="A2046" s="158">
        <v>45732</v>
      </c>
      <c r="B2046" s="172">
        <v>142238</v>
      </c>
    </row>
    <row r="2047" customHeight="1" spans="1:2">
      <c r="A2047" s="158">
        <v>45733</v>
      </c>
      <c r="B2047" s="172">
        <v>142573</v>
      </c>
    </row>
    <row r="2048" customHeight="1" spans="1:2">
      <c r="A2048" s="158">
        <v>45734</v>
      </c>
      <c r="B2048" s="172">
        <v>142701</v>
      </c>
    </row>
    <row r="2049" customHeight="1" spans="1:2">
      <c r="A2049" s="158">
        <v>45735</v>
      </c>
      <c r="B2049" s="172">
        <v>142206</v>
      </c>
    </row>
    <row r="2050" customHeight="1" spans="1:2">
      <c r="A2050" s="158">
        <v>45736</v>
      </c>
      <c r="B2050" s="172">
        <v>141509</v>
      </c>
    </row>
    <row r="2051" customHeight="1" spans="1:2">
      <c r="A2051" s="158">
        <v>45737</v>
      </c>
      <c r="B2051" s="172">
        <v>143844</v>
      </c>
    </row>
    <row r="2052" customHeight="1" spans="1:2">
      <c r="A2052" s="158">
        <v>45738</v>
      </c>
      <c r="B2052" s="172">
        <v>143232</v>
      </c>
    </row>
    <row r="2053" customHeight="1" spans="1:2">
      <c r="A2053" s="158">
        <v>45739</v>
      </c>
      <c r="B2053" s="172">
        <v>143622</v>
      </c>
    </row>
    <row r="2054" customHeight="1" spans="1:2">
      <c r="A2054" s="158">
        <v>45740</v>
      </c>
      <c r="B2054" s="172">
        <v>144372</v>
      </c>
    </row>
    <row r="2055" customHeight="1" spans="1:2">
      <c r="A2055" s="158">
        <v>45741</v>
      </c>
      <c r="B2055" s="172">
        <v>142740</v>
      </c>
    </row>
    <row r="2056" customHeight="1" spans="1:2">
      <c r="A2056" s="158">
        <v>45742</v>
      </c>
      <c r="B2056" s="172">
        <v>141464</v>
      </c>
    </row>
    <row r="2057" customHeight="1" spans="1:2">
      <c r="A2057" s="158">
        <v>45743</v>
      </c>
      <c r="B2057" s="172">
        <v>139472</v>
      </c>
    </row>
    <row r="2058" customHeight="1" spans="1:2">
      <c r="A2058" s="158">
        <v>45744</v>
      </c>
      <c r="B2058" s="172">
        <v>138355</v>
      </c>
    </row>
    <row r="2059" customHeight="1" spans="1:2">
      <c r="A2059" s="158">
        <v>45745</v>
      </c>
      <c r="B2059" s="172">
        <v>139228</v>
      </c>
    </row>
    <row r="2060" customHeight="1" spans="1:2">
      <c r="A2060" s="158">
        <v>45746</v>
      </c>
      <c r="B2060" s="172">
        <v>139620</v>
      </c>
    </row>
    <row r="2061" customHeight="1" spans="1:2">
      <c r="A2061" s="158">
        <v>45747</v>
      </c>
      <c r="B2061" s="172">
        <v>141539</v>
      </c>
    </row>
    <row r="2062" customHeight="1" spans="1:2">
      <c r="A2062" s="158">
        <v>45748</v>
      </c>
      <c r="B2062" s="172">
        <v>140076</v>
      </c>
    </row>
    <row r="2063" customHeight="1" spans="1:2">
      <c r="A2063" s="158">
        <v>45749</v>
      </c>
      <c r="B2063" s="172">
        <v>140565</v>
      </c>
    </row>
    <row r="2064" customHeight="1" spans="1:2">
      <c r="A2064" s="158">
        <v>45750</v>
      </c>
      <c r="B2064" s="172">
        <v>142205</v>
      </c>
    </row>
    <row r="2065" customHeight="1" spans="1:2">
      <c r="A2065" s="158">
        <v>45751</v>
      </c>
      <c r="B2065" s="172">
        <v>142535</v>
      </c>
    </row>
    <row r="2066" customHeight="1" spans="1:2">
      <c r="A2066" s="158">
        <v>45752</v>
      </c>
      <c r="B2066" s="172">
        <v>140459</v>
      </c>
    </row>
    <row r="2067" customHeight="1" spans="1:2">
      <c r="A2067" s="158">
        <v>45753</v>
      </c>
      <c r="B2067" s="172">
        <v>139150</v>
      </c>
    </row>
    <row r="2068" customHeight="1" spans="1:2">
      <c r="A2068" s="158">
        <v>45754</v>
      </c>
      <c r="B2068" s="172">
        <v>138668</v>
      </c>
    </row>
    <row r="2069" customHeight="1" spans="1:2">
      <c r="A2069" s="158">
        <v>45755</v>
      </c>
      <c r="B2069" s="172">
        <v>138015</v>
      </c>
    </row>
    <row r="2070" customHeight="1" spans="1:2">
      <c r="A2070" s="158">
        <v>45756</v>
      </c>
      <c r="B2070" s="172">
        <v>136813</v>
      </c>
    </row>
    <row r="2071" customHeight="1" spans="1:2">
      <c r="A2071" s="158">
        <v>45757</v>
      </c>
      <c r="B2071" s="172">
        <v>136212</v>
      </c>
    </row>
    <row r="2072" customHeight="1" spans="1:2">
      <c r="A2072" s="158">
        <v>45758</v>
      </c>
      <c r="B2072" s="172">
        <v>134802</v>
      </c>
    </row>
    <row r="2073" customHeight="1" spans="1:2">
      <c r="A2073" s="158">
        <v>45759</v>
      </c>
      <c r="B2073" s="172">
        <v>136275</v>
      </c>
    </row>
    <row r="2074" customHeight="1" spans="1:2">
      <c r="A2074" s="158">
        <v>45760</v>
      </c>
      <c r="B2074" s="172">
        <v>136317</v>
      </c>
    </row>
    <row r="2075" customHeight="1" spans="1:2">
      <c r="A2075" s="158">
        <v>45761</v>
      </c>
      <c r="B2075" s="172">
        <v>137827</v>
      </c>
    </row>
    <row r="2076" customHeight="1" spans="1:2">
      <c r="A2076" s="158">
        <v>45762</v>
      </c>
      <c r="B2076" s="172">
        <v>138082</v>
      </c>
    </row>
    <row r="2077" customHeight="1" spans="1:2">
      <c r="A2077" s="158">
        <v>45763</v>
      </c>
      <c r="B2077" s="172">
        <v>135895</v>
      </c>
    </row>
    <row r="2078" customHeight="1" spans="1:2">
      <c r="A2078" s="158">
        <v>45764</v>
      </c>
      <c r="B2078" s="172">
        <v>137418</v>
      </c>
    </row>
    <row r="2079" customHeight="1" spans="1:2">
      <c r="A2079" s="158">
        <v>45765</v>
      </c>
      <c r="B2079" s="172">
        <v>138549</v>
      </c>
    </row>
    <row r="2080" customHeight="1" spans="1:2">
      <c r="A2080" s="158">
        <v>45766</v>
      </c>
      <c r="B2080" s="172">
        <v>138548</v>
      </c>
    </row>
    <row r="2081" customHeight="1" spans="1:2">
      <c r="A2081" s="158">
        <v>45767</v>
      </c>
      <c r="B2081" s="172">
        <v>138325</v>
      </c>
    </row>
    <row r="2082" customHeight="1" spans="1:2">
      <c r="A2082" s="158">
        <v>45768</v>
      </c>
      <c r="B2082" s="172">
        <v>138740</v>
      </c>
    </row>
    <row r="2083" customHeight="1" spans="1:2">
      <c r="A2083" s="158">
        <v>45769</v>
      </c>
      <c r="B2083" s="172">
        <v>140168</v>
      </c>
    </row>
    <row r="2084" customHeight="1" spans="1:2">
      <c r="A2084" s="158">
        <v>45770</v>
      </c>
      <c r="B2084" s="172">
        <v>141258</v>
      </c>
    </row>
    <row r="2085" customHeight="1" spans="1:2">
      <c r="A2085" s="158">
        <v>45771</v>
      </c>
      <c r="B2085" s="172">
        <v>141680</v>
      </c>
    </row>
    <row r="2086" customHeight="1" spans="1:2">
      <c r="A2086" s="158">
        <v>45772</v>
      </c>
      <c r="B2086" s="172">
        <v>142660</v>
      </c>
    </row>
    <row r="2087" customHeight="1" spans="1:2">
      <c r="A2087" s="158">
        <v>45773</v>
      </c>
      <c r="B2087" s="172">
        <v>144700</v>
      </c>
    </row>
    <row r="2088" customHeight="1" spans="1:2">
      <c r="A2088" s="158">
        <v>45774</v>
      </c>
      <c r="B2088" s="172">
        <v>146348</v>
      </c>
    </row>
    <row r="2089" customHeight="1" spans="1:2">
      <c r="A2089" s="158">
        <v>45775</v>
      </c>
      <c r="B2089" s="172">
        <v>147162</v>
      </c>
    </row>
    <row r="2090" customHeight="1" spans="1:2">
      <c r="A2090" s="158">
        <v>45776</v>
      </c>
      <c r="B2090" s="172">
        <v>151015</v>
      </c>
    </row>
    <row r="2091" customHeight="1" spans="1:2">
      <c r="A2091" s="158">
        <v>45777</v>
      </c>
      <c r="B2091" s="172">
        <v>152561</v>
      </c>
    </row>
    <row r="2092" customHeight="1" spans="1:2">
      <c r="A2092" s="158">
        <v>45778</v>
      </c>
      <c r="B2092" s="172">
        <v>156062</v>
      </c>
    </row>
    <row r="2093" customHeight="1" spans="1:2">
      <c r="A2093" s="158">
        <v>45779</v>
      </c>
      <c r="B2093" s="172">
        <v>156651</v>
      </c>
    </row>
    <row r="2094" customHeight="1" spans="1:2">
      <c r="A2094" s="158">
        <v>45780</v>
      </c>
      <c r="B2094" s="172">
        <v>154333</v>
      </c>
    </row>
    <row r="2095" customHeight="1" spans="1:2">
      <c r="A2095" s="158">
        <v>45781</v>
      </c>
      <c r="B2095" s="172">
        <v>152243</v>
      </c>
    </row>
    <row r="2096" customHeight="1" spans="1:2">
      <c r="A2096" s="158">
        <v>45782</v>
      </c>
      <c r="B2096" s="172">
        <v>151756</v>
      </c>
    </row>
    <row r="2097" customHeight="1" spans="1:2">
      <c r="A2097" s="158">
        <v>45783</v>
      </c>
      <c r="B2097" s="172">
        <v>150439</v>
      </c>
    </row>
    <row r="2098" customHeight="1" spans="1:2">
      <c r="A2098" s="158">
        <v>45784</v>
      </c>
      <c r="B2098" s="172">
        <v>148474</v>
      </c>
    </row>
    <row r="2099" customHeight="1" spans="1:2">
      <c r="A2099" s="158">
        <v>45785</v>
      </c>
      <c r="B2099" s="172">
        <v>147858</v>
      </c>
    </row>
    <row r="2100" customHeight="1" spans="1:2">
      <c r="A2100" s="158">
        <v>45786</v>
      </c>
      <c r="B2100" s="172">
        <v>170238</v>
      </c>
    </row>
    <row r="2101" customHeight="1" spans="1:2">
      <c r="A2101" s="158">
        <v>45787</v>
      </c>
      <c r="B2101" s="172">
        <v>169174</v>
      </c>
    </row>
    <row r="2102" customHeight="1" spans="1:2">
      <c r="A2102" s="158">
        <v>45788</v>
      </c>
      <c r="B2102" s="172">
        <v>169062</v>
      </c>
    </row>
    <row r="2103" customHeight="1" spans="1:2">
      <c r="A2103" s="158">
        <v>45789</v>
      </c>
      <c r="B2103" s="172">
        <v>168862</v>
      </c>
    </row>
    <row r="2104" customHeight="1" spans="1:2">
      <c r="A2104" s="158">
        <v>45790</v>
      </c>
      <c r="B2104" s="172">
        <v>169008</v>
      </c>
    </row>
    <row r="2105" customHeight="1" spans="1:2">
      <c r="A2105" s="158">
        <v>45791</v>
      </c>
      <c r="B2105" s="172">
        <v>169281</v>
      </c>
    </row>
    <row r="2106" customHeight="1" spans="1:2">
      <c r="A2106" s="158">
        <v>45792</v>
      </c>
      <c r="B2106" s="172">
        <v>168201</v>
      </c>
    </row>
    <row r="2107" customHeight="1" spans="1:2">
      <c r="A2107" s="158">
        <v>45793</v>
      </c>
      <c r="B2107" s="172">
        <v>146383</v>
      </c>
    </row>
    <row r="2108" customHeight="1" spans="1:2">
      <c r="A2108" s="158">
        <v>45794</v>
      </c>
      <c r="B2108" s="172">
        <v>146004</v>
      </c>
    </row>
    <row r="2109" customHeight="1" spans="1:2">
      <c r="A2109" s="158">
        <v>45795</v>
      </c>
      <c r="B2109" s="172">
        <v>145214</v>
      </c>
    </row>
    <row r="2110" customHeight="1" spans="1:2">
      <c r="A2110" s="158">
        <v>45796</v>
      </c>
      <c r="B2110" s="172">
        <v>144649</v>
      </c>
    </row>
    <row r="2111" customHeight="1" spans="1:2">
      <c r="A2111" s="158">
        <v>45797</v>
      </c>
      <c r="B2111" s="172">
        <v>143476</v>
      </c>
    </row>
    <row r="2112" customHeight="1" spans="1:2">
      <c r="A2112" s="158">
        <v>45798</v>
      </c>
      <c r="B2112" s="172">
        <v>141715</v>
      </c>
    </row>
    <row r="2113" customHeight="1" spans="1:2">
      <c r="A2113" s="158">
        <v>45799</v>
      </c>
      <c r="B2113" s="172">
        <v>142990</v>
      </c>
    </row>
    <row r="2114" customHeight="1" spans="1:2">
      <c r="A2114" s="158">
        <v>45800</v>
      </c>
      <c r="B2114" s="172">
        <v>143147</v>
      </c>
    </row>
    <row r="2115" customHeight="1" spans="1:2">
      <c r="A2115" s="158">
        <v>45801</v>
      </c>
      <c r="B2115" s="172">
        <v>143275</v>
      </c>
    </row>
    <row r="2116" customHeight="1" spans="1:2">
      <c r="A2116" s="158">
        <v>45802</v>
      </c>
      <c r="B2116" s="172">
        <v>144135</v>
      </c>
    </row>
    <row r="2117" customHeight="1" spans="1:2">
      <c r="A2117" s="158">
        <v>45803</v>
      </c>
      <c r="B2117" s="172">
        <v>146186</v>
      </c>
    </row>
    <row r="2118" customHeight="1" spans="1:2">
      <c r="A2118" s="158">
        <v>45804</v>
      </c>
      <c r="B2118" s="172">
        <v>147404</v>
      </c>
    </row>
    <row r="2119" customHeight="1" spans="1:2">
      <c r="A2119" s="158">
        <v>45805</v>
      </c>
      <c r="B2119" s="172">
        <v>151160</v>
      </c>
    </row>
    <row r="2120" customHeight="1" spans="1:2">
      <c r="A2120" s="158">
        <v>45806</v>
      </c>
      <c r="B2120" s="172">
        <v>155211</v>
      </c>
    </row>
    <row r="2121" customHeight="1" spans="1:2">
      <c r="A2121" s="158">
        <v>45807</v>
      </c>
      <c r="B2121" s="172">
        <v>156378</v>
      </c>
    </row>
    <row r="2122" customHeight="1" spans="1:2">
      <c r="A2122" s="158">
        <v>45808</v>
      </c>
      <c r="B2122" s="172">
        <v>154333</v>
      </c>
    </row>
    <row r="2123" customHeight="1" spans="1:2">
      <c r="A2123" s="158">
        <v>45809</v>
      </c>
      <c r="B2123" s="172">
        <v>149453</v>
      </c>
    </row>
    <row r="2124" customHeight="1" spans="1:2">
      <c r="A2124" s="158">
        <v>45810</v>
      </c>
      <c r="B2124" s="172">
        <v>144842</v>
      </c>
    </row>
    <row r="2125" customHeight="1" spans="1:2">
      <c r="A2125" s="158">
        <v>45811</v>
      </c>
      <c r="B2125" s="172">
        <v>144328</v>
      </c>
    </row>
    <row r="2126" customHeight="1" spans="1:2">
      <c r="A2126" s="158">
        <v>45812</v>
      </c>
      <c r="B2126" s="172">
        <v>142950</v>
      </c>
    </row>
    <row r="2127" customHeight="1" spans="1:2">
      <c r="A2127" s="158">
        <v>45813</v>
      </c>
      <c r="B2127" s="172">
        <v>143012</v>
      </c>
    </row>
    <row r="2128" customHeight="1" spans="1:2">
      <c r="A2128" s="158">
        <v>45814</v>
      </c>
      <c r="B2128" s="172">
        <v>141753</v>
      </c>
    </row>
    <row r="2129" customHeight="1" spans="1:2">
      <c r="A2129" s="158">
        <v>45815</v>
      </c>
      <c r="B2129" s="172">
        <v>143489</v>
      </c>
    </row>
    <row r="2130" customHeight="1" spans="1:2">
      <c r="A2130" s="158">
        <v>45816</v>
      </c>
      <c r="B2130" s="172">
        <v>143968</v>
      </c>
    </row>
    <row r="2131" customHeight="1" spans="1:2">
      <c r="A2131" s="158">
        <v>45817</v>
      </c>
      <c r="B2131" s="172">
        <v>142829</v>
      </c>
    </row>
    <row r="2132" customHeight="1" spans="1:2">
      <c r="A2132" s="158">
        <v>45818</v>
      </c>
      <c r="B2132" s="172">
        <v>141441</v>
      </c>
    </row>
    <row r="2133" customHeight="1" spans="1:2">
      <c r="A2133" s="158">
        <v>45819</v>
      </c>
      <c r="B2133" s="172">
        <v>142989</v>
      </c>
    </row>
    <row r="2134" customHeight="1" spans="1:2">
      <c r="A2134" s="158">
        <v>45820</v>
      </c>
      <c r="B2134" s="172">
        <v>143937</v>
      </c>
    </row>
    <row r="2135" customHeight="1" spans="1:2">
      <c r="A2135" s="158">
        <v>45821</v>
      </c>
      <c r="B2135" s="172">
        <v>143299</v>
      </c>
    </row>
    <row r="2136" customHeight="1" spans="1:2">
      <c r="A2136" s="158">
        <v>45822</v>
      </c>
      <c r="B2136" s="172">
        <v>145209</v>
      </c>
    </row>
    <row r="2137" customHeight="1" spans="1:2">
      <c r="A2137" s="158">
        <v>45823</v>
      </c>
      <c r="B2137" s="172">
        <v>146535</v>
      </c>
    </row>
    <row r="2138" customHeight="1" spans="1:2">
      <c r="A2138" s="158">
        <v>45824</v>
      </c>
      <c r="B2138" s="172">
        <v>145517</v>
      </c>
    </row>
    <row r="2139" customHeight="1" spans="1:2">
      <c r="A2139" s="158">
        <v>45825</v>
      </c>
      <c r="B2139" s="172">
        <v>146036</v>
      </c>
    </row>
    <row r="2140" customHeight="1" spans="1:2">
      <c r="A2140" s="158">
        <v>45826</v>
      </c>
      <c r="B2140" s="172">
        <v>146597</v>
      </c>
    </row>
    <row r="2141" customHeight="1" spans="1:2">
      <c r="A2141" s="158">
        <v>45827</v>
      </c>
      <c r="B2141" s="172">
        <v>146823</v>
      </c>
    </row>
    <row r="2142" customHeight="1" spans="1:2">
      <c r="A2142" s="158">
        <v>45828</v>
      </c>
      <c r="B2142" s="172">
        <v>145340</v>
      </c>
    </row>
    <row r="2143" customHeight="1" spans="1:2">
      <c r="A2143" s="158">
        <v>45829</v>
      </c>
      <c r="B2143" s="172">
        <v>145293</v>
      </c>
    </row>
    <row r="2144" customHeight="1" spans="1:2">
      <c r="A2144" s="158">
        <v>45830</v>
      </c>
      <c r="B2144" s="172">
        <v>144977</v>
      </c>
    </row>
    <row r="2145" customHeight="1" spans="1:2">
      <c r="A2145" s="158">
        <v>45831</v>
      </c>
      <c r="B2145" s="172">
        <v>144157</v>
      </c>
    </row>
    <row r="2146" customHeight="1" spans="1:2">
      <c r="A2146" s="158">
        <v>45832</v>
      </c>
      <c r="B2146" s="172">
        <v>143382</v>
      </c>
    </row>
    <row r="2147" customHeight="1" spans="1:2">
      <c r="A2147" s="158">
        <v>45833</v>
      </c>
      <c r="B2147" s="172">
        <v>143207</v>
      </c>
    </row>
    <row r="2148" customHeight="1" spans="1:2">
      <c r="A2148" s="158">
        <v>45834</v>
      </c>
      <c r="B2148" s="172">
        <v>142127</v>
      </c>
    </row>
    <row r="2149" customHeight="1" spans="1:2">
      <c r="A2149" s="158">
        <v>45835</v>
      </c>
      <c r="B2149" s="172">
        <v>141179</v>
      </c>
    </row>
    <row r="2150" customHeight="1" spans="1:2">
      <c r="A2150" s="158">
        <v>45836</v>
      </c>
      <c r="B2150" s="172">
        <v>140269</v>
      </c>
    </row>
    <row r="2151" customHeight="1" spans="1:2">
      <c r="A2151" s="158">
        <v>45837</v>
      </c>
      <c r="B2151" s="172">
        <v>141115</v>
      </c>
    </row>
    <row r="2152" customHeight="1" spans="1:2">
      <c r="A2152" s="158">
        <v>45838</v>
      </c>
      <c r="B2152" s="172">
        <v>140739</v>
      </c>
    </row>
    <row r="2153" customHeight="1" spans="1:2">
      <c r="A2153" s="158">
        <v>45839</v>
      </c>
      <c r="B2153" s="172">
        <v>138670</v>
      </c>
    </row>
    <row r="2154" customHeight="1" spans="1:2">
      <c r="A2154" s="158">
        <v>45840</v>
      </c>
      <c r="B2154" s="172">
        <v>136895</v>
      </c>
    </row>
    <row r="2155" customHeight="1" spans="1:2">
      <c r="A2155" s="158">
        <v>45841</v>
      </c>
      <c r="B2155" s="172">
        <v>134338</v>
      </c>
    </row>
    <row r="2156" customHeight="1" spans="1:2">
      <c r="A2156" s="158">
        <v>45842</v>
      </c>
      <c r="B2156" s="172">
        <v>133839</v>
      </c>
    </row>
    <row r="2157" customHeight="1" spans="1:2">
      <c r="A2157" s="158">
        <v>45843</v>
      </c>
      <c r="B2157" s="172">
        <v>131783</v>
      </c>
    </row>
    <row r="2158" customHeight="1" spans="1:2">
      <c r="A2158" s="158">
        <v>45844</v>
      </c>
      <c r="B2158" s="172">
        <v>131413</v>
      </c>
    </row>
    <row r="2159" customHeight="1" spans="1:2">
      <c r="A2159" s="158">
        <v>45845</v>
      </c>
      <c r="B2159" s="172">
        <v>130828</v>
      </c>
    </row>
    <row r="2160" customHeight="1" spans="1:2">
      <c r="A2160" s="158">
        <v>45846</v>
      </c>
      <c r="B2160" s="172">
        <v>130721</v>
      </c>
    </row>
    <row r="2161" customHeight="1" spans="1:2">
      <c r="A2161" s="158">
        <v>45847</v>
      </c>
      <c r="B2161" s="172">
        <v>132077</v>
      </c>
    </row>
    <row r="2162" customHeight="1" spans="1:2">
      <c r="A2162" s="158">
        <v>45848</v>
      </c>
      <c r="B2162" s="172">
        <v>132166</v>
      </c>
    </row>
    <row r="2163" customHeight="1" spans="1:2">
      <c r="A2163" s="158">
        <v>45849</v>
      </c>
      <c r="B2163" s="172">
        <v>131391</v>
      </c>
    </row>
    <row r="2164" customHeight="1" spans="1:2">
      <c r="A2164" s="158">
        <v>45850</v>
      </c>
      <c r="B2164" s="172">
        <v>132706</v>
      </c>
    </row>
    <row r="2165" customHeight="1" spans="1:2">
      <c r="A2165" s="158">
        <v>45851</v>
      </c>
      <c r="B2165" s="172">
        <v>134527</v>
      </c>
    </row>
    <row r="2166" customHeight="1" spans="1:2">
      <c r="A2166" s="158">
        <v>45852</v>
      </c>
      <c r="B2166" s="172">
        <v>132507</v>
      </c>
    </row>
    <row r="2167" customHeight="1" spans="1:2">
      <c r="A2167" s="158">
        <v>45853</v>
      </c>
      <c r="B2167" s="172">
        <v>133615</v>
      </c>
    </row>
    <row r="2168" customHeight="1" spans="1:2">
      <c r="A2168" s="158">
        <v>45854</v>
      </c>
      <c r="B2168" s="172">
        <v>132599</v>
      </c>
    </row>
    <row r="2169" customHeight="1" spans="1:2">
      <c r="A2169" s="158">
        <v>45855</v>
      </c>
      <c r="B2169" s="172">
        <v>131632</v>
      </c>
    </row>
    <row r="2170" customHeight="1" spans="1:2">
      <c r="A2170" s="158">
        <v>45856</v>
      </c>
      <c r="B2170" s="172">
        <v>131836</v>
      </c>
    </row>
    <row r="2171" customHeight="1" spans="1:2">
      <c r="A2171" s="158">
        <v>45857</v>
      </c>
      <c r="B2171" s="172">
        <v>134507</v>
      </c>
    </row>
    <row r="2172" customHeight="1" spans="1:2">
      <c r="A2172" s="158">
        <v>45858</v>
      </c>
      <c r="B2172" s="172">
        <v>135806</v>
      </c>
    </row>
    <row r="2173" customHeight="1" spans="1:2">
      <c r="A2173" s="158">
        <v>45859</v>
      </c>
      <c r="B2173" s="172">
        <v>135077</v>
      </c>
    </row>
    <row r="2174" customHeight="1" spans="1:2">
      <c r="A2174" s="158">
        <v>45860</v>
      </c>
      <c r="B2174" s="172">
        <v>133605</v>
      </c>
    </row>
    <row r="2175" customHeight="1" spans="1:2">
      <c r="A2175" s="158">
        <v>45861</v>
      </c>
      <c r="B2175" s="172">
        <v>133568</v>
      </c>
    </row>
    <row r="2176" customHeight="1" spans="1:2">
      <c r="A2176" s="158">
        <v>45862</v>
      </c>
      <c r="B2176" s="172">
        <v>134538</v>
      </c>
    </row>
    <row r="2177" customHeight="1" spans="1:2">
      <c r="A2177" s="158">
        <v>45863</v>
      </c>
      <c r="B2177" s="172">
        <v>135714</v>
      </c>
    </row>
    <row r="2178" customHeight="1" spans="1:2">
      <c r="A2178" s="158">
        <v>45864</v>
      </c>
      <c r="B2178" s="172">
        <v>136741</v>
      </c>
    </row>
    <row r="2179" customHeight="1" spans="1:2">
      <c r="A2179" s="158">
        <v>45865</v>
      </c>
      <c r="B2179" s="172">
        <v>136790</v>
      </c>
    </row>
    <row r="2180" customHeight="1" spans="1:2">
      <c r="A2180" s="158">
        <v>45866</v>
      </c>
      <c r="B2180" s="172">
        <v>137328</v>
      </c>
    </row>
    <row r="2181" customHeight="1" spans="1:2">
      <c r="A2181" s="158">
        <v>45867</v>
      </c>
      <c r="B2181" s="172">
        <v>136628</v>
      </c>
    </row>
    <row r="2182" customHeight="1" spans="1:2">
      <c r="A2182" s="158">
        <v>45868</v>
      </c>
      <c r="B2182" s="172">
        <v>137466</v>
      </c>
    </row>
    <row r="2183" customHeight="1" spans="1:2">
      <c r="A2183" s="158">
        <v>45869</v>
      </c>
      <c r="B2183" s="172">
        <v>136957</v>
      </c>
    </row>
    <row r="2184" customHeight="1" spans="1:2">
      <c r="A2184" s="158">
        <v>45870</v>
      </c>
      <c r="B2184" s="172">
        <v>137385</v>
      </c>
    </row>
    <row r="2185" customHeight="1" spans="1:2">
      <c r="A2185" s="158">
        <v>45871</v>
      </c>
      <c r="B2185" s="172">
        <v>136869</v>
      </c>
    </row>
    <row r="2186" customHeight="1" spans="1:2">
      <c r="A2186" s="158">
        <v>45872</v>
      </c>
      <c r="B2186" s="172">
        <v>137469</v>
      </c>
    </row>
    <row r="2187" customHeight="1" spans="1:2">
      <c r="A2187" s="158">
        <v>45873</v>
      </c>
      <c r="B2187" s="172">
        <v>137135</v>
      </c>
    </row>
    <row r="2188" customHeight="1" spans="1:2">
      <c r="A2188" s="158">
        <v>45874</v>
      </c>
      <c r="B2188" s="172">
        <v>136211</v>
      </c>
    </row>
    <row r="2189" customHeight="1" spans="1:2">
      <c r="A2189" s="158">
        <v>45875</v>
      </c>
      <c r="B2189" s="172">
        <v>135517</v>
      </c>
    </row>
    <row r="2190" customHeight="1" spans="1:2">
      <c r="A2190" s="158">
        <v>45876</v>
      </c>
      <c r="B2190" s="172">
        <v>139287</v>
      </c>
    </row>
    <row r="2191" customHeight="1" spans="1:2">
      <c r="A2191" s="158">
        <v>45877</v>
      </c>
      <c r="B2191" s="172">
        <v>137328</v>
      </c>
    </row>
    <row r="2192" customHeight="1" spans="1:2">
      <c r="A2192" s="158">
        <v>45878</v>
      </c>
      <c r="B2192" s="172">
        <v>138585</v>
      </c>
    </row>
    <row r="2193" customHeight="1" spans="1:2">
      <c r="A2193" s="158">
        <v>45879</v>
      </c>
      <c r="B2193" s="172">
        <v>138120</v>
      </c>
    </row>
    <row r="2194" customHeight="1" spans="1:2">
      <c r="A2194" s="158">
        <v>45880</v>
      </c>
      <c r="B2194" s="172">
        <v>138986</v>
      </c>
    </row>
    <row r="2195" customHeight="1" spans="1:2">
      <c r="A2195" s="158">
        <v>45881</v>
      </c>
      <c r="B2195" s="172">
        <v>138320</v>
      </c>
    </row>
    <row r="2196" customHeight="1" spans="1:2">
      <c r="A2196" s="158">
        <v>45882</v>
      </c>
      <c r="B2196" s="172">
        <v>139006</v>
      </c>
    </row>
    <row r="2197" customHeight="1" spans="1:2">
      <c r="A2197" s="158">
        <v>45883</v>
      </c>
      <c r="B2197" s="172">
        <v>138779</v>
      </c>
    </row>
    <row r="2198" customHeight="1" spans="1:2">
      <c r="A2198" s="158">
        <v>45884</v>
      </c>
      <c r="B2198" s="172">
        <v>139050</v>
      </c>
    </row>
    <row r="2199" customHeight="1" spans="1:2">
      <c r="A2199" s="158">
        <v>45885</v>
      </c>
      <c r="B2199" s="172">
        <v>140328</v>
      </c>
    </row>
    <row r="2200" customHeight="1" spans="1:2">
      <c r="A2200" s="158">
        <v>45886</v>
      </c>
      <c r="B2200" s="172">
        <v>141164</v>
      </c>
    </row>
    <row r="2201" customHeight="1" spans="1:2">
      <c r="A2201" s="158">
        <v>45887</v>
      </c>
      <c r="B2201" s="172">
        <v>140396</v>
      </c>
    </row>
    <row r="2202" customHeight="1" spans="1:2">
      <c r="A2202" s="158">
        <v>45888</v>
      </c>
      <c r="B2202" s="172">
        <v>140323</v>
      </c>
    </row>
    <row r="2203" customHeight="1" spans="1:2">
      <c r="A2203" s="158">
        <v>45889</v>
      </c>
      <c r="B2203" s="172">
        <v>140807</v>
      </c>
    </row>
    <row r="2204" customHeight="1" spans="1:2">
      <c r="A2204" s="158">
        <v>45890</v>
      </c>
      <c r="B2204" s="172">
        <v>139599</v>
      </c>
    </row>
    <row r="2205" customHeight="1" spans="1:2">
      <c r="A2205" s="158">
        <v>45891</v>
      </c>
      <c r="B2205" s="172">
        <v>139566</v>
      </c>
    </row>
    <row r="2206" customHeight="1" spans="1:2">
      <c r="A2206" s="158">
        <v>45892</v>
      </c>
      <c r="B2206" s="172">
        <v>141052</v>
      </c>
    </row>
    <row r="2207" customHeight="1" spans="1:2">
      <c r="A2207" s="158">
        <v>45893</v>
      </c>
      <c r="B2207" s="172">
        <v>141278</v>
      </c>
    </row>
    <row r="2208" customHeight="1" spans="1:2">
      <c r="A2208" s="158">
        <v>45894</v>
      </c>
      <c r="B2208" s="172">
        <v>140203</v>
      </c>
    </row>
    <row r="2209" customHeight="1" spans="1:2">
      <c r="A2209" s="158">
        <v>45895</v>
      </c>
      <c r="B2209" s="172">
        <v>140338</v>
      </c>
    </row>
    <row r="2210" customHeight="1" spans="1:2">
      <c r="A2210" s="158">
        <v>45896</v>
      </c>
      <c r="B2210" s="172">
        <v>141787</v>
      </c>
    </row>
    <row r="2211" customHeight="1" spans="1:2">
      <c r="A2211" s="158">
        <v>45897</v>
      </c>
      <c r="B2211" s="172">
        <v>142240</v>
      </c>
    </row>
    <row r="2212" customHeight="1" spans="1:2">
      <c r="A2212" s="158">
        <v>45898</v>
      </c>
      <c r="B2212" s="172">
        <v>144262</v>
      </c>
    </row>
    <row r="2213" customHeight="1" spans="1:2">
      <c r="A2213" s="158">
        <v>45899</v>
      </c>
      <c r="B2213" s="172">
        <v>147367</v>
      </c>
    </row>
    <row r="2214" customHeight="1" spans="1:2">
      <c r="A2214" s="158">
        <v>45900</v>
      </c>
      <c r="B2214" s="172">
        <v>150033</v>
      </c>
    </row>
    <row r="2215" customHeight="1" spans="1:2">
      <c r="A2215" s="158">
        <v>45901</v>
      </c>
      <c r="B2215" s="172">
        <v>148354</v>
      </c>
    </row>
    <row r="2216" customHeight="1" spans="1:2">
      <c r="A2216" s="158">
        <v>45902</v>
      </c>
      <c r="B2216" s="172">
        <v>148535</v>
      </c>
    </row>
    <row r="2217" customHeight="1" spans="1:2">
      <c r="A2217" s="158">
        <v>45903</v>
      </c>
      <c r="B2217" s="172">
        <v>149751</v>
      </c>
    </row>
    <row r="2218" customHeight="1" spans="1:2">
      <c r="A2218" s="158">
        <v>45904</v>
      </c>
      <c r="B2218" s="172">
        <v>150785</v>
      </c>
    </row>
    <row r="2219" customHeight="1" spans="1:2">
      <c r="A2219" s="158">
        <v>45905</v>
      </c>
      <c r="B2219" s="172">
        <v>148889</v>
      </c>
    </row>
    <row r="2220" customHeight="1" spans="1:2">
      <c r="A2220" s="158">
        <v>45906</v>
      </c>
      <c r="B2220" s="172">
        <v>151018</v>
      </c>
    </row>
    <row r="2221" customHeight="1" spans="1:2">
      <c r="A2221" s="158">
        <v>45907</v>
      </c>
      <c r="B2221" s="172">
        <v>149903</v>
      </c>
    </row>
    <row r="2222" customHeight="1" spans="1:2">
      <c r="A2222" s="158">
        <v>45908</v>
      </c>
      <c r="B2222" s="172">
        <v>148538</v>
      </c>
    </row>
    <row r="2223" customHeight="1" spans="1:2">
      <c r="A2223" s="158">
        <v>45909</v>
      </c>
      <c r="B2223" s="172">
        <v>148565</v>
      </c>
    </row>
    <row r="2224" customHeight="1" spans="1:2">
      <c r="A2224" s="158">
        <v>45910</v>
      </c>
      <c r="B2224" s="172">
        <v>147686</v>
      </c>
    </row>
    <row r="2225" customHeight="1" spans="1:2">
      <c r="A2225" s="158">
        <v>45911</v>
      </c>
      <c r="B2225" s="172">
        <v>148008</v>
      </c>
    </row>
    <row r="2226" customHeight="1" spans="1:2">
      <c r="A2226" s="158">
        <v>45912</v>
      </c>
      <c r="B2226" s="172">
        <v>148973</v>
      </c>
    </row>
    <row r="2227" customHeight="1" spans="1:2">
      <c r="A2227" s="158">
        <v>45913</v>
      </c>
      <c r="B2227" s="172">
        <v>148842</v>
      </c>
    </row>
    <row r="2228" customHeight="1" spans="1:2">
      <c r="A2228" s="158">
        <v>45914</v>
      </c>
      <c r="B2228" s="172">
        <v>148672</v>
      </c>
    </row>
    <row r="2229" customHeight="1" spans="1:2">
      <c r="A2229" s="158">
        <v>45915</v>
      </c>
      <c r="B2229" s="172">
        <v>148082</v>
      </c>
    </row>
    <row r="2230" customHeight="1" spans="1:2">
      <c r="A2230" s="158">
        <v>45916</v>
      </c>
      <c r="B2230" s="172">
        <v>149204</v>
      </c>
    </row>
    <row r="2231" customHeight="1" spans="1:2">
      <c r="A2231" s="158">
        <v>45917</v>
      </c>
      <c r="B2231" s="172">
        <v>148608</v>
      </c>
    </row>
    <row r="2232" customHeight="1" spans="1:2">
      <c r="A2232" s="158">
        <v>45918</v>
      </c>
      <c r="B2232" s="172">
        <v>149450</v>
      </c>
    </row>
    <row r="2233" customHeight="1" spans="1:2">
      <c r="A2233" s="158">
        <v>45919</v>
      </c>
      <c r="B2233" s="172">
        <v>149020</v>
      </c>
    </row>
    <row r="2234" customHeight="1" spans="1:2">
      <c r="A2234" s="158">
        <v>45920</v>
      </c>
      <c r="B2234" s="172">
        <v>151996</v>
      </c>
    </row>
    <row r="2235" customHeight="1" spans="1:2">
      <c r="A2235" s="158">
        <v>45921</v>
      </c>
      <c r="B2235" s="172">
        <v>153610</v>
      </c>
    </row>
    <row r="2236" customHeight="1" spans="1:2">
      <c r="A2236" s="158">
        <v>45922</v>
      </c>
      <c r="B2236" s="172">
        <v>153248</v>
      </c>
    </row>
    <row r="2237" customHeight="1" spans="1:2">
      <c r="A2237" s="158">
        <v>45923</v>
      </c>
      <c r="B2237" s="172">
        <v>153993</v>
      </c>
    </row>
    <row r="2238" customHeight="1" spans="1:2">
      <c r="A2238" s="158">
        <v>45924</v>
      </c>
      <c r="B2238" s="172">
        <v>155064</v>
      </c>
    </row>
    <row r="2239" customHeight="1" spans="1:2">
      <c r="A2239" s="158">
        <v>45925</v>
      </c>
      <c r="B2239" s="172">
        <v>143630</v>
      </c>
    </row>
    <row r="2240" customHeight="1" spans="1:2">
      <c r="A2240" s="158">
        <v>45926</v>
      </c>
      <c r="B2240" s="172">
        <v>155314</v>
      </c>
    </row>
    <row r="2241" customHeight="1" spans="1:2">
      <c r="A2241" s="158">
        <v>45927</v>
      </c>
      <c r="B2241" s="172">
        <v>160174</v>
      </c>
    </row>
    <row r="2242" customHeight="1" spans="1:2">
      <c r="A2242" s="158">
        <v>45928</v>
      </c>
      <c r="B2242" s="172">
        <v>165179</v>
      </c>
    </row>
    <row r="2243" customHeight="1" spans="1:2">
      <c r="A2243" s="158">
        <v>45929</v>
      </c>
      <c r="B2243" s="172">
        <v>169930</v>
      </c>
    </row>
    <row r="2244" customHeight="1" spans="1:2">
      <c r="A2244" s="158">
        <v>45930</v>
      </c>
      <c r="B2244" s="172">
        <v>167803</v>
      </c>
    </row>
    <row r="2245" customHeight="1" spans="1:2">
      <c r="A2245" s="158">
        <v>45931</v>
      </c>
      <c r="B2245" s="172">
        <v>167757</v>
      </c>
    </row>
    <row r="2246" customHeight="1" spans="1:2">
      <c r="A2246" s="158">
        <v>45932</v>
      </c>
      <c r="B2246" s="172">
        <v>166844</v>
      </c>
    </row>
    <row r="2247" customHeight="1" spans="1:2">
      <c r="A2247" s="158">
        <v>45933</v>
      </c>
      <c r="B2247" s="172">
        <v>169978</v>
      </c>
    </row>
    <row r="2248" customHeight="1" spans="1:2">
      <c r="A2248" s="158">
        <v>45934</v>
      </c>
      <c r="B2248" s="172">
        <v>170344</v>
      </c>
    </row>
    <row r="2249" customHeight="1" spans="1:2">
      <c r="A2249" s="158">
        <v>45935</v>
      </c>
      <c r="B2249" s="172">
        <v>168332</v>
      </c>
    </row>
    <row r="2250" customHeight="1" spans="1:2">
      <c r="A2250" s="158">
        <v>45936</v>
      </c>
      <c r="B2250" s="172">
        <v>162619</v>
      </c>
    </row>
    <row r="2251" customHeight="1" spans="1:2">
      <c r="A2251" s="158">
        <v>45937</v>
      </c>
      <c r="B2251" s="172">
        <v>153804</v>
      </c>
    </row>
    <row r="2252" customHeight="1" spans="1:2">
      <c r="A2252" s="158">
        <v>45938</v>
      </c>
      <c r="B2252" s="172">
        <v>152586</v>
      </c>
    </row>
    <row r="2253" customHeight="1" spans="1:2">
      <c r="A2253" s="158">
        <v>45939</v>
      </c>
      <c r="B2253" s="172">
        <v>152651</v>
      </c>
    </row>
    <row r="2254" customHeight="1" spans="1:2">
      <c r="A2254" s="158">
        <v>45940</v>
      </c>
      <c r="B2254" s="172">
        <v>154455</v>
      </c>
    </row>
    <row r="2255" customHeight="1" spans="1:2">
      <c r="A2255" s="158">
        <v>45941</v>
      </c>
      <c r="B2255" s="172">
        <v>155777</v>
      </c>
    </row>
    <row r="2256" customHeight="1" spans="1:2">
      <c r="A2256" s="158">
        <v>45942</v>
      </c>
      <c r="B2256" s="172">
        <v>159221</v>
      </c>
    </row>
    <row r="2257" customHeight="1" spans="1:2">
      <c r="A2257" s="158">
        <v>45943</v>
      </c>
      <c r="B2257" s="172">
        <v>159289</v>
      </c>
    </row>
    <row r="2258" customHeight="1" spans="1:2">
      <c r="A2258" s="158">
        <v>45944</v>
      </c>
      <c r="B2258" s="172">
        <v>159778</v>
      </c>
    </row>
    <row r="2259" customHeight="1" spans="1:2">
      <c r="A2259" s="158">
        <v>45945</v>
      </c>
      <c r="B2259" s="172">
        <v>162264</v>
      </c>
    </row>
    <row r="2260" customHeight="1" spans="1:2">
      <c r="A2260" s="158">
        <v>45946</v>
      </c>
      <c r="B2260" s="172">
        <v>163263</v>
      </c>
    </row>
    <row r="2261" customHeight="1" spans="1:2">
      <c r="A2261" s="158">
        <v>45947</v>
      </c>
      <c r="B2261" s="172">
        <v>161518</v>
      </c>
    </row>
    <row r="2262" customHeight="1" spans="1:2">
      <c r="A2262" s="158">
        <v>45948</v>
      </c>
      <c r="B2262" s="172">
        <v>164838</v>
      </c>
    </row>
    <row r="2263" customHeight="1" spans="1:2">
      <c r="A2263" s="158">
        <v>45949</v>
      </c>
      <c r="B2263" s="172">
        <v>166521</v>
      </c>
    </row>
    <row r="2264" customHeight="1" spans="1:2">
      <c r="A2264" s="158">
        <v>45950</v>
      </c>
      <c r="B2264" s="172">
        <v>164642</v>
      </c>
    </row>
    <row r="2265" customHeight="1" spans="1:2">
      <c r="A2265" s="158">
        <v>45951</v>
      </c>
      <c r="B2265" s="172">
        <v>164997</v>
      </c>
    </row>
    <row r="2266" customHeight="1" spans="1:2">
      <c r="A2266" s="158">
        <v>45952</v>
      </c>
      <c r="B2266" s="172">
        <v>164367</v>
      </c>
    </row>
    <row r="2267" customHeight="1" spans="1:2">
      <c r="A2267" s="158">
        <v>45953</v>
      </c>
      <c r="B2267" s="172">
        <v>164551</v>
      </c>
    </row>
    <row r="2268" customHeight="1" spans="1:2">
      <c r="A2268" s="158">
        <v>45954</v>
      </c>
      <c r="B2268" s="172">
        <v>162425</v>
      </c>
    </row>
    <row r="2269" customHeight="1" spans="1:2">
      <c r="A2269" s="158">
        <v>45955</v>
      </c>
      <c r="B2269" s="172">
        <v>164143</v>
      </c>
    </row>
    <row r="2270" customHeight="1" spans="1:2">
      <c r="A2270" s="158">
        <v>45956</v>
      </c>
      <c r="B2270" s="172">
        <v>164851</v>
      </c>
    </row>
    <row r="2271" customHeight="1" spans="1:2">
      <c r="A2271" s="158">
        <v>45957</v>
      </c>
      <c r="B2271" s="172">
        <v>165524</v>
      </c>
    </row>
    <row r="2272" customHeight="1" spans="1:2">
      <c r="A2272" s="158">
        <v>45958</v>
      </c>
      <c r="B2272" s="172">
        <v>163876</v>
      </c>
    </row>
    <row r="2273" customHeight="1" spans="1:2">
      <c r="A2273" s="158">
        <v>45959</v>
      </c>
      <c r="B2273" s="172">
        <v>162661</v>
      </c>
    </row>
    <row r="2274" customHeight="1" spans="1:2">
      <c r="A2274" s="158">
        <v>45960</v>
      </c>
      <c r="B2274" s="172">
        <v>161138</v>
      </c>
    </row>
    <row r="2275" customHeight="1" spans="1:2">
      <c r="A2275" s="158">
        <v>45961</v>
      </c>
      <c r="B2275" s="172">
        <v>160144</v>
      </c>
    </row>
    <row r="2276" customHeight="1" spans="1:2">
      <c r="A2276" s="158">
        <v>45962</v>
      </c>
      <c r="B2276" s="172">
        <v>158811</v>
      </c>
    </row>
    <row r="2277" customHeight="1" spans="1:2">
      <c r="A2277" s="158">
        <v>45963</v>
      </c>
      <c r="B2277" s="172">
        <v>157440</v>
      </c>
    </row>
    <row r="2278" customHeight="1" spans="1:2">
      <c r="A2278" s="158">
        <v>45964</v>
      </c>
      <c r="B2278" s="172">
        <v>158597</v>
      </c>
    </row>
    <row r="2279" customHeight="1" spans="1:2">
      <c r="A2279" s="158">
        <v>45965</v>
      </c>
      <c r="B2279" s="172">
        <v>158004</v>
      </c>
    </row>
    <row r="2280" customHeight="1" spans="1:2">
      <c r="A2280" s="158">
        <v>45966</v>
      </c>
      <c r="B2280" s="172">
        <v>159258</v>
      </c>
    </row>
    <row r="2281" customHeight="1" spans="1:2">
      <c r="A2281" s="158">
        <v>45967</v>
      </c>
      <c r="B2281" s="172">
        <v>160651</v>
      </c>
    </row>
    <row r="2282" customHeight="1" spans="1:2">
      <c r="A2282" s="158">
        <v>45968</v>
      </c>
      <c r="B2282" s="172">
        <v>162310</v>
      </c>
    </row>
    <row r="2283" customHeight="1" spans="1:2">
      <c r="A2283" s="158">
        <v>45969</v>
      </c>
      <c r="B2283" s="172">
        <v>162967</v>
      </c>
    </row>
    <row r="2284" customHeight="1" spans="1:2">
      <c r="A2284" s="158">
        <v>45970</v>
      </c>
      <c r="B2284" s="172">
        <v>163190</v>
      </c>
    </row>
    <row r="2285" customHeight="1" spans="1:2">
      <c r="A2285" s="158">
        <v>45971</v>
      </c>
      <c r="B2285" s="172">
        <v>162445</v>
      </c>
    </row>
    <row r="2286" customHeight="1" spans="1:2">
      <c r="A2286" s="158">
        <v>45972</v>
      </c>
      <c r="B2286" s="172">
        <v>162448</v>
      </c>
    </row>
    <row r="2287" customHeight="1" spans="1:2">
      <c r="A2287" s="158">
        <v>45973</v>
      </c>
      <c r="B2287" s="172">
        <v>164134</v>
      </c>
    </row>
    <row r="2288" customHeight="1" spans="1:2">
      <c r="A2288" s="158">
        <v>45974</v>
      </c>
      <c r="B2288" s="172">
        <v>162927</v>
      </c>
    </row>
    <row r="2289" customHeight="1" spans="1:2">
      <c r="A2289" s="158">
        <v>45975</v>
      </c>
      <c r="B2289" s="172">
        <v>164028</v>
      </c>
    </row>
    <row r="2290" customHeight="1" spans="1:2">
      <c r="A2290" s="158">
        <v>45976</v>
      </c>
      <c r="B2290" s="172">
        <v>166155</v>
      </c>
    </row>
    <row r="2291" customHeight="1" spans="1:2">
      <c r="A2291" s="158">
        <v>45977</v>
      </c>
      <c r="B2291" s="172">
        <v>166541</v>
      </c>
    </row>
    <row r="2292" customHeight="1" spans="1:2">
      <c r="A2292" s="158">
        <v>45978</v>
      </c>
      <c r="B2292" s="172">
        <v>166125</v>
      </c>
    </row>
    <row r="2293" customHeight="1" spans="1:2">
      <c r="A2293" s="158">
        <v>45979</v>
      </c>
      <c r="B2293" s="172">
        <v>165897</v>
      </c>
    </row>
    <row r="2294" customHeight="1" spans="1:2">
      <c r="A2294" s="158">
        <v>45980</v>
      </c>
      <c r="B2294" s="172">
        <v>169189</v>
      </c>
    </row>
    <row r="2295" customHeight="1" spans="1:2">
      <c r="A2295" s="158">
        <v>45981</v>
      </c>
      <c r="B2295" s="172">
        <v>171117</v>
      </c>
    </row>
    <row r="2296" customHeight="1" spans="1:2">
      <c r="A2296" s="158">
        <v>45982</v>
      </c>
      <c r="B2296" s="172">
        <v>169185</v>
      </c>
    </row>
    <row r="2297" customHeight="1" spans="1:2">
      <c r="A2297" s="158">
        <v>45983</v>
      </c>
      <c r="B2297" s="172">
        <v>172357</v>
      </c>
    </row>
    <row r="2298" customHeight="1" spans="1:2">
      <c r="A2298" s="158">
        <v>45984</v>
      </c>
      <c r="B2298" s="172">
        <v>174126</v>
      </c>
    </row>
    <row r="2299" customHeight="1" spans="1:2">
      <c r="A2299" s="158">
        <v>45985</v>
      </c>
      <c r="B2299" s="172">
        <v>172840</v>
      </c>
    </row>
    <row r="2300" customHeight="1" spans="1:2">
      <c r="A2300" s="158">
        <v>45986</v>
      </c>
      <c r="B2300" s="172">
        <v>173120</v>
      </c>
    </row>
    <row r="2301" customHeight="1" spans="1:2">
      <c r="A2301" s="158">
        <v>45987</v>
      </c>
      <c r="B2301" s="172">
        <v>173135</v>
      </c>
    </row>
    <row r="2302" customHeight="1" spans="1:2">
      <c r="A2302" s="158">
        <v>45988</v>
      </c>
      <c r="B2302" s="172">
        <v>173955</v>
      </c>
    </row>
    <row r="2303" customHeight="1" spans="1:2">
      <c r="A2303" s="158">
        <v>45989</v>
      </c>
      <c r="B2303" s="172">
        <v>174245</v>
      </c>
    </row>
    <row r="2304" customHeight="1" spans="1:2">
      <c r="A2304" s="158">
        <v>45990</v>
      </c>
      <c r="B2304" s="172">
        <v>175688</v>
      </c>
    </row>
    <row r="2305" customHeight="1" spans="1:2">
      <c r="A2305" s="158">
        <v>45991</v>
      </c>
      <c r="B2305" s="172">
        <v>176598</v>
      </c>
    </row>
    <row r="2306" customHeight="1" spans="1:2">
      <c r="A2306" s="158">
        <v>45992</v>
      </c>
      <c r="B2306" s="172">
        <v>175282</v>
      </c>
    </row>
    <row r="2307" customHeight="1" spans="1:2">
      <c r="A2307" s="158">
        <v>45993</v>
      </c>
      <c r="B2307" s="172">
        <v>176225</v>
      </c>
    </row>
    <row r="2308" customHeight="1" spans="1:2">
      <c r="A2308" s="158">
        <v>45994</v>
      </c>
      <c r="B2308" s="172">
        <v>176715</v>
      </c>
    </row>
    <row r="2309" customHeight="1" spans="1:2">
      <c r="A2309" s="158">
        <v>45995</v>
      </c>
      <c r="B2309" s="172">
        <v>177329</v>
      </c>
    </row>
    <row r="2310" customHeight="1" spans="1:2">
      <c r="A2310" s="158">
        <v>45996</v>
      </c>
      <c r="B2310" s="172">
        <v>178170</v>
      </c>
    </row>
    <row r="2311" customHeight="1" spans="1:2">
      <c r="A2311" s="158">
        <v>45997</v>
      </c>
      <c r="B2311" s="172">
        <v>179313</v>
      </c>
    </row>
    <row r="2312" customHeight="1" spans="1:2">
      <c r="A2312" s="158">
        <v>45998</v>
      </c>
      <c r="B2312" s="172">
        <v>182398</v>
      </c>
    </row>
    <row r="2313" customHeight="1" spans="1:2">
      <c r="A2313" s="158">
        <v>45999</v>
      </c>
      <c r="B2313" s="172">
        <v>182637</v>
      </c>
    </row>
    <row r="2314" customHeight="1" spans="1:2">
      <c r="A2314" s="158">
        <v>46000</v>
      </c>
      <c r="B2314" s="172">
        <v>182270</v>
      </c>
    </row>
    <row r="2315" customHeight="1" spans="1:2">
      <c r="A2315" s="158">
        <v>46001</v>
      </c>
      <c r="B2315" s="172">
        <v>183603</v>
      </c>
    </row>
    <row r="2316" customHeight="1" spans="1:2">
      <c r="A2316" s="158">
        <v>46002</v>
      </c>
      <c r="B2316" s="172">
        <v>184653</v>
      </c>
    </row>
    <row r="2317" customHeight="1" spans="1:2">
      <c r="A2317" s="158">
        <v>46003</v>
      </c>
      <c r="B2317" s="172">
        <v>187686</v>
      </c>
    </row>
    <row r="2318" customHeight="1" spans="1:2">
      <c r="A2318" s="158">
        <v>46004</v>
      </c>
      <c r="B2318" s="172">
        <v>192201</v>
      </c>
    </row>
    <row r="2319" customHeight="1" spans="1:2">
      <c r="A2319" s="158">
        <v>46005</v>
      </c>
      <c r="B2319" s="172">
        <v>191616</v>
      </c>
    </row>
    <row r="2320" customHeight="1" spans="1:2">
      <c r="A2320" s="158">
        <v>46006</v>
      </c>
      <c r="B2320" s="172">
        <v>191130</v>
      </c>
    </row>
    <row r="2321" customHeight="1" spans="1:2">
      <c r="A2321" s="158">
        <v>46007</v>
      </c>
      <c r="B2321" s="172">
        <v>190863</v>
      </c>
    </row>
    <row r="2322" customHeight="1" spans="1:2">
      <c r="A2322" s="158">
        <v>46008</v>
      </c>
      <c r="B2322" s="172">
        <v>195046</v>
      </c>
    </row>
    <row r="2323" customHeight="1" spans="1:2">
      <c r="A2323" s="158">
        <v>46009</v>
      </c>
      <c r="B2323" s="172">
        <v>201920</v>
      </c>
    </row>
    <row r="2324" customHeight="1" spans="1:2">
      <c r="A2324" s="158">
        <v>46010</v>
      </c>
      <c r="B2324" s="172">
        <v>207554</v>
      </c>
    </row>
    <row r="2325" customHeight="1" spans="1:2">
      <c r="A2325" s="158">
        <v>46011</v>
      </c>
      <c r="B2325" s="172">
        <v>205586</v>
      </c>
    </row>
    <row r="2326" customHeight="1" spans="1:2">
      <c r="A2326" s="158">
        <v>46012</v>
      </c>
      <c r="B2326" s="172">
        <v>199570</v>
      </c>
    </row>
    <row r="2327" customHeight="1" spans="1:2">
      <c r="A2327" s="158">
        <v>46013</v>
      </c>
      <c r="B2327" s="172">
        <v>197212</v>
      </c>
    </row>
    <row r="2328" customHeight="1" spans="1:2">
      <c r="A2328" s="158">
        <v>46014</v>
      </c>
      <c r="B2328" s="172">
        <v>195370</v>
      </c>
    </row>
    <row r="2329" customHeight="1" spans="1:2">
      <c r="A2329" s="158">
        <v>46015</v>
      </c>
      <c r="B2329" s="172">
        <v>195883</v>
      </c>
    </row>
    <row r="2330" customHeight="1" spans="1:2">
      <c r="A2330" s="158">
        <v>46016</v>
      </c>
      <c r="B2330" s="172">
        <v>196574</v>
      </c>
    </row>
    <row r="2331" customHeight="1" spans="1:2">
      <c r="A2331" s="158">
        <v>46017</v>
      </c>
      <c r="B2331" s="172">
        <v>197307</v>
      </c>
    </row>
    <row r="2332" customHeight="1" spans="1:2">
      <c r="A2332" s="158">
        <v>46018</v>
      </c>
      <c r="B2332" s="172">
        <v>200750</v>
      </c>
    </row>
    <row r="2333" customHeight="1" spans="1:2">
      <c r="A2333" s="158">
        <v>46019</v>
      </c>
      <c r="B2333" s="172">
        <v>202607</v>
      </c>
    </row>
    <row r="2334" customHeight="1" spans="1:2">
      <c r="A2334" s="158">
        <v>46020</v>
      </c>
      <c r="B2334" s="172">
        <v>201045</v>
      </c>
    </row>
    <row r="2335" customHeight="1" spans="1:2">
      <c r="A2335" s="158">
        <v>46021</v>
      </c>
      <c r="B2335" s="172">
        <v>200147</v>
      </c>
    </row>
    <row r="2336" customHeight="1" spans="1:2">
      <c r="A2336" s="158">
        <v>46022</v>
      </c>
      <c r="B2336" s="172">
        <v>202232</v>
      </c>
    </row>
    <row r="2337" customHeight="1" spans="1:2">
      <c r="A2337" s="158">
        <v>46023</v>
      </c>
      <c r="B2337" s="172">
        <v>200838</v>
      </c>
    </row>
    <row r="2338" customHeight="1" spans="1:2">
      <c r="A2338" s="158">
        <v>46024</v>
      </c>
      <c r="B2338" s="172">
        <v>192645</v>
      </c>
    </row>
    <row r="2339" customHeight="1" spans="1:2">
      <c r="A2339" s="158">
        <v>46025</v>
      </c>
      <c r="B2339" s="172">
        <v>189703</v>
      </c>
    </row>
    <row r="2340" customHeight="1" spans="1:2">
      <c r="A2340" s="158">
        <v>46026</v>
      </c>
      <c r="B2340" s="172">
        <v>188681</v>
      </c>
    </row>
    <row r="2341" customHeight="1" spans="1:2">
      <c r="A2341" s="158">
        <v>46027</v>
      </c>
      <c r="B2341" s="172">
        <v>188804</v>
      </c>
    </row>
    <row r="2342" customHeight="1" spans="1:2">
      <c r="A2342" s="158">
        <v>46028</v>
      </c>
      <c r="B2342" s="172">
        <v>189788</v>
      </c>
    </row>
    <row r="2343" customHeight="1" spans="1:2">
      <c r="A2343" s="158">
        <v>46029</v>
      </c>
      <c r="B2343" s="172">
        <v>191064</v>
      </c>
    </row>
    <row r="2344" customHeight="1" spans="1:2">
      <c r="A2344" s="158">
        <v>46030</v>
      </c>
      <c r="B2344" s="172">
        <v>189578</v>
      </c>
    </row>
    <row r="2345" customHeight="1" spans="1:2">
      <c r="A2345" s="158">
        <v>46031</v>
      </c>
      <c r="B2345" s="172">
        <v>190822</v>
      </c>
    </row>
    <row r="2346" customHeight="1" spans="1:2">
      <c r="A2346" s="158">
        <v>46032</v>
      </c>
      <c r="B2346" s="172">
        <v>191022</v>
      </c>
    </row>
    <row r="2347" customHeight="1" spans="1:2">
      <c r="A2347" s="158">
        <v>46033</v>
      </c>
      <c r="B2347" s="172">
        <v>189113</v>
      </c>
    </row>
    <row r="2348" customHeight="1" spans="1:2">
      <c r="A2348" s="158">
        <v>46034</v>
      </c>
      <c r="B2348" s="172">
        <v>188810</v>
      </c>
    </row>
    <row r="2349" customHeight="1" spans="1:2">
      <c r="A2349" s="158">
        <v>46035</v>
      </c>
      <c r="B2349" s="172">
        <v>186620</v>
      </c>
    </row>
    <row r="2350" customHeight="1" spans="1:2">
      <c r="A2350" s="158">
        <v>46036</v>
      </c>
      <c r="B2350" s="172">
        <v>186886</v>
      </c>
    </row>
    <row r="2351" customHeight="1" spans="1:2">
      <c r="A2351" s="158">
        <v>46037</v>
      </c>
      <c r="B2351" s="172">
        <v>185877</v>
      </c>
    </row>
    <row r="2352" customHeight="1" spans="1:2">
      <c r="A2352" s="158">
        <v>46038</v>
      </c>
      <c r="B2352" s="172">
        <v>186823</v>
      </c>
    </row>
    <row r="2353" customHeight="1" spans="1:2">
      <c r="A2353" s="158">
        <v>46039</v>
      </c>
      <c r="B2353" s="172">
        <v>188650</v>
      </c>
    </row>
    <row r="2354" customHeight="1" spans="1:2">
      <c r="A2354" s="158">
        <v>46040</v>
      </c>
      <c r="B2354" s="172">
        <v>192380</v>
      </c>
    </row>
    <row r="2355" customHeight="1" spans="1:2">
      <c r="A2355" s="158">
        <v>46041</v>
      </c>
      <c r="B2355" s="172">
        <v>191453</v>
      </c>
    </row>
    <row r="2356" customHeight="1" spans="1:2">
      <c r="A2356" s="158">
        <v>46042</v>
      </c>
      <c r="B2356" s="172">
        <v>186611</v>
      </c>
    </row>
    <row r="2357" customHeight="1" spans="1:2">
      <c r="A2357" s="158">
        <v>46043</v>
      </c>
      <c r="B2357" s="172">
        <v>178313</v>
      </c>
    </row>
    <row r="2358" customHeight="1" spans="1:2">
      <c r="A2358" s="158">
        <v>46044</v>
      </c>
      <c r="B2358" s="172">
        <v>178818</v>
      </c>
    </row>
    <row r="2359" customHeight="1" spans="1:2">
      <c r="A2359" s="158">
        <v>46045</v>
      </c>
      <c r="B2359" s="172">
        <v>182481</v>
      </c>
    </row>
    <row r="2360" customHeight="1" spans="1:2">
      <c r="A2360" s="158">
        <v>46046</v>
      </c>
      <c r="B2360" s="172">
        <v>187957</v>
      </c>
    </row>
    <row r="2361" customHeight="1" spans="1:2">
      <c r="A2361" s="158">
        <v>46047</v>
      </c>
      <c r="B2361" s="172">
        <v>191613</v>
      </c>
    </row>
    <row r="2362" customHeight="1" spans="1:2">
      <c r="A2362" s="158">
        <v>46048</v>
      </c>
      <c r="B2362" s="172">
        <v>191292</v>
      </c>
    </row>
    <row r="2363" customHeight="1" spans="1:2">
      <c r="A2363" s="158">
        <v>46049</v>
      </c>
      <c r="B2363" s="172">
        <v>188175</v>
      </c>
    </row>
    <row r="2364" customHeight="1" spans="1:2">
      <c r="A2364" s="158">
        <v>46050</v>
      </c>
      <c r="B2364" s="172">
        <v>188439</v>
      </c>
    </row>
    <row r="2365" customHeight="1" spans="1:2">
      <c r="A2365" s="158">
        <v>46051</v>
      </c>
      <c r="B2365" s="172">
        <v>185256</v>
      </c>
    </row>
    <row r="2366" customHeight="1" spans="1:2">
      <c r="A2366" s="158">
        <v>46052</v>
      </c>
      <c r="B2366" s="172">
        <v>184288</v>
      </c>
    </row>
    <row r="2367" customHeight="1" spans="1:2">
      <c r="A2367" s="158">
        <v>46053</v>
      </c>
      <c r="B2367" s="172">
        <v>185937</v>
      </c>
    </row>
    <row r="2368" customHeight="1" spans="1:2">
      <c r="A2368" s="158">
        <v>46054</v>
      </c>
      <c r="B2368" s="172">
        <v>189588</v>
      </c>
    </row>
    <row r="2369" customHeight="1" spans="1:2">
      <c r="A2369" s="158">
        <v>46055</v>
      </c>
      <c r="B2369" s="172">
        <v>189028</v>
      </c>
    </row>
    <row r="2370" customHeight="1" spans="1:2">
      <c r="A2370" s="158">
        <v>46056</v>
      </c>
      <c r="B2370" s="172">
        <v>191774</v>
      </c>
    </row>
    <row r="2371" customHeight="1" spans="1:2">
      <c r="A2371" s="158">
        <v>46057</v>
      </c>
      <c r="B2371" s="172">
        <v>190958</v>
      </c>
    </row>
    <row r="2372" customHeight="1" spans="1:2">
      <c r="A2372" s="158">
        <v>46058</v>
      </c>
      <c r="B2372" s="172">
        <v>196675</v>
      </c>
    </row>
    <row r="2373" customHeight="1" spans="1:2">
      <c r="A2373" s="158">
        <v>46059</v>
      </c>
      <c r="B2373" s="172">
        <v>211933</v>
      </c>
    </row>
    <row r="2374" customHeight="1" spans="1:2">
      <c r="A2374" s="158">
        <v>46060</v>
      </c>
      <c r="B2374" s="172">
        <v>224841</v>
      </c>
    </row>
    <row r="2375" customHeight="1" spans="1:2">
      <c r="A2375" s="158">
        <v>46061</v>
      </c>
      <c r="B2375" s="172">
        <v>240115</v>
      </c>
    </row>
    <row r="2376" customHeight="1" spans="1:2">
      <c r="A2376" s="158">
        <v>46062</v>
      </c>
      <c r="B2376" s="172">
        <v>252305</v>
      </c>
    </row>
    <row r="2377" customHeight="1" spans="1:2">
      <c r="A2377" s="158">
        <v>46063</v>
      </c>
      <c r="B2377" s="172">
        <v>276076</v>
      </c>
    </row>
    <row r="2378" customHeight="1" spans="1:2">
      <c r="A2378" s="158">
        <v>46064</v>
      </c>
      <c r="B2378" s="172">
        <v>286844</v>
      </c>
    </row>
    <row r="2379" customHeight="1" spans="1:2">
      <c r="A2379" s="158">
        <v>46065</v>
      </c>
      <c r="B2379" s="172">
        <v>286460</v>
      </c>
    </row>
    <row r="2380" customHeight="1" spans="1:2">
      <c r="A2380" s="158">
        <v>46076</v>
      </c>
      <c r="B2380" s="172">
        <v>91967</v>
      </c>
    </row>
    <row r="2381" customHeight="1" spans="1:2">
      <c r="A2381" s="158">
        <v>46077</v>
      </c>
      <c r="B2381" s="172">
        <v>104614</v>
      </c>
    </row>
    <row r="2382" customHeight="1" spans="1:2">
      <c r="A2382" s="158">
        <v>46078</v>
      </c>
      <c r="B2382" s="172">
        <v>115621</v>
      </c>
    </row>
    <row r="2383" customHeight="1" spans="1:2">
      <c r="A2383" s="158">
        <v>46079</v>
      </c>
      <c r="B2383" s="172">
        <v>121757</v>
      </c>
    </row>
    <row r="2384" customHeight="1" spans="1:2">
      <c r="A2384" s="158">
        <v>46080</v>
      </c>
      <c r="B2384" s="172">
        <v>123453</v>
      </c>
    </row>
    <row r="2385" customHeight="1" spans="1:2">
      <c r="A2385" s="158">
        <v>46081</v>
      </c>
      <c r="B2385" s="172">
        <v>125331</v>
      </c>
    </row>
    <row r="2386" customHeight="1" spans="1:2">
      <c r="A2386" s="158">
        <v>46082</v>
      </c>
      <c r="B2386" s="172">
        <v>125355</v>
      </c>
    </row>
    <row r="2387" customHeight="1" spans="1:2">
      <c r="A2387" s="158">
        <v>46083</v>
      </c>
      <c r="B2387" s="172">
        <v>125729</v>
      </c>
    </row>
    <row r="2388" customHeight="1" spans="1:2">
      <c r="A2388" s="158">
        <v>46084</v>
      </c>
      <c r="B2388" s="172">
        <v>129803</v>
      </c>
    </row>
    <row r="2389" customHeight="1" spans="1:2">
      <c r="A2389" s="158">
        <v>46085</v>
      </c>
      <c r="B2389" s="172">
        <v>136079</v>
      </c>
    </row>
    <row r="2390" customHeight="1" spans="1:2">
      <c r="A2390" s="158">
        <v>46086</v>
      </c>
      <c r="B2390" s="172">
        <v>136463</v>
      </c>
    </row>
    <row r="2391" customHeight="1" spans="1:2">
      <c r="A2391" s="158">
        <v>46087</v>
      </c>
      <c r="B2391" s="172">
        <v>136430</v>
      </c>
    </row>
    <row r="2392" customHeight="1" spans="1:2">
      <c r="A2392" s="158">
        <v>46088</v>
      </c>
      <c r="B2392" s="172">
        <v>139196</v>
      </c>
    </row>
    <row r="2393" customHeight="1" spans="1:2">
      <c r="A2393" s="158">
        <v>46089</v>
      </c>
      <c r="B2393" s="172">
        <v>140165</v>
      </c>
    </row>
    <row r="2394" customHeight="1" spans="1:2">
      <c r="A2394" s="158">
        <v>46090</v>
      </c>
      <c r="B2394" s="172">
        <v>139840</v>
      </c>
    </row>
    <row r="2395" customHeight="1" spans="1:2">
      <c r="A2395" s="158">
        <v>46091</v>
      </c>
      <c r="B2395" s="172">
        <v>139675</v>
      </c>
    </row>
    <row r="2396" customHeight="1" spans="1:2">
      <c r="A2396" s="158">
        <v>46092</v>
      </c>
      <c r="B2396" s="172">
        <v>140719</v>
      </c>
    </row>
    <row r="2397" customHeight="1" spans="1:2">
      <c r="A2397" s="158">
        <v>46093</v>
      </c>
      <c r="B2397" s="172">
        <v>142364</v>
      </c>
    </row>
    <row r="2398" customHeight="1" spans="1:2">
      <c r="A2398" s="158">
        <v>46094</v>
      </c>
      <c r="B2398" s="172">
        <v>144362</v>
      </c>
    </row>
    <row r="2399" customHeight="1" spans="1:2">
      <c r="A2399" s="158">
        <v>46095</v>
      </c>
      <c r="B2399" s="172">
        <v>145864</v>
      </c>
    </row>
    <row r="2400" customHeight="1" spans="1:2">
      <c r="A2400" s="158">
        <v>46096</v>
      </c>
      <c r="B2400" s="172">
        <v>147660</v>
      </c>
    </row>
    <row r="2401" customHeight="1" spans="1:2">
      <c r="A2401" s="158">
        <v>46097</v>
      </c>
      <c r="B2401" s="172">
        <v>148008</v>
      </c>
    </row>
    <row r="2402" customHeight="1" spans="1:2">
      <c r="A2402" s="158">
        <v>46098</v>
      </c>
      <c r="B2402" s="172">
        <v>149731</v>
      </c>
    </row>
    <row r="2403" customHeight="1" spans="1:2">
      <c r="A2403" s="158">
        <v>46099</v>
      </c>
      <c r="B2403" s="172">
        <v>151310</v>
      </c>
    </row>
    <row r="2404" customHeight="1" spans="1:2">
      <c r="A2404" s="158">
        <v>46100</v>
      </c>
      <c r="B2404" s="172">
        <v>152327</v>
      </c>
    </row>
    <row r="2405" customHeight="1" spans="1:2">
      <c r="A2405" s="158">
        <v>46101</v>
      </c>
      <c r="B2405" s="172">
        <v>153111</v>
      </c>
    </row>
    <row r="2406" customHeight="1" spans="1:2">
      <c r="A2406" s="158">
        <v>46102</v>
      </c>
      <c r="B2406" s="172">
        <v>151913</v>
      </c>
    </row>
    <row r="2407" customHeight="1" spans="1:2">
      <c r="A2407" s="158">
        <v>46103</v>
      </c>
      <c r="B2407" s="172">
        <v>153676</v>
      </c>
    </row>
    <row r="2408" customHeight="1" spans="1:2">
      <c r="A2408" s="158">
        <v>46104</v>
      </c>
      <c r="B2408" s="172">
        <v>155110</v>
      </c>
    </row>
    <row r="2409" customHeight="1" spans="1:2">
      <c r="A2409" s="158">
        <v>46105</v>
      </c>
      <c r="B2409" s="172">
        <v>154298</v>
      </c>
    </row>
    <row r="2410" customHeight="1" spans="1:2">
      <c r="A2410" s="158">
        <v>46106</v>
      </c>
      <c r="B2410" s="172">
        <v>154858</v>
      </c>
    </row>
    <row r="2411" customHeight="1" spans="1:2">
      <c r="A2411" s="158">
        <v>46107</v>
      </c>
      <c r="B2411" s="172">
        <v>156432</v>
      </c>
    </row>
    <row r="2412" customHeight="1" spans="1:2">
      <c r="A2412" s="158">
        <v>46108</v>
      </c>
      <c r="B2412" s="172">
        <v>156551</v>
      </c>
    </row>
    <row r="2413" customHeight="1" spans="1:2">
      <c r="A2413" s="158">
        <v>46109</v>
      </c>
      <c r="B2413" s="172">
        <v>157012</v>
      </c>
    </row>
    <row r="2414" customHeight="1" spans="1:2">
      <c r="A2414" s="158">
        <v>46110</v>
      </c>
      <c r="B2414" s="172">
        <v>156559</v>
      </c>
    </row>
    <row r="2415" customHeight="1" spans="1:2">
      <c r="A2415" s="158">
        <v>46111</v>
      </c>
      <c r="B2415" s="172">
        <v>157888</v>
      </c>
    </row>
    <row r="2416" customHeight="1" spans="1:2">
      <c r="A2416" s="158">
        <v>46112</v>
      </c>
      <c r="B2416" s="172">
        <v>159936</v>
      </c>
    </row>
    <row r="2417" customHeight="1" spans="1:2">
      <c r="A2417" s="158">
        <v>46113</v>
      </c>
      <c r="B2417" s="172">
        <v>160893</v>
      </c>
    </row>
    <row r="2418" customHeight="1" spans="1:2">
      <c r="A2418" s="158">
        <v>46114</v>
      </c>
      <c r="B2418" s="172">
        <v>163145</v>
      </c>
    </row>
    <row r="2419" customHeight="1" spans="1:2">
      <c r="A2419" s="158">
        <v>46115</v>
      </c>
      <c r="B2419" s="172">
        <v>165727</v>
      </c>
    </row>
    <row r="2420" customHeight="1" spans="1:2">
      <c r="A2420" s="158">
        <v>46116</v>
      </c>
      <c r="B2420" s="172">
        <v>167214</v>
      </c>
    </row>
    <row r="2421" customHeight="1" spans="1:2">
      <c r="A2421" s="158">
        <v>46117</v>
      </c>
      <c r="B2421" s="172">
        <v>166701</v>
      </c>
    </row>
    <row r="2422" customHeight="1" spans="1:2">
      <c r="A2422" s="158">
        <v>46118</v>
      </c>
      <c r="B2422" s="172">
        <v>164541</v>
      </c>
    </row>
    <row r="2423" customHeight="1" spans="1:2">
      <c r="A2423" s="158">
        <v>46119</v>
      </c>
      <c r="B2423" s="172">
        <v>164683</v>
      </c>
    </row>
    <row r="2424" customHeight="1" spans="1:2">
      <c r="A2424" s="158">
        <v>46120</v>
      </c>
      <c r="B2424" s="172">
        <v>166557</v>
      </c>
    </row>
    <row r="2425" customHeight="1" spans="1:2">
      <c r="A2425" s="158">
        <v>46121</v>
      </c>
      <c r="B2425" s="172">
        <v>167357</v>
      </c>
    </row>
    <row r="2426" customHeight="1" spans="1:2">
      <c r="A2426" s="158">
        <v>46122</v>
      </c>
      <c r="B2426" s="172">
        <v>166840</v>
      </c>
    </row>
    <row r="2427" customHeight="1" spans="1:2">
      <c r="A2427" s="158">
        <v>46123</v>
      </c>
      <c r="B2427" s="172">
        <v>168429</v>
      </c>
    </row>
    <row r="2428" customHeight="1" spans="1:2">
      <c r="A2428" s="158">
        <v>46124</v>
      </c>
      <c r="B2428" s="172">
        <v>169102</v>
      </c>
    </row>
    <row r="2429" customHeight="1" spans="1:2">
      <c r="A2429" s="158">
        <v>46125</v>
      </c>
      <c r="B2429" s="172">
        <v>168641</v>
      </c>
    </row>
    <row r="2430" customHeight="1" spans="1:2">
      <c r="A2430" s="158">
        <v>46126</v>
      </c>
      <c r="B2430" s="172">
        <v>168766</v>
      </c>
    </row>
    <row r="2431" customHeight="1" spans="1:2">
      <c r="A2431" s="158">
        <v>46127</v>
      </c>
      <c r="B2431" s="172">
        <v>169873</v>
      </c>
    </row>
    <row r="2432" customHeight="1" spans="1:2">
      <c r="A2432" s="158">
        <v>46128</v>
      </c>
      <c r="B2432" s="172">
        <v>171950</v>
      </c>
    </row>
    <row r="2433" customHeight="1" spans="1:2">
      <c r="A2433" s="158">
        <v>46129</v>
      </c>
      <c r="B2433" s="172">
        <v>171679</v>
      </c>
    </row>
    <row r="2434" customHeight="1" spans="1:2">
      <c r="A2434" s="158">
        <v>46130</v>
      </c>
      <c r="B2434" s="172">
        <v>171285</v>
      </c>
    </row>
    <row r="2435" customHeight="1" spans="1:2">
      <c r="A2435" s="158">
        <v>46131</v>
      </c>
      <c r="B2435" s="172">
        <v>169558</v>
      </c>
    </row>
    <row r="2436" customHeight="1" spans="1:2">
      <c r="A2436" s="158">
        <v>46132</v>
      </c>
      <c r="B2436" s="172">
        <v>168937</v>
      </c>
    </row>
    <row r="2437" customHeight="1" spans="1:2">
      <c r="A2437" s="158">
        <v>46133</v>
      </c>
      <c r="B2437" s="172">
        <v>164391</v>
      </c>
    </row>
    <row r="2438" customHeight="1" spans="1:2">
      <c r="A2438" s="158">
        <v>46134</v>
      </c>
      <c r="B2438" s="172">
        <v>162861</v>
      </c>
    </row>
    <row r="2439" customHeight="1" spans="1:2">
      <c r="A2439" s="158">
        <v>46135</v>
      </c>
      <c r="B2439" s="172">
        <v>163913</v>
      </c>
    </row>
    <row r="2440" customHeight="1" spans="1:2">
      <c r="A2440" s="158">
        <v>46136</v>
      </c>
      <c r="B2440" s="172">
        <v>164484</v>
      </c>
    </row>
    <row r="2441" customHeight="1" spans="1:2">
      <c r="A2441" s="158">
        <v>46137</v>
      </c>
      <c r="B2441" s="172">
        <v>165726</v>
      </c>
    </row>
    <row r="2442" customHeight="1" spans="1:2">
      <c r="A2442" s="158">
        <v>46138</v>
      </c>
      <c r="B2442" s="172">
        <v>165469</v>
      </c>
    </row>
    <row r="2443" customHeight="1" spans="1:2">
      <c r="A2443" s="158">
        <v>46139</v>
      </c>
      <c r="B2443" s="172">
        <v>163500</v>
      </c>
    </row>
    <row r="2444" customHeight="1" spans="1:2">
      <c r="A2444" s="158">
        <v>46140</v>
      </c>
      <c r="B2444" s="172">
        <v>163195</v>
      </c>
    </row>
    <row r="2445" customHeight="1" spans="1:2">
      <c r="A2445" s="158">
        <v>46141</v>
      </c>
      <c r="B2445" s="172">
        <v>166709</v>
      </c>
    </row>
    <row r="2446" customHeight="1" spans="1:2">
      <c r="A2446" s="158">
        <v>46142</v>
      </c>
      <c r="B2446" s="172">
        <v>165734</v>
      </c>
    </row>
    <row r="2447" customHeight="1" spans="1:2">
      <c r="A2447" s="158">
        <v>46143</v>
      </c>
      <c r="B2447" s="172">
        <v>165711</v>
      </c>
    </row>
    <row r="2448" customHeight="1" spans="1:2">
      <c r="A2448" s="158">
        <v>46144</v>
      </c>
      <c r="B2448" s="172">
        <v>162035</v>
      </c>
    </row>
    <row r="2449" customHeight="1" spans="1:2">
      <c r="A2449" s="158">
        <v>46145</v>
      </c>
      <c r="B2449" s="172">
        <v>159950</v>
      </c>
    </row>
    <row r="2450" customHeight="1" spans="1:2">
      <c r="A2450" s="158">
        <v>46146</v>
      </c>
      <c r="B2450" s="172">
        <v>158483</v>
      </c>
    </row>
    <row r="2451" customHeight="1" spans="1:2">
      <c r="A2451" s="158">
        <v>46147</v>
      </c>
      <c r="B2451" s="172">
        <v>159707</v>
      </c>
    </row>
    <row r="2452" customHeight="1" spans="1:2">
      <c r="A2452" s="158">
        <v>46148</v>
      </c>
      <c r="B2452" s="172">
        <v>161992</v>
      </c>
    </row>
    <row r="2453" customHeight="1" spans="1:2">
      <c r="A2453" s="158">
        <v>46149</v>
      </c>
      <c r="B2453" s="172">
        <v>161020</v>
      </c>
    </row>
    <row r="2454" customHeight="1" spans="1:2">
      <c r="A2454" s="158">
        <v>46150</v>
      </c>
      <c r="B2454" s="172">
        <v>161648</v>
      </c>
    </row>
    <row r="2455" customHeight="1" spans="1:2">
      <c r="A2455" s="158">
        <v>46151</v>
      </c>
      <c r="B2455" s="172">
        <v>162076</v>
      </c>
    </row>
    <row r="2456" customHeight="1" spans="1:2">
      <c r="A2456" s="158">
        <v>46152</v>
      </c>
      <c r="B2456" s="172">
        <v>163472</v>
      </c>
    </row>
    <row r="2457" customHeight="1" spans="1:2">
      <c r="A2457" s="158">
        <v>46153</v>
      </c>
      <c r="B2457" s="172">
        <v>161573</v>
      </c>
    </row>
    <row r="2458" customHeight="1" spans="1:2">
      <c r="A2458" s="158">
        <v>46154</v>
      </c>
      <c r="B2458" s="172">
        <v>163053</v>
      </c>
    </row>
    <row r="2459" customHeight="1" spans="1:2">
      <c r="A2459" s="158">
        <v>46155</v>
      </c>
      <c r="B2459" s="172">
        <v>164333</v>
      </c>
    </row>
    <row r="2460" customHeight="1" spans="1:2">
      <c r="A2460" s="158">
        <v>46156</v>
      </c>
      <c r="B2460" s="172">
        <v>164352</v>
      </c>
    </row>
    <row r="2461" customHeight="1" spans="1:2">
      <c r="A2461" s="158">
        <v>46157</v>
      </c>
      <c r="B2461" s="172">
        <v>164618</v>
      </c>
    </row>
    <row r="2462" customHeight="1" spans="1:2">
      <c r="A2462" s="158">
        <v>46158</v>
      </c>
      <c r="B2462" s="172">
        <v>165341</v>
      </c>
    </row>
    <row r="2463" customHeight="1" spans="1:2">
      <c r="A2463" s="158">
        <v>46159</v>
      </c>
      <c r="B2463" s="172">
        <v>163619</v>
      </c>
    </row>
    <row r="2464" customHeight="1" spans="1:2">
      <c r="A2464" s="158">
        <v>46160</v>
      </c>
      <c r="B2464" s="172">
        <v>163263</v>
      </c>
    </row>
    <row r="2465" customHeight="1" spans="1:2">
      <c r="A2465" s="158">
        <v>46161</v>
      </c>
      <c r="B2465" s="172">
        <v>162675</v>
      </c>
    </row>
    <row r="2466" customHeight="1" spans="1:2">
      <c r="A2466" s="158">
        <v>46162</v>
      </c>
      <c r="B2466" s="172">
        <v>164942</v>
      </c>
    </row>
    <row r="2467" customHeight="1" spans="1:2">
      <c r="A2467" s="158">
        <v>46163</v>
      </c>
      <c r="B2467" s="172">
        <v>165540</v>
      </c>
    </row>
    <row r="2468" customHeight="1" spans="1:2">
      <c r="A2468" s="158">
        <v>46164</v>
      </c>
      <c r="B2468" s="172">
        <v>165720</v>
      </c>
    </row>
    <row r="2469" customHeight="1" spans="1:2">
      <c r="A2469" s="158">
        <v>46165</v>
      </c>
      <c r="B2469" s="172">
        <v>166981</v>
      </c>
    </row>
    <row r="2470" customHeight="1" spans="1:2">
      <c r="A2470" s="158">
        <v>46166</v>
      </c>
      <c r="B2470" s="172">
        <v>166385</v>
      </c>
    </row>
    <row r="2471" customHeight="1" spans="1:2">
      <c r="A2471" s="158">
        <v>46167</v>
      </c>
      <c r="B2471" s="172">
        <v>165646</v>
      </c>
    </row>
    <row r="2472" customHeight="1" spans="1:2">
      <c r="A2472" s="158">
        <v>46168</v>
      </c>
      <c r="B2472" s="172">
        <v>164363</v>
      </c>
    </row>
    <row r="2473" customHeight="1" spans="1:2">
      <c r="A2473" s="158">
        <v>46169</v>
      </c>
      <c r="B2473" s="172">
        <v>163133</v>
      </c>
    </row>
    <row r="2474" customHeight="1" spans="1:2">
      <c r="A2474" s="158">
        <v>46170</v>
      </c>
      <c r="B2474" s="172">
        <v>162585</v>
      </c>
    </row>
    <row r="2475" customHeight="1" spans="1:2">
      <c r="A2475" s="158">
        <v>46171</v>
      </c>
      <c r="B2475" s="172">
        <v>161545</v>
      </c>
    </row>
    <row r="2476" customHeight="1" spans="1:2">
      <c r="A2476" s="158">
        <v>46172</v>
      </c>
      <c r="B2476" s="172">
        <v>162621</v>
      </c>
    </row>
    <row r="2477" customHeight="1" spans="1:2">
      <c r="A2477" s="158">
        <v>46173</v>
      </c>
      <c r="B2477" s="172">
        <v>163378</v>
      </c>
    </row>
    <row r="2478" customHeight="1" spans="1:2">
      <c r="A2478" s="158">
        <v>46174</v>
      </c>
      <c r="B2478" s="172">
        <v>162219</v>
      </c>
    </row>
    <row r="2479" customHeight="1" spans="1:2">
      <c r="A2479" s="158">
        <v>46175</v>
      </c>
      <c r="B2479" s="172">
        <v>159797</v>
      </c>
    </row>
    <row r="2480" customHeight="1" spans="1:2">
      <c r="A2480" s="158">
        <v>46176</v>
      </c>
      <c r="B2480" s="172">
        <v>160038</v>
      </c>
    </row>
    <row r="2481" customHeight="1" spans="1:2">
      <c r="A2481" s="158">
        <v>46177</v>
      </c>
      <c r="B2481" s="172">
        <v>161677</v>
      </c>
    </row>
    <row r="2482" customHeight="1" spans="1:2">
      <c r="A2482" s="158">
        <v>46178</v>
      </c>
      <c r="B2482" s="172">
        <v>162997</v>
      </c>
    </row>
    <row r="2483" customHeight="1" spans="1:2">
      <c r="A2483" s="158">
        <v>46179</v>
      </c>
      <c r="B2483" s="172">
        <v>163974</v>
      </c>
    </row>
    <row r="2484" customHeight="1" spans="1:2">
      <c r="A2484" s="158">
        <v>46180</v>
      </c>
      <c r="B2484" s="172">
        <v>164240</v>
      </c>
    </row>
    <row r="2485" customHeight="1" spans="1:2">
      <c r="A2485" s="158">
        <v>46181</v>
      </c>
      <c r="B2485" s="172">
        <v>163002</v>
      </c>
    </row>
    <row r="2486" customHeight="1" spans="1:2">
      <c r="A2486" s="158">
        <v>46182</v>
      </c>
      <c r="B2486" s="172">
        <v>162855</v>
      </c>
    </row>
    <row r="2487" customHeight="1" spans="1:2">
      <c r="A2487" s="158">
        <v>46183</v>
      </c>
      <c r="B2487" s="172">
        <v>163038</v>
      </c>
    </row>
    <row r="2488" customHeight="1" spans="1:2">
      <c r="A2488" s="158">
        <v>46184</v>
      </c>
      <c r="B2488" s="172">
        <v>162936</v>
      </c>
    </row>
    <row r="2489" customHeight="1" spans="1:2">
      <c r="A2489" s="158">
        <v>46185</v>
      </c>
      <c r="B2489" s="172">
        <v>164607</v>
      </c>
    </row>
    <row r="2490" customHeight="1" spans="1:2">
      <c r="A2490" s="158">
        <v>46186</v>
      </c>
      <c r="B2490" s="172">
        <v>165317</v>
      </c>
    </row>
    <row r="2491" customHeight="1" spans="1:2">
      <c r="A2491" s="158">
        <v>46187</v>
      </c>
      <c r="B2491" s="172">
        <v>165664</v>
      </c>
    </row>
    <row r="2492" customHeight="1" spans="1:2">
      <c r="A2492" s="158">
        <v>46188</v>
      </c>
      <c r="B2492" s="172">
        <v>165963</v>
      </c>
    </row>
    <row r="2493" customHeight="1" spans="1:2">
      <c r="A2493" s="158">
        <v>46189</v>
      </c>
      <c r="B2493" s="172">
        <v>167734</v>
      </c>
    </row>
    <row r="2494" customHeight="1" spans="1:2">
      <c r="A2494" s="158">
        <v>46190</v>
      </c>
      <c r="B2494" s="172">
        <v>170678</v>
      </c>
    </row>
    <row r="2495" customHeight="1" spans="1:2">
      <c r="A2495" s="158">
        <v>46191</v>
      </c>
      <c r="B2495" s="172">
        <v>173576</v>
      </c>
    </row>
    <row r="2496" customHeight="1" spans="1:2">
      <c r="A2496" s="158">
        <v>46192</v>
      </c>
      <c r="B2496" s="172">
        <v>170668</v>
      </c>
    </row>
    <row r="2497" customHeight="1" spans="1:2">
      <c r="A2497" s="158">
        <v>46193</v>
      </c>
      <c r="B2497" s="172">
        <v>167070</v>
      </c>
    </row>
    <row r="2498" customHeight="1" spans="1:2">
      <c r="A2498" s="158">
        <v>46194</v>
      </c>
      <c r="B2498" s="172">
        <v>165108</v>
      </c>
    </row>
    <row r="2499" customHeight="1" spans="1:2">
      <c r="A2499" s="158">
        <v>46195</v>
      </c>
      <c r="B2499" s="172">
        <v>163713</v>
      </c>
    </row>
    <row r="2500" customHeight="1" spans="1:2">
      <c r="A2500" s="158">
        <v>46196</v>
      </c>
      <c r="B2500" s="172">
        <v>163344</v>
      </c>
    </row>
    <row r="2501" customHeight="1" spans="1:2">
      <c r="A2501" s="158">
        <v>46197</v>
      </c>
      <c r="B2501" s="172">
        <v>162169</v>
      </c>
    </row>
    <row r="2502" customHeight="1" spans="1:2">
      <c r="A2502" s="158">
        <v>46198</v>
      </c>
      <c r="B2502" s="172">
        <v>162418</v>
      </c>
    </row>
    <row r="2503" customHeight="1" spans="1:2">
      <c r="A2503" s="158">
        <v>46199</v>
      </c>
      <c r="B2503" s="172">
        <v>160361</v>
      </c>
    </row>
    <row r="2504" customHeight="1" spans="1:2">
      <c r="A2504" s="158">
        <v>46200</v>
      </c>
      <c r="B2504" s="172">
        <v>156356</v>
      </c>
    </row>
    <row r="2505" customHeight="1" spans="1:2">
      <c r="A2505" s="158">
        <v>46201</v>
      </c>
      <c r="B2505" s="172">
        <v>155753</v>
      </c>
    </row>
    <row r="2506" customHeight="1" spans="1:2">
      <c r="A2506" s="158">
        <v>46202</v>
      </c>
      <c r="B2506" s="172">
        <v>154012</v>
      </c>
    </row>
    <row r="2507" customHeight="1" spans="1:2">
      <c r="A2507" s="158">
        <v>46203</v>
      </c>
      <c r="B2507" s="172">
        <v>152728</v>
      </c>
    </row>
    <row r="2508" customHeight="1" spans="1:2">
      <c r="A2508" s="158">
        <v>46204</v>
      </c>
      <c r="B2508" s="172">
        <v>149792</v>
      </c>
    </row>
    <row r="2509" customHeight="1" spans="1:2">
      <c r="A2509" s="158">
        <v>46205</v>
      </c>
      <c r="B2509" s="172">
        <v>148086</v>
      </c>
    </row>
    <row r="2510" customHeight="1" spans="1:2">
      <c r="A2510" s="158">
        <v>46206</v>
      </c>
      <c r="B2510" s="172">
        <v>148744</v>
      </c>
    </row>
    <row r="2511" customHeight="1" spans="1:2">
      <c r="A2511" s="158">
        <v>46207</v>
      </c>
      <c r="B2511" s="172">
        <v>148467</v>
      </c>
    </row>
    <row r="2512" customHeight="1" spans="1:2">
      <c r="A2512" s="158">
        <v>46208</v>
      </c>
      <c r="B2512" s="172">
        <v>146476</v>
      </c>
    </row>
    <row r="2513" customHeight="1" spans="1:2">
      <c r="A2513" s="158">
        <v>46209</v>
      </c>
      <c r="B2513" s="172">
        <v>144367</v>
      </c>
    </row>
    <row r="2514" customHeight="1" spans="1:2">
      <c r="A2514" s="158">
        <v>46210</v>
      </c>
      <c r="B2514" s="172">
        <v>144297</v>
      </c>
    </row>
    <row r="2515" customHeight="1" spans="1:2">
      <c r="A2515" s="158">
        <v>46211</v>
      </c>
      <c r="B2515" s="172">
        <v>143340</v>
      </c>
    </row>
    <row r="2516" customHeight="1" spans="1:2">
      <c r="A2516" s="158">
        <v>46212</v>
      </c>
      <c r="B2516" s="172">
        <v>145045</v>
      </c>
    </row>
    <row r="2517" customHeight="1" spans="1:2">
      <c r="A2517" s="158">
        <v>46213</v>
      </c>
      <c r="B2517" s="172">
        <v>145681</v>
      </c>
    </row>
    <row r="2518" customHeight="1" spans="1:2">
      <c r="A2518" s="158">
        <v>46214</v>
      </c>
      <c r="B2518" s="172">
        <v>142298</v>
      </c>
    </row>
    <row r="2519" customHeight="1" spans="1:2">
      <c r="A2519" s="158">
        <v>46215</v>
      </c>
      <c r="B2519" s="172">
        <v>142843</v>
      </c>
    </row>
    <row r="2520" customHeight="1" spans="1:2">
      <c r="A2520" s="158">
        <v>46216</v>
      </c>
      <c r="B2520" s="172">
        <v>142633</v>
      </c>
    </row>
    <row r="2521" customHeight="1" spans="1:2">
      <c r="A2521" s="158">
        <v>46217</v>
      </c>
      <c r="B2521" s="172">
        <v>140270</v>
      </c>
    </row>
    <row r="2522" customHeight="1" spans="1:2">
      <c r="A2522" s="158">
        <v>46218</v>
      </c>
      <c r="B2522" s="172">
        <v>139557</v>
      </c>
    </row>
    <row r="2523" customHeight="1" spans="1:2">
      <c r="A2523" s="158">
        <v>46219</v>
      </c>
      <c r="B2523" s="172">
        <v>140212</v>
      </c>
    </row>
    <row r="2524" customHeight="1" spans="1:2">
      <c r="A2524" s="158">
        <v>46220</v>
      </c>
      <c r="B2524" s="172">
        <v>139145</v>
      </c>
    </row>
    <row r="2525" customHeight="1" spans="1:2">
      <c r="A2525" s="158">
        <v>46221</v>
      </c>
      <c r="B2525" s="172">
        <v>140747</v>
      </c>
    </row>
    <row r="2526" customHeight="1" spans="1:2">
      <c r="A2526" s="158">
        <v>46222</v>
      </c>
      <c r="B2526" s="172">
        <v>140140</v>
      </c>
    </row>
    <row r="2527" customHeight="1" spans="1:2">
      <c r="A2527" s="158">
        <v>46223</v>
      </c>
      <c r="B2527" s="172">
        <v>139429</v>
      </c>
    </row>
    <row r="2528" customHeight="1" spans="1:2">
      <c r="A2528" s="158">
        <v>46224</v>
      </c>
      <c r="B2528" s="172">
        <v>140014</v>
      </c>
    </row>
    <row r="2529" customHeight="1" spans="1:2">
      <c r="A2529" s="158">
        <v>46225</v>
      </c>
      <c r="B2529" s="172">
        <v>140685</v>
      </c>
    </row>
    <row r="2530" customHeight="1" spans="1:2">
      <c r="A2530" s="158">
        <v>46226</v>
      </c>
      <c r="B2530" s="172">
        <v>141414</v>
      </c>
    </row>
    <row r="2531" customHeight="1" spans="1:2">
      <c r="A2531" s="158">
        <v>46227</v>
      </c>
      <c r="B2531" s="172">
        <v>142200</v>
      </c>
    </row>
    <row r="2532" customHeight="1" spans="1:2">
      <c r="A2532" s="158">
        <v>46228</v>
      </c>
      <c r="B2532" s="172">
        <v>143947</v>
      </c>
    </row>
    <row r="2533" customHeight="1" spans="1:2">
      <c r="A2533" s="158">
        <v>46229</v>
      </c>
      <c r="B2533" s="172">
        <v>144267</v>
      </c>
    </row>
    <row r="2534" customHeight="1" spans="1:2">
      <c r="A2534" s="158">
        <v>46230</v>
      </c>
      <c r="B2534" s="172">
        <v>143671</v>
      </c>
    </row>
    <row r="2535" customHeight="1" spans="1:2">
      <c r="A2535" s="158">
        <v>46231</v>
      </c>
      <c r="B2535" s="172">
        <v>145285</v>
      </c>
    </row>
    <row r="2536" customHeight="1" spans="1:2">
      <c r="A2536" s="158">
        <v>46232</v>
      </c>
      <c r="B2536" s="172">
        <v>143892</v>
      </c>
    </row>
    <row r="2537" customHeight="1" spans="1:2">
      <c r="A2537" s="158">
        <v>46233</v>
      </c>
      <c r="B2537" s="172">
        <v>144492</v>
      </c>
    </row>
    <row r="2538" customHeight="1" spans="1:2">
      <c r="A2538" s="158">
        <v>46234</v>
      </c>
      <c r="B2538" s="172">
        <v>145561</v>
      </c>
    </row>
    <row r="2539" customHeight="1" spans="1:2">
      <c r="A2539" s="158">
        <v>46235</v>
      </c>
      <c r="B2539" s="172">
        <v>145518</v>
      </c>
    </row>
    <row r="2540" customHeight="1" spans="1:2">
      <c r="A2540" s="158">
        <v>46236</v>
      </c>
      <c r="B2540" s="172">
        <v>144490</v>
      </c>
    </row>
    <row r="2541" customHeight="1" spans="1:2">
      <c r="A2541" s="158">
        <v>46237</v>
      </c>
      <c r="B2541" s="172">
        <v>144457</v>
      </c>
    </row>
    <row r="2542" customHeight="1" spans="1:2">
      <c r="A2542" s="158">
        <v>46238</v>
      </c>
      <c r="B2542" s="172">
        <v>143923</v>
      </c>
    </row>
    <row r="2543" customHeight="1" spans="1:2">
      <c r="A2543" s="158">
        <v>46239</v>
      </c>
      <c r="B2543" s="172">
        <v>144355</v>
      </c>
    </row>
    <row r="2544" customHeight="1" spans="1:2">
      <c r="A2544" s="158">
        <v>46240</v>
      </c>
      <c r="B2544" s="172">
        <v>144998</v>
      </c>
    </row>
    <row r="2545" customHeight="1" spans="1:2">
      <c r="A2545" s="158">
        <v>46241</v>
      </c>
      <c r="B2545" s="172">
        <v>146857</v>
      </c>
    </row>
    <row r="2546" customHeight="1" spans="1:2">
      <c r="A2546" s="158">
        <v>46242</v>
      </c>
      <c r="B2546" s="172">
        <v>149248</v>
      </c>
    </row>
    <row r="2547" customHeight="1" spans="1:2">
      <c r="A2547" s="158">
        <v>46243</v>
      </c>
      <c r="B2547" s="172">
        <v>150252</v>
      </c>
    </row>
    <row r="2548" customHeight="1" spans="1:2">
      <c r="A2548" s="158">
        <v>46244</v>
      </c>
      <c r="B2548" s="172">
        <v>148641</v>
      </c>
    </row>
    <row r="2549" customHeight="1" spans="1:2">
      <c r="A2549" s="158">
        <v>46245</v>
      </c>
      <c r="B2549" s="172">
        <v>147545</v>
      </c>
    </row>
    <row r="2550" customHeight="1" spans="1:2">
      <c r="A2550" s="158">
        <v>46246</v>
      </c>
      <c r="B2550" s="172">
        <v>148279</v>
      </c>
    </row>
    <row r="2551" customHeight="1" spans="1:2">
      <c r="A2551" s="158">
        <v>46247</v>
      </c>
      <c r="B2551" s="172">
        <v>148899</v>
      </c>
    </row>
    <row r="2552" customHeight="1" spans="1:2">
      <c r="A2552" s="158">
        <v>46248</v>
      </c>
      <c r="B2552" s="172">
        <v>149980</v>
      </c>
    </row>
    <row r="2553" customHeight="1" spans="1:2">
      <c r="A2553" s="158">
        <v>46249</v>
      </c>
      <c r="B2553" s="172">
        <v>150248</v>
      </c>
    </row>
    <row r="2554" customHeight="1" spans="1:2">
      <c r="A2554" s="158">
        <v>46250</v>
      </c>
      <c r="B2554" s="172">
        <v>150877</v>
      </c>
    </row>
    <row r="2555" customHeight="1" spans="1:2">
      <c r="A2555" s="158">
        <v>46251</v>
      </c>
      <c r="B2555" s="172">
        <v>150102</v>
      </c>
    </row>
    <row r="2556" customHeight="1" spans="1:2">
      <c r="A2556" s="158">
        <v>46252</v>
      </c>
      <c r="B2556" s="172">
        <v>151662</v>
      </c>
    </row>
    <row r="2557" customHeight="1" spans="1:2">
      <c r="A2557" s="158">
        <v>46253</v>
      </c>
      <c r="B2557" s="172">
        <v>151165</v>
      </c>
    </row>
    <row r="2558" customHeight="1" spans="1:2">
      <c r="A2558" s="158">
        <v>46254</v>
      </c>
      <c r="B2558" s="172">
        <v>150902</v>
      </c>
    </row>
    <row r="2559" customHeight="1" spans="1:2">
      <c r="A2559" s="158">
        <v>46255</v>
      </c>
      <c r="B2559" s="172">
        <v>149468</v>
      </c>
    </row>
    <row r="2560" customHeight="1" spans="1:2">
      <c r="A2560" s="158">
        <v>46256</v>
      </c>
      <c r="B2560" s="172">
        <v>151209</v>
      </c>
    </row>
    <row r="2561" customHeight="1" spans="1:2">
      <c r="A2561" s="158">
        <v>46257</v>
      </c>
      <c r="B2561" s="172">
        <v>150628</v>
      </c>
    </row>
    <row r="2562" customHeight="1" spans="1:2">
      <c r="A2562" s="158">
        <v>46258</v>
      </c>
      <c r="B2562" s="172">
        <v>150061</v>
      </c>
    </row>
    <row r="2563" customHeight="1" spans="1:2">
      <c r="A2563" s="158">
        <v>46259</v>
      </c>
      <c r="B2563" s="172">
        <v>150832</v>
      </c>
    </row>
    <row r="2564" customHeight="1" spans="1:2">
      <c r="A2564" s="158">
        <v>46260</v>
      </c>
      <c r="B2564" s="172">
        <v>153145</v>
      </c>
    </row>
    <row r="2565" customHeight="1" spans="1:2">
      <c r="A2565" s="158">
        <v>46261</v>
      </c>
      <c r="B2565" s="172">
        <v>150745</v>
      </c>
    </row>
    <row r="2566" customHeight="1" spans="1:2">
      <c r="A2566" s="158">
        <v>46262</v>
      </c>
      <c r="B2566" s="172">
        <v>148656</v>
      </c>
    </row>
    <row r="2567" customHeight="1" spans="1:2">
      <c r="A2567" s="158">
        <v>46263</v>
      </c>
      <c r="B2567" s="172">
        <v>150105</v>
      </c>
    </row>
    <row r="2568" customHeight="1" spans="1:2">
      <c r="A2568" s="158">
        <v>46264</v>
      </c>
      <c r="B2568" s="172">
        <v>152261</v>
      </c>
    </row>
    <row r="2569" customHeight="1" spans="1:2">
      <c r="A2569" s="158">
        <v>46265</v>
      </c>
      <c r="B2569" s="172">
        <v>155104</v>
      </c>
    </row>
    <row r="2570" customHeight="1" spans="1:2">
      <c r="A2570" s="158">
        <v>46266</v>
      </c>
      <c r="B2570" s="172">
        <v>154513</v>
      </c>
    </row>
    <row r="2571" customHeight="1" spans="1:2">
      <c r="A2571" s="158">
        <v>46267</v>
      </c>
      <c r="B2571" s="172">
        <v>155245</v>
      </c>
    </row>
    <row r="2572" customHeight="1" spans="1:2">
      <c r="A2572" s="158">
        <v>46268</v>
      </c>
      <c r="B2572" s="172">
        <v>154485</v>
      </c>
    </row>
    <row r="2573" customHeight="1" spans="1:2">
      <c r="A2573" s="158">
        <v>46269</v>
      </c>
      <c r="B2573" s="172">
        <v>153363</v>
      </c>
    </row>
    <row r="2574" customHeight="1" spans="1:2">
      <c r="A2574" s="158">
        <v>46270</v>
      </c>
      <c r="B2574" s="172">
        <v>155157</v>
      </c>
    </row>
    <row r="2575" customHeight="1" spans="1:2">
      <c r="A2575" s="158">
        <v>46271</v>
      </c>
      <c r="B2575" s="172">
        <v>154604</v>
      </c>
    </row>
    <row r="2576" customHeight="1" spans="1:2">
      <c r="A2576" s="158">
        <v>46272</v>
      </c>
      <c r="B2576" s="172">
        <v>155302</v>
      </c>
    </row>
    <row r="2577" customHeight="1" spans="1:2">
      <c r="A2577" s="158">
        <v>46273</v>
      </c>
      <c r="B2577" s="172">
        <v>154139</v>
      </c>
    </row>
    <row r="2578" customHeight="1" spans="1:2">
      <c r="A2578" s="158">
        <v>46274</v>
      </c>
      <c r="B2578" s="172">
        <v>154941</v>
      </c>
    </row>
    <row r="2579" customHeight="1" spans="1:2">
      <c r="A2579" s="158">
        <v>46275</v>
      </c>
      <c r="B2579" s="172">
        <v>154673</v>
      </c>
    </row>
    <row r="2580" customHeight="1" spans="1:2">
      <c r="A2580" s="158">
        <v>46276</v>
      </c>
      <c r="B2580" s="172">
        <v>154646</v>
      </c>
    </row>
    <row r="2581" customHeight="1" spans="1:2">
      <c r="A2581" s="158">
        <v>46277</v>
      </c>
      <c r="B2581" s="172">
        <v>155056</v>
      </c>
    </row>
    <row r="2582" customHeight="1" spans="1:2">
      <c r="A2582" s="158">
        <v>46278</v>
      </c>
      <c r="B2582" s="172">
        <v>156559</v>
      </c>
    </row>
    <row r="2583" customHeight="1" spans="1:2">
      <c r="A2583" s="158">
        <v>46279</v>
      </c>
      <c r="B2583" s="172">
        <v>156591</v>
      </c>
    </row>
    <row r="2584" customHeight="1" spans="1:2">
      <c r="A2584" s="158">
        <v>46280</v>
      </c>
      <c r="B2584" s="172">
        <v>156011</v>
      </c>
    </row>
    <row r="2585" customHeight="1" spans="1:2">
      <c r="A2585" s="158">
        <v>46281</v>
      </c>
      <c r="B2585" s="172">
        <v>157373</v>
      </c>
    </row>
    <row r="2586" customHeight="1" spans="1:2">
      <c r="A2586" s="158">
        <v>46282</v>
      </c>
      <c r="B2586" s="172">
        <v>159786</v>
      </c>
    </row>
    <row r="2587" customHeight="1" spans="1:2">
      <c r="A2587" s="158">
        <v>46283</v>
      </c>
      <c r="B2587" s="172">
        <v>158178</v>
      </c>
    </row>
    <row r="2588" customHeight="1" spans="1:2">
      <c r="A2588" s="158">
        <v>46284</v>
      </c>
      <c r="B2588" s="172">
        <v>160888</v>
      </c>
    </row>
    <row r="2589" customHeight="1" spans="1:2">
      <c r="A2589" s="158">
        <v>46285</v>
      </c>
      <c r="B2589" s="172">
        <v>163873</v>
      </c>
    </row>
    <row r="2590" customHeight="1" spans="1:2">
      <c r="A2590" s="158">
        <v>46286</v>
      </c>
      <c r="B2590" s="172">
        <v>164956</v>
      </c>
    </row>
    <row r="2591" customHeight="1" spans="1:2">
      <c r="A2591" s="158">
        <v>46287</v>
      </c>
      <c r="B2591" s="172">
        <v>169123</v>
      </c>
    </row>
    <row r="2592" customHeight="1" spans="1:2">
      <c r="A2592" s="158">
        <v>46288</v>
      </c>
      <c r="B2592" s="172">
        <v>173594</v>
      </c>
    </row>
    <row r="2593" customHeight="1" spans="1:2">
      <c r="A2593" s="158">
        <v>46289</v>
      </c>
      <c r="B2593" s="172">
        <v>173527</v>
      </c>
    </row>
  </sheetData>
  <pageMargins left="0.75" right="0.75" top="1" bottom="1" header="0.5" footer="0.5"/>
  <headerFooter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362"/>
  <sheetViews>
    <sheetView workbookViewId="0">
      <pane ySplit="2" topLeftCell="A333" activePane="bottomLeft" state="frozen"/>
      <selection/>
      <selection pane="bottomLeft" activeCell="B362" sqref="B362:D362"/>
    </sheetView>
  </sheetViews>
  <sheetFormatPr defaultColWidth="13.125" defaultRowHeight="20" customHeight="1" outlineLevelCol="3"/>
  <cols>
    <col min="1" max="1" width="13.125" customWidth="1"/>
    <col min="2" max="4" width="13.125" style="155" customWidth="1"/>
    <col min="5" max="16384" width="13.125" customWidth="1"/>
  </cols>
  <sheetData>
    <row r="2" customHeight="1" spans="1:4">
      <c r="A2" s="156" t="s">
        <v>39</v>
      </c>
      <c r="B2" s="157" t="s">
        <v>87</v>
      </c>
      <c r="C2" s="157" t="s">
        <v>88</v>
      </c>
      <c r="D2" s="157" t="s">
        <v>62</v>
      </c>
    </row>
    <row r="3" customHeight="1" spans="1:4">
      <c r="A3" s="158">
        <v>43682</v>
      </c>
      <c r="B3" s="142">
        <v>29.86</v>
      </c>
      <c r="C3" s="142">
        <v>29.05</v>
      </c>
      <c r="D3" s="142">
        <v>0.81</v>
      </c>
    </row>
    <row r="4" customHeight="1" spans="1:4">
      <c r="A4" s="158">
        <v>43684</v>
      </c>
      <c r="B4" s="142">
        <v>30.26</v>
      </c>
      <c r="C4" s="142">
        <v>28.84</v>
      </c>
      <c r="D4" s="142">
        <v>1.42</v>
      </c>
    </row>
    <row r="5" customHeight="1" spans="1:4">
      <c r="A5" s="158">
        <v>43698</v>
      </c>
      <c r="B5" s="142">
        <v>33.9</v>
      </c>
      <c r="C5" s="142">
        <v>32.5</v>
      </c>
      <c r="D5" s="142">
        <v>1.4</v>
      </c>
    </row>
    <row r="6" customHeight="1" spans="1:4">
      <c r="A6" s="158">
        <v>43706</v>
      </c>
      <c r="B6" s="142">
        <v>38.36</v>
      </c>
      <c r="C6" s="142">
        <v>36.28</v>
      </c>
      <c r="D6" s="142">
        <v>2.08</v>
      </c>
    </row>
    <row r="7" customHeight="1" spans="1:4">
      <c r="A7" s="158">
        <v>43713</v>
      </c>
      <c r="B7" s="142">
        <v>39.18</v>
      </c>
      <c r="C7" s="142">
        <v>36.87</v>
      </c>
      <c r="D7" s="142">
        <v>2.31</v>
      </c>
    </row>
    <row r="8" customHeight="1" spans="1:4">
      <c r="A8" s="158">
        <v>43720</v>
      </c>
      <c r="B8" s="142">
        <v>38.46</v>
      </c>
      <c r="C8" s="142">
        <v>36.87</v>
      </c>
      <c r="D8" s="142">
        <v>1.59</v>
      </c>
    </row>
    <row r="9" customHeight="1" spans="1:4">
      <c r="A9" s="158">
        <v>43727</v>
      </c>
      <c r="B9" s="142">
        <v>38.68</v>
      </c>
      <c r="C9" s="142">
        <v>27.26</v>
      </c>
      <c r="D9" s="142">
        <v>1.42</v>
      </c>
    </row>
    <row r="10" customHeight="1" spans="1:4">
      <c r="A10" s="158">
        <v>43734</v>
      </c>
      <c r="B10" s="142">
        <v>38.86</v>
      </c>
      <c r="C10" s="142">
        <v>37.41</v>
      </c>
      <c r="D10" s="142">
        <v>1.44</v>
      </c>
    </row>
    <row r="11" customHeight="1" spans="1:4">
      <c r="A11" s="158">
        <v>43748</v>
      </c>
      <c r="B11" s="142">
        <v>46.72</v>
      </c>
      <c r="C11" s="142">
        <v>41.52</v>
      </c>
      <c r="D11" s="142">
        <v>5.2</v>
      </c>
    </row>
    <row r="12" customHeight="1" spans="1:4">
      <c r="A12" s="158">
        <v>43755</v>
      </c>
      <c r="B12" s="142">
        <v>50.18</v>
      </c>
      <c r="C12" s="142">
        <v>41.87</v>
      </c>
      <c r="D12" s="142">
        <v>8.31</v>
      </c>
    </row>
    <row r="13" customHeight="1" spans="1:4">
      <c r="A13" s="158">
        <v>43762</v>
      </c>
      <c r="B13" s="142">
        <v>55</v>
      </c>
      <c r="C13" s="142">
        <v>48.13</v>
      </c>
      <c r="D13" s="142">
        <v>6.88</v>
      </c>
    </row>
    <row r="14" customHeight="1" spans="1:4">
      <c r="A14" s="158">
        <v>43769</v>
      </c>
      <c r="B14" s="142">
        <v>56.93</v>
      </c>
      <c r="C14" s="142">
        <v>51.62</v>
      </c>
      <c r="D14" s="142">
        <v>5.32</v>
      </c>
    </row>
    <row r="15" customHeight="1" spans="1:4">
      <c r="A15" s="158">
        <v>43776</v>
      </c>
      <c r="B15" s="142">
        <v>55.11</v>
      </c>
      <c r="C15" s="142">
        <v>50.41</v>
      </c>
      <c r="D15" s="142">
        <v>4.7</v>
      </c>
    </row>
    <row r="16" customHeight="1" spans="1:4">
      <c r="A16" s="158">
        <v>43783</v>
      </c>
      <c r="B16" s="142">
        <v>54.06</v>
      </c>
      <c r="C16" s="142">
        <v>50.35</v>
      </c>
      <c r="D16" s="142">
        <v>3.71</v>
      </c>
    </row>
    <row r="17" customHeight="1" spans="1:4">
      <c r="A17" s="158">
        <v>43790</v>
      </c>
      <c r="B17" s="142">
        <v>51.43</v>
      </c>
      <c r="C17" s="142">
        <v>48.11</v>
      </c>
      <c r="D17" s="142">
        <v>3.32</v>
      </c>
    </row>
    <row r="18" customHeight="1" spans="1:4">
      <c r="A18" s="158">
        <v>43797</v>
      </c>
      <c r="B18" s="142">
        <v>47.86</v>
      </c>
      <c r="C18" s="142">
        <v>44.78</v>
      </c>
      <c r="D18" s="142">
        <v>3.08</v>
      </c>
    </row>
    <row r="19" customHeight="1" spans="1:4">
      <c r="A19" s="158">
        <v>43804</v>
      </c>
      <c r="B19" s="142">
        <v>49.91</v>
      </c>
      <c r="C19" s="142">
        <v>46.5</v>
      </c>
      <c r="D19" s="142">
        <v>3.41</v>
      </c>
    </row>
    <row r="20" customHeight="1" spans="1:4">
      <c r="A20" s="158">
        <v>43811</v>
      </c>
      <c r="B20" s="142">
        <v>49.41</v>
      </c>
      <c r="C20" s="142">
        <v>45.95</v>
      </c>
      <c r="D20" s="142">
        <v>3.46</v>
      </c>
    </row>
    <row r="21" customHeight="1" spans="1:4">
      <c r="A21" s="158">
        <v>43818</v>
      </c>
      <c r="B21" s="142">
        <v>48.67</v>
      </c>
      <c r="C21" s="142">
        <v>43.49</v>
      </c>
      <c r="D21" s="142">
        <v>5.18</v>
      </c>
    </row>
    <row r="22" customHeight="1" spans="1:4">
      <c r="A22" s="158">
        <v>43825</v>
      </c>
      <c r="B22" s="142">
        <v>48.94</v>
      </c>
      <c r="C22" s="142">
        <v>42.6</v>
      </c>
      <c r="D22" s="142">
        <v>6.34</v>
      </c>
    </row>
    <row r="23" customHeight="1" spans="1:4">
      <c r="A23" s="158">
        <v>43832</v>
      </c>
      <c r="B23" s="142">
        <v>51.42</v>
      </c>
      <c r="C23" s="142">
        <v>43.13</v>
      </c>
      <c r="D23" s="142">
        <v>8.29</v>
      </c>
    </row>
    <row r="24" customHeight="1" spans="1:4">
      <c r="A24" s="158">
        <v>43839</v>
      </c>
      <c r="B24" s="142">
        <v>52.07</v>
      </c>
      <c r="C24" s="142">
        <v>42.47</v>
      </c>
      <c r="D24" s="142">
        <v>9.6</v>
      </c>
    </row>
    <row r="25" customHeight="1" spans="1:4">
      <c r="A25" s="158">
        <v>43846</v>
      </c>
      <c r="B25" s="142">
        <v>52.86</v>
      </c>
      <c r="C25" s="142">
        <v>42.36</v>
      </c>
      <c r="D25" s="142">
        <v>10.5</v>
      </c>
    </row>
    <row r="26" customHeight="1" spans="1:4">
      <c r="A26" s="158">
        <v>43867</v>
      </c>
      <c r="B26" s="142">
        <v>54.84</v>
      </c>
      <c r="C26" s="142">
        <v>42.39</v>
      </c>
      <c r="D26" s="142">
        <v>12.45</v>
      </c>
    </row>
    <row r="27" customHeight="1" spans="1:4">
      <c r="A27" s="158">
        <v>43874</v>
      </c>
      <c r="B27" s="142">
        <v>54.7</v>
      </c>
      <c r="C27" s="142">
        <v>42.09</v>
      </c>
      <c r="D27" s="142">
        <v>12.61</v>
      </c>
    </row>
    <row r="28" customHeight="1" spans="1:4">
      <c r="A28" s="158">
        <v>43881</v>
      </c>
      <c r="B28" s="142">
        <v>55.47</v>
      </c>
      <c r="C28" s="142">
        <v>42.5</v>
      </c>
      <c r="D28" s="142">
        <v>12.97</v>
      </c>
    </row>
    <row r="29" customHeight="1" spans="1:4">
      <c r="A29" s="158">
        <v>43888</v>
      </c>
      <c r="B29" s="142">
        <v>54.09</v>
      </c>
      <c r="C29" s="142">
        <v>42.22</v>
      </c>
      <c r="D29" s="142">
        <v>11.87</v>
      </c>
    </row>
    <row r="30" customHeight="1" spans="1:4">
      <c r="A30" s="158">
        <v>43895</v>
      </c>
      <c r="B30" s="142">
        <v>53.94</v>
      </c>
      <c r="C30" s="142">
        <v>42.12</v>
      </c>
      <c r="D30" s="142">
        <v>11.82</v>
      </c>
    </row>
    <row r="31" customHeight="1" spans="1:4">
      <c r="A31" s="158">
        <v>43902</v>
      </c>
      <c r="B31" s="142">
        <v>53.14</v>
      </c>
      <c r="C31" s="142">
        <v>40.91</v>
      </c>
      <c r="D31" s="142">
        <v>12.23</v>
      </c>
    </row>
    <row r="32" customHeight="1" spans="1:4">
      <c r="A32" s="158">
        <v>43909</v>
      </c>
      <c r="B32" s="142">
        <v>52.73</v>
      </c>
      <c r="C32" s="142">
        <v>40.68</v>
      </c>
      <c r="D32" s="142">
        <v>12.05</v>
      </c>
    </row>
    <row r="33" customHeight="1" spans="1:4">
      <c r="A33" s="158">
        <v>43916</v>
      </c>
      <c r="B33" s="142">
        <v>52.14</v>
      </c>
      <c r="C33" s="142">
        <v>40.84</v>
      </c>
      <c r="D33" s="142">
        <v>11.3</v>
      </c>
    </row>
    <row r="34" customHeight="1" spans="1:4">
      <c r="A34" s="158">
        <v>43923</v>
      </c>
      <c r="B34" s="142">
        <v>50.49</v>
      </c>
      <c r="C34" s="142">
        <v>40.88</v>
      </c>
      <c r="D34" s="142">
        <v>9.61</v>
      </c>
    </row>
    <row r="35" customHeight="1" spans="1:4">
      <c r="A35" s="158">
        <v>43930</v>
      </c>
      <c r="B35" s="142">
        <v>49.09</v>
      </c>
      <c r="C35" s="142">
        <v>39.66</v>
      </c>
      <c r="D35" s="142">
        <v>9.44</v>
      </c>
    </row>
    <row r="36" customHeight="1" spans="1:4">
      <c r="A36" s="158">
        <v>43937</v>
      </c>
      <c r="B36" s="142">
        <v>48.66</v>
      </c>
      <c r="C36" s="142">
        <v>39.38</v>
      </c>
      <c r="D36" s="142">
        <v>9.28</v>
      </c>
    </row>
    <row r="37" customHeight="1" spans="1:4">
      <c r="A37" s="158">
        <v>43944</v>
      </c>
      <c r="B37" s="142">
        <v>47.81</v>
      </c>
      <c r="C37" s="142">
        <v>38.84</v>
      </c>
      <c r="D37" s="142">
        <v>9.09</v>
      </c>
    </row>
    <row r="38" customHeight="1" spans="1:4">
      <c r="A38" s="158">
        <v>43951</v>
      </c>
      <c r="B38" s="142">
        <v>46.625</v>
      </c>
      <c r="C38" s="142">
        <v>38.53125</v>
      </c>
      <c r="D38" s="142">
        <v>8.09375</v>
      </c>
    </row>
    <row r="39" customHeight="1" spans="1:4">
      <c r="A39" s="158">
        <v>43958</v>
      </c>
      <c r="B39" s="142">
        <v>45.54</v>
      </c>
      <c r="C39" s="142">
        <v>37.84</v>
      </c>
      <c r="D39" s="142">
        <v>7.7</v>
      </c>
    </row>
    <row r="40" customHeight="1" spans="1:4">
      <c r="A40" s="158">
        <v>43965</v>
      </c>
      <c r="B40" s="142">
        <v>43.49</v>
      </c>
      <c r="C40" s="142">
        <v>35.88</v>
      </c>
      <c r="D40" s="142">
        <v>7.61</v>
      </c>
    </row>
    <row r="41" customHeight="1" spans="1:4">
      <c r="A41" s="158">
        <v>43972</v>
      </c>
      <c r="B41" s="142">
        <v>42.28</v>
      </c>
      <c r="C41" s="142">
        <v>34.81</v>
      </c>
      <c r="D41" s="142">
        <v>7.47</v>
      </c>
    </row>
    <row r="42" customHeight="1" spans="1:4">
      <c r="A42" s="158">
        <v>43979</v>
      </c>
      <c r="B42" s="142">
        <v>43</v>
      </c>
      <c r="C42" s="142">
        <v>35.13</v>
      </c>
      <c r="D42" s="142">
        <v>7.88</v>
      </c>
    </row>
    <row r="43" customHeight="1" spans="1:4">
      <c r="A43" s="158">
        <v>43986</v>
      </c>
      <c r="B43" s="142">
        <v>44.74</v>
      </c>
      <c r="C43" s="142">
        <v>35.56</v>
      </c>
      <c r="D43" s="142">
        <v>9.18</v>
      </c>
    </row>
    <row r="44" customHeight="1" spans="1:4">
      <c r="A44" s="158">
        <v>43993</v>
      </c>
      <c r="B44" s="142">
        <v>46.16</v>
      </c>
      <c r="C44" s="142">
        <v>35.91</v>
      </c>
      <c r="D44" s="142">
        <v>10.26</v>
      </c>
    </row>
    <row r="45" customHeight="1" spans="1:4">
      <c r="A45" s="158">
        <v>44000</v>
      </c>
      <c r="B45" s="142">
        <v>47.28</v>
      </c>
      <c r="C45" s="142">
        <v>36.8</v>
      </c>
      <c r="D45" s="142">
        <v>10.48</v>
      </c>
    </row>
    <row r="46" customHeight="1" spans="1:4">
      <c r="A46" s="158">
        <v>44007</v>
      </c>
      <c r="B46" s="142">
        <v>48.43</v>
      </c>
      <c r="C46" s="142">
        <v>38.18</v>
      </c>
      <c r="D46" s="142">
        <v>10.26</v>
      </c>
    </row>
    <row r="47" customHeight="1" spans="1:4">
      <c r="A47" s="158">
        <v>44014</v>
      </c>
      <c r="B47" s="142">
        <v>49.3</v>
      </c>
      <c r="C47" s="142">
        <v>38.53125</v>
      </c>
      <c r="D47" s="142">
        <v>10.64375</v>
      </c>
    </row>
    <row r="48" customHeight="1" spans="1:4">
      <c r="A48" s="158">
        <v>44021</v>
      </c>
      <c r="B48" s="142">
        <v>53.45</v>
      </c>
      <c r="C48" s="142">
        <v>39.97</v>
      </c>
      <c r="D48" s="142">
        <v>13.48</v>
      </c>
    </row>
    <row r="49" customHeight="1" spans="1:4">
      <c r="A49" s="158">
        <v>44028</v>
      </c>
      <c r="B49" s="142">
        <v>53.98</v>
      </c>
      <c r="C49" s="142">
        <v>39.97</v>
      </c>
      <c r="D49" s="142">
        <v>14.01</v>
      </c>
    </row>
    <row r="50" customHeight="1" spans="1:4">
      <c r="A50" s="158">
        <v>44035</v>
      </c>
      <c r="B50" s="142">
        <v>53.55</v>
      </c>
      <c r="C50" s="142">
        <v>40.16</v>
      </c>
      <c r="D50" s="142">
        <v>13.39</v>
      </c>
    </row>
    <row r="51" customHeight="1" spans="1:4">
      <c r="A51" s="158">
        <v>44042</v>
      </c>
      <c r="B51" s="142">
        <v>53.86</v>
      </c>
      <c r="C51" s="142">
        <v>40.22</v>
      </c>
      <c r="D51" s="142">
        <v>13.64</v>
      </c>
    </row>
    <row r="52" customHeight="1" spans="1:4">
      <c r="A52" s="158">
        <v>44049</v>
      </c>
      <c r="B52" s="142">
        <v>54.39</v>
      </c>
      <c r="C52" s="142">
        <v>40.28</v>
      </c>
      <c r="D52" s="142">
        <v>14.11</v>
      </c>
    </row>
    <row r="53" customHeight="1" spans="1:4">
      <c r="A53" s="158">
        <v>44056</v>
      </c>
      <c r="B53" s="142">
        <v>53.925</v>
      </c>
      <c r="C53" s="142">
        <v>40.21875</v>
      </c>
      <c r="D53" s="142">
        <v>13.70625</v>
      </c>
    </row>
    <row r="54" customHeight="1" spans="1:4">
      <c r="A54" s="158">
        <v>44063</v>
      </c>
      <c r="B54" s="142">
        <v>53.93</v>
      </c>
      <c r="C54" s="142">
        <v>40.25</v>
      </c>
      <c r="D54" s="142">
        <v>13.68</v>
      </c>
    </row>
    <row r="55" customHeight="1" spans="1:4">
      <c r="A55" s="158">
        <v>44070</v>
      </c>
      <c r="B55" s="142">
        <v>54.08</v>
      </c>
      <c r="C55" s="142">
        <v>41.16</v>
      </c>
      <c r="D55" s="142">
        <v>12.92</v>
      </c>
    </row>
    <row r="56" customHeight="1" spans="1:4">
      <c r="A56" s="158">
        <v>44077</v>
      </c>
      <c r="B56" s="142">
        <v>53.89</v>
      </c>
      <c r="C56" s="142">
        <v>41.41</v>
      </c>
      <c r="D56" s="142">
        <v>12.49</v>
      </c>
    </row>
    <row r="57" customHeight="1" spans="1:4">
      <c r="A57" s="158">
        <v>44084</v>
      </c>
      <c r="B57" s="142">
        <v>53.09</v>
      </c>
      <c r="C57" s="142">
        <v>41.34</v>
      </c>
      <c r="D57" s="142">
        <v>11.74</v>
      </c>
    </row>
    <row r="58" customHeight="1" spans="1:4">
      <c r="A58" s="158">
        <v>44091</v>
      </c>
      <c r="B58" s="142">
        <v>52.43</v>
      </c>
      <c r="C58" s="142">
        <v>40.78</v>
      </c>
      <c r="D58" s="142">
        <v>11.64</v>
      </c>
    </row>
    <row r="59" customHeight="1" spans="1:4">
      <c r="A59" s="158">
        <v>44098</v>
      </c>
      <c r="B59" s="142">
        <v>51.96</v>
      </c>
      <c r="C59" s="142">
        <v>40.74</v>
      </c>
      <c r="D59" s="142">
        <v>11.21</v>
      </c>
    </row>
    <row r="60" customHeight="1" spans="1:4">
      <c r="A60" s="158">
        <v>44104</v>
      </c>
      <c r="B60" s="142">
        <v>52.11</v>
      </c>
      <c r="C60" s="142">
        <v>40.87</v>
      </c>
      <c r="D60" s="142">
        <v>11.24</v>
      </c>
    </row>
    <row r="61" customHeight="1" spans="1:4">
      <c r="A61" s="158">
        <v>44112</v>
      </c>
      <c r="B61" s="142">
        <v>51.04</v>
      </c>
      <c r="C61" s="142">
        <v>39.89</v>
      </c>
      <c r="D61" s="142">
        <v>11.15</v>
      </c>
    </row>
    <row r="62" customHeight="1" spans="1:4">
      <c r="A62" s="158">
        <v>44119</v>
      </c>
      <c r="B62" s="142">
        <v>50.33</v>
      </c>
      <c r="C62" s="142">
        <v>39.79</v>
      </c>
      <c r="D62" s="142">
        <v>10.54</v>
      </c>
    </row>
    <row r="63" customHeight="1" spans="1:4">
      <c r="A63" s="158">
        <v>44126</v>
      </c>
      <c r="B63" s="142">
        <v>48.72</v>
      </c>
      <c r="C63" s="142">
        <v>38.66</v>
      </c>
      <c r="D63" s="142">
        <v>9.94</v>
      </c>
    </row>
    <row r="64" customHeight="1" spans="1:4">
      <c r="A64" s="158">
        <v>44133</v>
      </c>
      <c r="B64" s="142">
        <v>47.63</v>
      </c>
      <c r="C64" s="142">
        <v>38.38</v>
      </c>
      <c r="D64" s="142">
        <v>9.25</v>
      </c>
    </row>
    <row r="65" customHeight="1" spans="1:4">
      <c r="A65" s="158">
        <v>44140</v>
      </c>
      <c r="B65" s="142">
        <v>47.25</v>
      </c>
      <c r="C65" s="142">
        <v>38.28</v>
      </c>
      <c r="D65" s="142">
        <v>8.97</v>
      </c>
    </row>
    <row r="66" customHeight="1" spans="1:4">
      <c r="A66" s="158">
        <v>44147</v>
      </c>
      <c r="B66" s="142">
        <v>47.53</v>
      </c>
      <c r="C66" s="142">
        <v>38.16</v>
      </c>
      <c r="D66" s="142">
        <v>9.38</v>
      </c>
    </row>
    <row r="67" customHeight="1" spans="1:4">
      <c r="A67" s="158">
        <v>44154</v>
      </c>
      <c r="B67" s="142">
        <v>47.53</v>
      </c>
      <c r="C67" s="142">
        <v>37.53</v>
      </c>
      <c r="D67" s="142">
        <v>10</v>
      </c>
    </row>
    <row r="68" customHeight="1" spans="1:4">
      <c r="A68" s="158">
        <v>44161</v>
      </c>
      <c r="B68" s="142">
        <v>48.28</v>
      </c>
      <c r="C68" s="142">
        <v>37.53</v>
      </c>
      <c r="D68" s="142">
        <v>10.75</v>
      </c>
    </row>
    <row r="69" customHeight="1" spans="1:4">
      <c r="A69" s="158">
        <v>44168</v>
      </c>
      <c r="B69" s="142">
        <v>50.53</v>
      </c>
      <c r="C69" s="142">
        <v>39.38</v>
      </c>
      <c r="D69" s="142">
        <v>11.15</v>
      </c>
    </row>
    <row r="70" customHeight="1" spans="1:4">
      <c r="A70" s="158">
        <v>44175</v>
      </c>
      <c r="B70" s="142">
        <v>50.69</v>
      </c>
      <c r="C70" s="142">
        <v>39.34</v>
      </c>
      <c r="D70" s="142">
        <v>11.34</v>
      </c>
    </row>
    <row r="71" customHeight="1" spans="1:4">
      <c r="A71" s="158">
        <v>44182</v>
      </c>
      <c r="B71" s="142">
        <v>51.06</v>
      </c>
      <c r="C71" s="142">
        <v>39.91</v>
      </c>
      <c r="D71" s="142">
        <v>11.13</v>
      </c>
    </row>
    <row r="72" customHeight="1" spans="1:4">
      <c r="A72" s="158">
        <v>44189</v>
      </c>
      <c r="B72" s="142">
        <v>51.34</v>
      </c>
      <c r="C72" s="142">
        <v>40.19</v>
      </c>
      <c r="D72" s="142">
        <v>11.16</v>
      </c>
    </row>
    <row r="73" customHeight="1" spans="1:4">
      <c r="A73" s="158">
        <v>44196</v>
      </c>
      <c r="B73" s="142">
        <v>52.4</v>
      </c>
      <c r="C73" s="142">
        <v>40.5</v>
      </c>
      <c r="D73" s="142">
        <v>11.9</v>
      </c>
    </row>
    <row r="74" customHeight="1" spans="1:4">
      <c r="A74" s="158">
        <v>44203</v>
      </c>
      <c r="B74" s="142">
        <v>53.05</v>
      </c>
      <c r="C74" s="142">
        <v>40.75</v>
      </c>
      <c r="D74" s="142">
        <v>12.3</v>
      </c>
    </row>
    <row r="75" customHeight="1" spans="1:4">
      <c r="A75" s="158">
        <v>44210</v>
      </c>
      <c r="B75" s="142">
        <v>53.22</v>
      </c>
      <c r="C75" s="142">
        <v>40.81</v>
      </c>
      <c r="D75" s="142">
        <v>12.41</v>
      </c>
    </row>
    <row r="76" customHeight="1" spans="1:4">
      <c r="A76" s="158">
        <v>44217</v>
      </c>
      <c r="B76" s="142">
        <v>53.02</v>
      </c>
      <c r="C76" s="142">
        <v>40.5</v>
      </c>
      <c r="D76" s="142">
        <v>12.52</v>
      </c>
    </row>
    <row r="77" customHeight="1" spans="1:4">
      <c r="A77" s="158">
        <v>44224</v>
      </c>
      <c r="B77" s="142">
        <v>52.75</v>
      </c>
      <c r="C77" s="142">
        <v>40.44</v>
      </c>
      <c r="D77" s="142">
        <v>12.31</v>
      </c>
    </row>
    <row r="78" customHeight="1" spans="1:4">
      <c r="A78" s="158">
        <v>44231</v>
      </c>
      <c r="B78" s="142">
        <v>51.47</v>
      </c>
      <c r="C78" s="142">
        <v>40.34</v>
      </c>
      <c r="D78" s="142">
        <v>11.13</v>
      </c>
    </row>
    <row r="79" customHeight="1" spans="1:4">
      <c r="A79" s="158">
        <v>44245</v>
      </c>
      <c r="B79" s="142">
        <v>49.28125</v>
      </c>
      <c r="C79" s="142">
        <v>40.15625</v>
      </c>
      <c r="D79" s="142">
        <v>9.125</v>
      </c>
    </row>
    <row r="80" customHeight="1" spans="1:4">
      <c r="A80" s="158">
        <v>44252</v>
      </c>
      <c r="B80" s="142">
        <v>47.5</v>
      </c>
      <c r="C80" s="142">
        <v>39.72</v>
      </c>
      <c r="D80" s="142">
        <v>7.78</v>
      </c>
    </row>
    <row r="81" customHeight="1" spans="1:4">
      <c r="A81" s="158">
        <v>44259</v>
      </c>
      <c r="B81" s="142">
        <v>47.03</v>
      </c>
      <c r="C81" s="142">
        <v>39.31</v>
      </c>
      <c r="D81" s="142">
        <v>7.72</v>
      </c>
    </row>
    <row r="82" customHeight="1" spans="1:4">
      <c r="A82" s="158">
        <v>44266</v>
      </c>
      <c r="B82" s="142">
        <v>46.03</v>
      </c>
      <c r="C82" s="142">
        <v>39.25</v>
      </c>
      <c r="D82" s="142">
        <v>6.78</v>
      </c>
    </row>
    <row r="83" customHeight="1" spans="1:4">
      <c r="A83" s="158">
        <v>44273</v>
      </c>
      <c r="B83" s="142">
        <v>45.38</v>
      </c>
      <c r="C83" s="142">
        <v>38.94</v>
      </c>
      <c r="D83" s="142">
        <v>6.44</v>
      </c>
    </row>
    <row r="84" customHeight="1" spans="1:4">
      <c r="A84" s="158">
        <v>44280</v>
      </c>
      <c r="B84" s="142">
        <v>44.66</v>
      </c>
      <c r="C84" s="142">
        <v>38.94</v>
      </c>
      <c r="D84" s="142">
        <v>5.72</v>
      </c>
    </row>
    <row r="85" customHeight="1" spans="1:4">
      <c r="A85" s="158">
        <v>44287</v>
      </c>
      <c r="B85" s="142">
        <v>43.47</v>
      </c>
      <c r="C85" s="142">
        <v>37.69</v>
      </c>
      <c r="D85" s="142">
        <v>5.78</v>
      </c>
    </row>
    <row r="86" customHeight="1" spans="1:4">
      <c r="A86" s="158">
        <v>44294</v>
      </c>
      <c r="B86" s="142">
        <v>40.44</v>
      </c>
      <c r="C86" s="142">
        <v>35.56</v>
      </c>
      <c r="D86" s="142">
        <v>4.88</v>
      </c>
    </row>
    <row r="87" customHeight="1" spans="1:4">
      <c r="A87" s="158">
        <v>44301</v>
      </c>
      <c r="B87" s="142">
        <v>40.81</v>
      </c>
      <c r="C87" s="142">
        <v>34.63</v>
      </c>
      <c r="D87" s="142">
        <v>6.19</v>
      </c>
    </row>
    <row r="88" customHeight="1" spans="1:4">
      <c r="A88" s="158">
        <v>44308</v>
      </c>
      <c r="B88" s="142">
        <v>40.22</v>
      </c>
      <c r="C88" s="142">
        <v>34.13</v>
      </c>
      <c r="D88" s="142">
        <v>6.09</v>
      </c>
    </row>
    <row r="89" customHeight="1" spans="1:4">
      <c r="A89" s="158">
        <v>44315</v>
      </c>
      <c r="B89" s="142">
        <v>39.13</v>
      </c>
      <c r="C89" s="142">
        <v>33.5</v>
      </c>
      <c r="D89" s="142">
        <v>5.63</v>
      </c>
    </row>
    <row r="90" customHeight="1" spans="1:4">
      <c r="A90" s="158">
        <v>44322</v>
      </c>
      <c r="B90" s="142">
        <v>38.97</v>
      </c>
      <c r="C90" s="142">
        <v>33.38</v>
      </c>
      <c r="D90" s="142">
        <v>5.72</v>
      </c>
    </row>
    <row r="91" customHeight="1" spans="1:4">
      <c r="A91" s="158">
        <v>44329</v>
      </c>
      <c r="B91" s="142">
        <v>38.47</v>
      </c>
      <c r="C91" s="142">
        <v>32.88</v>
      </c>
      <c r="D91" s="142">
        <v>5.72</v>
      </c>
    </row>
    <row r="92" customHeight="1" spans="1:4">
      <c r="A92" s="158">
        <v>44336</v>
      </c>
      <c r="B92" s="142">
        <v>35.81</v>
      </c>
      <c r="C92" s="142">
        <v>30.75</v>
      </c>
      <c r="D92" s="142">
        <v>5.06</v>
      </c>
    </row>
    <row r="93" customHeight="1" spans="1:4">
      <c r="A93" s="158">
        <v>44343</v>
      </c>
      <c r="B93" s="142">
        <v>34.34</v>
      </c>
      <c r="C93" s="142">
        <v>30.08</v>
      </c>
      <c r="D93" s="142">
        <v>4.26</v>
      </c>
    </row>
    <row r="94" customHeight="1" spans="1:4">
      <c r="A94" s="158">
        <v>44350</v>
      </c>
      <c r="B94" s="142">
        <v>32.47</v>
      </c>
      <c r="C94" s="142">
        <v>28.1</v>
      </c>
      <c r="D94" s="142">
        <v>4.37</v>
      </c>
    </row>
    <row r="95" customHeight="1" spans="1:4">
      <c r="A95" s="158">
        <v>44357</v>
      </c>
      <c r="B95" s="142">
        <v>28.97</v>
      </c>
      <c r="C95" s="142">
        <v>25.5</v>
      </c>
      <c r="D95" s="142">
        <v>3.47</v>
      </c>
    </row>
    <row r="96" customHeight="1" spans="1:4">
      <c r="A96" s="158">
        <v>44364</v>
      </c>
      <c r="B96" s="142">
        <v>27.28</v>
      </c>
      <c r="C96" s="142">
        <v>24.06</v>
      </c>
      <c r="D96" s="142">
        <v>3.22</v>
      </c>
    </row>
    <row r="97" customHeight="1" spans="1:4">
      <c r="A97" s="158">
        <v>44371</v>
      </c>
      <c r="B97" s="142">
        <v>26.09</v>
      </c>
      <c r="C97" s="142">
        <v>23.22</v>
      </c>
      <c r="D97" s="142">
        <v>2.88</v>
      </c>
    </row>
    <row r="98" customHeight="1" spans="1:4">
      <c r="A98" s="158">
        <v>44378</v>
      </c>
      <c r="B98" s="142">
        <v>28.81</v>
      </c>
      <c r="C98" s="142">
        <v>25.84</v>
      </c>
      <c r="D98" s="142">
        <v>2.97</v>
      </c>
    </row>
    <row r="99" customHeight="1" spans="1:4">
      <c r="A99" s="158">
        <v>44385</v>
      </c>
      <c r="B99" s="142">
        <v>28.94</v>
      </c>
      <c r="C99" s="142">
        <v>26.09</v>
      </c>
      <c r="D99" s="142">
        <v>2.84</v>
      </c>
    </row>
    <row r="100" customHeight="1" spans="1:4">
      <c r="A100" s="158">
        <v>44392</v>
      </c>
      <c r="B100" s="142">
        <v>27.66</v>
      </c>
      <c r="C100" s="142">
        <v>25.34</v>
      </c>
      <c r="D100" s="142">
        <v>2.32</v>
      </c>
    </row>
    <row r="101" customHeight="1" spans="1:4">
      <c r="A101" s="158">
        <v>44399</v>
      </c>
      <c r="B101" s="142">
        <v>27.49</v>
      </c>
      <c r="C101" s="142">
        <v>25.15</v>
      </c>
      <c r="D101" s="142">
        <v>2.34</v>
      </c>
    </row>
    <row r="102" customHeight="1" spans="1:4">
      <c r="A102" s="158">
        <v>44406</v>
      </c>
      <c r="B102" s="142">
        <v>27.16</v>
      </c>
      <c r="C102" s="142">
        <v>24.63</v>
      </c>
      <c r="D102" s="142">
        <v>2.53</v>
      </c>
    </row>
    <row r="103" customHeight="1" spans="1:4">
      <c r="A103" s="158">
        <v>44413</v>
      </c>
      <c r="B103" s="142">
        <v>26.34</v>
      </c>
      <c r="C103" s="142">
        <v>23.94</v>
      </c>
      <c r="D103" s="142">
        <v>2.4</v>
      </c>
    </row>
    <row r="104" customHeight="1" spans="1:4">
      <c r="A104" s="158">
        <v>44420</v>
      </c>
      <c r="B104" s="142">
        <v>26.09</v>
      </c>
      <c r="C104" s="142">
        <v>23.69</v>
      </c>
      <c r="D104" s="142">
        <v>2.4</v>
      </c>
    </row>
    <row r="105" customHeight="1" spans="1:4">
      <c r="A105" s="158">
        <v>44427</v>
      </c>
      <c r="B105" s="142">
        <v>26.09</v>
      </c>
      <c r="C105" s="142">
        <v>23.69</v>
      </c>
      <c r="D105" s="142">
        <v>2.4</v>
      </c>
    </row>
    <row r="106" customHeight="1" spans="1:4">
      <c r="A106" s="158">
        <v>44434</v>
      </c>
      <c r="B106" s="142">
        <v>25.13</v>
      </c>
      <c r="C106" s="142">
        <v>23.13</v>
      </c>
      <c r="D106" s="142">
        <v>2</v>
      </c>
    </row>
    <row r="107" customHeight="1" spans="1:4">
      <c r="A107" s="158">
        <v>44441</v>
      </c>
      <c r="B107" s="142">
        <v>24.19</v>
      </c>
      <c r="C107" s="142">
        <v>22</v>
      </c>
      <c r="D107" s="142">
        <v>2.19</v>
      </c>
    </row>
    <row r="108" customHeight="1" spans="1:4">
      <c r="A108" s="158">
        <v>44448</v>
      </c>
      <c r="B108" s="142">
        <v>23.03</v>
      </c>
      <c r="C108" s="142">
        <v>21</v>
      </c>
      <c r="D108" s="142">
        <v>2.03</v>
      </c>
    </row>
    <row r="109" customHeight="1" spans="1:4">
      <c r="A109" s="158">
        <v>44455</v>
      </c>
      <c r="B109" s="142">
        <v>21.88</v>
      </c>
      <c r="C109" s="142">
        <v>19.69</v>
      </c>
      <c r="D109" s="142">
        <v>2.19</v>
      </c>
    </row>
    <row r="110" customHeight="1" spans="1:4">
      <c r="A110" s="158">
        <v>44462</v>
      </c>
      <c r="B110" s="142">
        <v>20.18</v>
      </c>
      <c r="C110" s="142">
        <v>18.47</v>
      </c>
      <c r="D110" s="142">
        <v>1.71</v>
      </c>
    </row>
    <row r="111" customHeight="1" spans="1:4">
      <c r="A111" s="158">
        <v>44469</v>
      </c>
      <c r="B111" s="142">
        <v>18.63</v>
      </c>
      <c r="C111" s="142">
        <v>17.28</v>
      </c>
      <c r="D111" s="142">
        <v>1.35</v>
      </c>
    </row>
    <row r="112" customHeight="1" spans="1:4">
      <c r="A112" s="158">
        <v>44477</v>
      </c>
      <c r="B112" s="142">
        <v>17.94</v>
      </c>
      <c r="C112" s="142">
        <v>16.72</v>
      </c>
      <c r="D112" s="142">
        <v>1.22</v>
      </c>
    </row>
    <row r="113" customHeight="1" spans="1:4">
      <c r="A113" s="158">
        <v>44483</v>
      </c>
      <c r="B113" s="142">
        <v>21.13</v>
      </c>
      <c r="C113" s="142">
        <v>19.06</v>
      </c>
      <c r="D113" s="142">
        <v>2.07</v>
      </c>
    </row>
    <row r="114" customHeight="1" spans="1:4">
      <c r="A114" s="158">
        <v>44490</v>
      </c>
      <c r="B114" s="142">
        <v>22.78</v>
      </c>
      <c r="C114" s="142">
        <v>20.63</v>
      </c>
      <c r="D114" s="142">
        <v>2.15</v>
      </c>
    </row>
    <row r="115" customHeight="1" spans="1:4">
      <c r="A115" s="158">
        <v>44497</v>
      </c>
      <c r="B115" s="142">
        <v>24.47</v>
      </c>
      <c r="C115" s="142">
        <v>21.5</v>
      </c>
      <c r="D115" s="142">
        <v>2.97</v>
      </c>
    </row>
    <row r="116" customHeight="1" spans="1:4">
      <c r="A116" s="158">
        <v>44504</v>
      </c>
      <c r="B116" s="142">
        <v>24.88</v>
      </c>
      <c r="C116" s="142">
        <v>21.66</v>
      </c>
      <c r="D116" s="142">
        <v>3.22</v>
      </c>
    </row>
    <row r="117" customHeight="1" spans="1:4">
      <c r="A117" s="158">
        <v>44511</v>
      </c>
      <c r="B117" s="142">
        <v>25.19</v>
      </c>
      <c r="C117" s="142">
        <v>21.81</v>
      </c>
      <c r="D117" s="142">
        <v>3.38</v>
      </c>
    </row>
    <row r="118" customHeight="1" spans="1:4">
      <c r="A118" s="158">
        <v>44518</v>
      </c>
      <c r="B118" s="142">
        <v>25.05</v>
      </c>
      <c r="C118" s="142">
        <v>21.72</v>
      </c>
      <c r="D118" s="142">
        <v>3.33</v>
      </c>
    </row>
    <row r="119" customHeight="1" spans="1:4">
      <c r="A119" s="158">
        <v>44525</v>
      </c>
      <c r="B119" s="142">
        <v>25.69</v>
      </c>
      <c r="C119" s="142">
        <v>22.16</v>
      </c>
      <c r="D119" s="142">
        <v>3.53</v>
      </c>
    </row>
    <row r="120" customHeight="1" spans="1:4">
      <c r="A120" s="158">
        <v>44532</v>
      </c>
      <c r="B120" s="142">
        <v>25.47</v>
      </c>
      <c r="C120" s="142">
        <v>22.06</v>
      </c>
      <c r="D120" s="142">
        <v>3.41</v>
      </c>
    </row>
    <row r="121" customHeight="1" spans="1:4">
      <c r="A121" s="158">
        <v>44539</v>
      </c>
      <c r="B121" s="142">
        <v>23.94</v>
      </c>
      <c r="C121" s="142">
        <v>21.25</v>
      </c>
      <c r="D121" s="142">
        <v>2.69</v>
      </c>
    </row>
    <row r="122" customHeight="1" spans="1:4">
      <c r="A122" s="158">
        <v>44546</v>
      </c>
      <c r="B122" s="142">
        <v>23</v>
      </c>
      <c r="C122" s="142">
        <v>20.81</v>
      </c>
      <c r="D122" s="142">
        <v>2.19</v>
      </c>
    </row>
    <row r="123" customHeight="1" spans="1:4">
      <c r="A123" s="158">
        <v>44553</v>
      </c>
      <c r="B123" s="142">
        <v>22.05</v>
      </c>
      <c r="C123" s="142">
        <v>20.25</v>
      </c>
      <c r="D123" s="142">
        <v>1.8</v>
      </c>
    </row>
    <row r="124" customHeight="1" spans="1:4">
      <c r="A124" s="158">
        <v>44560</v>
      </c>
      <c r="B124" s="142">
        <v>22.27</v>
      </c>
      <c r="C124" s="142">
        <v>20.25</v>
      </c>
      <c r="D124" s="142">
        <v>2.02</v>
      </c>
    </row>
    <row r="125" customHeight="1" spans="1:4">
      <c r="A125" s="158">
        <v>44567</v>
      </c>
      <c r="B125" s="142">
        <v>21.53</v>
      </c>
      <c r="C125" s="142">
        <v>19.69</v>
      </c>
      <c r="D125" s="142">
        <v>1.84</v>
      </c>
    </row>
    <row r="126" customHeight="1" spans="1:4">
      <c r="A126" s="158">
        <v>44574</v>
      </c>
      <c r="B126" s="142">
        <v>20.84</v>
      </c>
      <c r="C126" s="142">
        <v>19.56</v>
      </c>
      <c r="D126" s="142">
        <v>1.28</v>
      </c>
    </row>
    <row r="127" customHeight="1" spans="1:4">
      <c r="A127" s="158">
        <v>44581</v>
      </c>
      <c r="B127" s="142">
        <v>20.56</v>
      </c>
      <c r="C127" s="142">
        <v>19.63</v>
      </c>
      <c r="D127" s="142">
        <v>0.93</v>
      </c>
    </row>
    <row r="128" customHeight="1" spans="1:4">
      <c r="A128" s="158">
        <v>44587</v>
      </c>
      <c r="B128" s="142">
        <v>20.41</v>
      </c>
      <c r="C128" s="142">
        <v>19.41</v>
      </c>
      <c r="D128" s="142">
        <v>1</v>
      </c>
    </row>
    <row r="129" customHeight="1" spans="1:4">
      <c r="A129" s="158">
        <v>44602</v>
      </c>
      <c r="B129" s="142">
        <v>19.22</v>
      </c>
      <c r="C129" s="142">
        <v>18.39</v>
      </c>
      <c r="D129" s="142">
        <v>0.83</v>
      </c>
    </row>
    <row r="130" customHeight="1" spans="1:4">
      <c r="A130" s="158">
        <v>44609</v>
      </c>
      <c r="B130" s="142">
        <v>18.22</v>
      </c>
      <c r="C130" s="142">
        <v>17.78</v>
      </c>
      <c r="D130" s="142">
        <v>0.44</v>
      </c>
    </row>
    <row r="131" customHeight="1" spans="1:4">
      <c r="A131" s="158">
        <v>44616</v>
      </c>
      <c r="B131" s="142">
        <v>18.53</v>
      </c>
      <c r="C131" s="142">
        <v>17.66</v>
      </c>
      <c r="D131" s="142">
        <v>0.87</v>
      </c>
    </row>
    <row r="132" customHeight="1" spans="1:4">
      <c r="A132" s="158">
        <v>44623</v>
      </c>
      <c r="B132" s="142">
        <v>18.55</v>
      </c>
      <c r="C132" s="142">
        <v>17.5</v>
      </c>
      <c r="D132" s="142">
        <v>1.05</v>
      </c>
    </row>
    <row r="133" customHeight="1" spans="1:4">
      <c r="A133" s="158">
        <v>44630</v>
      </c>
      <c r="B133" s="142">
        <v>18.11</v>
      </c>
      <c r="C133" s="142">
        <v>17.25</v>
      </c>
      <c r="D133" s="142">
        <v>0.86</v>
      </c>
    </row>
    <row r="134" customHeight="1" spans="1:4">
      <c r="A134" s="158">
        <v>44637</v>
      </c>
      <c r="B134" s="142">
        <v>17.93</v>
      </c>
      <c r="C134" s="142">
        <v>17.16</v>
      </c>
      <c r="D134" s="142">
        <v>0.77</v>
      </c>
    </row>
    <row r="135" customHeight="1" spans="1:4">
      <c r="A135" s="158">
        <v>44644</v>
      </c>
      <c r="B135" s="142">
        <v>18.53</v>
      </c>
      <c r="C135" s="142">
        <v>17.5</v>
      </c>
      <c r="D135" s="142">
        <v>1.03</v>
      </c>
    </row>
    <row r="136" customHeight="1" spans="1:4">
      <c r="A136" s="158">
        <v>44651</v>
      </c>
      <c r="B136" s="142">
        <v>18.91</v>
      </c>
      <c r="C136" s="142">
        <v>17.81</v>
      </c>
      <c r="D136" s="142">
        <v>1.1</v>
      </c>
    </row>
    <row r="137" customHeight="1" spans="1:4">
      <c r="A137" s="158">
        <v>44658</v>
      </c>
      <c r="B137" s="142">
        <v>19.25</v>
      </c>
      <c r="C137" s="142">
        <v>17.88</v>
      </c>
      <c r="D137" s="142">
        <v>1.37</v>
      </c>
    </row>
    <row r="138" customHeight="1" spans="1:4">
      <c r="A138" s="158">
        <v>44665</v>
      </c>
      <c r="B138" s="142">
        <v>19.58</v>
      </c>
      <c r="C138" s="142">
        <v>18.16</v>
      </c>
      <c r="D138" s="142">
        <v>1.42</v>
      </c>
    </row>
    <row r="139" customHeight="1" spans="1:4">
      <c r="A139" s="158">
        <v>44672</v>
      </c>
      <c r="B139" s="142">
        <v>20.88</v>
      </c>
      <c r="C139" s="142">
        <v>19.06</v>
      </c>
      <c r="D139" s="142">
        <v>1.82</v>
      </c>
    </row>
    <row r="140" customHeight="1" spans="1:4">
      <c r="A140" s="158">
        <v>44679</v>
      </c>
      <c r="B140" s="142">
        <v>22.14</v>
      </c>
      <c r="C140" s="142">
        <v>20.31</v>
      </c>
      <c r="D140" s="142">
        <v>1.83</v>
      </c>
    </row>
    <row r="141" customHeight="1" spans="1:4">
      <c r="A141" s="158">
        <v>44686</v>
      </c>
      <c r="B141" s="142">
        <v>22.72</v>
      </c>
      <c r="C141" s="142">
        <v>20.78</v>
      </c>
      <c r="D141" s="142">
        <v>1.94</v>
      </c>
    </row>
    <row r="142" customHeight="1" spans="1:4">
      <c r="A142" s="158">
        <v>44693</v>
      </c>
      <c r="B142" s="142">
        <v>22.88</v>
      </c>
      <c r="C142" s="142">
        <v>20.91</v>
      </c>
      <c r="D142" s="142">
        <v>1.97</v>
      </c>
    </row>
    <row r="143" customHeight="1" spans="1:4">
      <c r="A143" s="158">
        <v>44700</v>
      </c>
      <c r="B143" s="142">
        <v>23.91</v>
      </c>
      <c r="C143" s="142">
        <v>21.94</v>
      </c>
      <c r="D143" s="142">
        <v>1.97</v>
      </c>
    </row>
    <row r="144" customHeight="1" spans="1:4">
      <c r="A144" s="158">
        <v>44707</v>
      </c>
      <c r="B144" s="142">
        <v>23.83</v>
      </c>
      <c r="C144" s="142">
        <v>21.91</v>
      </c>
      <c r="D144" s="142">
        <v>1.92</v>
      </c>
    </row>
    <row r="145" customHeight="1" spans="1:4">
      <c r="A145" s="158">
        <v>44714</v>
      </c>
      <c r="B145" s="142">
        <v>23.74</v>
      </c>
      <c r="C145" s="142">
        <v>21.81</v>
      </c>
      <c r="D145" s="142">
        <v>1.93</v>
      </c>
    </row>
    <row r="146" customHeight="1" spans="1:4">
      <c r="A146" s="158">
        <v>44721</v>
      </c>
      <c r="B146" s="142">
        <v>23.66</v>
      </c>
      <c r="C146" s="142">
        <v>21.69</v>
      </c>
      <c r="D146" s="142">
        <v>1.97</v>
      </c>
    </row>
    <row r="147" customHeight="1" spans="1:4">
      <c r="A147" s="158">
        <v>44728</v>
      </c>
      <c r="B147" s="142">
        <v>24.19</v>
      </c>
      <c r="C147" s="142">
        <v>22.06</v>
      </c>
      <c r="D147" s="142">
        <v>2.13</v>
      </c>
    </row>
    <row r="148" customHeight="1" spans="1:4">
      <c r="A148" s="158">
        <v>44735</v>
      </c>
      <c r="B148" s="142">
        <v>25.31</v>
      </c>
      <c r="C148" s="142">
        <v>23.03</v>
      </c>
      <c r="D148" s="142">
        <v>2.28</v>
      </c>
    </row>
    <row r="149" customHeight="1" spans="1:4">
      <c r="A149" s="158">
        <v>44742</v>
      </c>
      <c r="B149" s="142">
        <v>27.66</v>
      </c>
      <c r="C149" s="142">
        <v>25.09</v>
      </c>
      <c r="D149" s="142">
        <v>2.57</v>
      </c>
    </row>
    <row r="150" customHeight="1" spans="1:4">
      <c r="A150" s="158">
        <v>44749</v>
      </c>
      <c r="B150" s="142">
        <v>30.91</v>
      </c>
      <c r="C150" s="142">
        <v>27.03</v>
      </c>
      <c r="D150" s="142">
        <v>3.88</v>
      </c>
    </row>
    <row r="151" customHeight="1" spans="1:4">
      <c r="A151" s="158">
        <v>44756</v>
      </c>
      <c r="B151" s="142">
        <v>31.94</v>
      </c>
      <c r="C151" s="142">
        <v>27.88</v>
      </c>
      <c r="D151" s="142">
        <v>4.06</v>
      </c>
    </row>
    <row r="152" customHeight="1" spans="1:4">
      <c r="A152" s="158">
        <v>44763</v>
      </c>
      <c r="B152" s="142">
        <v>30.83</v>
      </c>
      <c r="C152" s="142">
        <v>27.59</v>
      </c>
      <c r="D152" s="142">
        <v>3.24</v>
      </c>
    </row>
    <row r="153" customHeight="1" spans="1:4">
      <c r="A153" s="158">
        <v>44770</v>
      </c>
      <c r="B153" s="142">
        <v>29.48</v>
      </c>
      <c r="C153" s="142">
        <v>26.72</v>
      </c>
      <c r="D153" s="142">
        <v>2.76</v>
      </c>
    </row>
    <row r="154" customHeight="1" spans="1:4">
      <c r="A154" s="158">
        <v>44777</v>
      </c>
      <c r="B154" s="142">
        <v>30.21</v>
      </c>
      <c r="C154" s="142">
        <v>27.03</v>
      </c>
      <c r="D154" s="142">
        <v>3.18</v>
      </c>
    </row>
    <row r="155" customHeight="1" spans="1:4">
      <c r="A155" s="158">
        <v>44784</v>
      </c>
      <c r="B155" s="142">
        <v>29.28</v>
      </c>
      <c r="C155" s="142">
        <v>26.5</v>
      </c>
      <c r="D155" s="142">
        <v>2.78</v>
      </c>
    </row>
    <row r="156" customHeight="1" spans="1:4">
      <c r="A156" s="158">
        <v>44791</v>
      </c>
      <c r="B156" s="142">
        <v>29.19</v>
      </c>
      <c r="C156" s="142">
        <v>26.47</v>
      </c>
      <c r="D156" s="142">
        <v>2.72</v>
      </c>
    </row>
    <row r="157" customHeight="1" spans="1:4">
      <c r="A157" s="158">
        <v>44798</v>
      </c>
      <c r="B157" s="142">
        <v>30.25</v>
      </c>
      <c r="C157" s="142">
        <v>27</v>
      </c>
      <c r="D157" s="142">
        <v>3.25</v>
      </c>
    </row>
    <row r="158" customHeight="1" spans="1:4">
      <c r="A158" s="158">
        <v>44805</v>
      </c>
      <c r="B158" s="142">
        <v>32.64</v>
      </c>
      <c r="C158" s="142">
        <v>28.09</v>
      </c>
      <c r="D158" s="142">
        <v>4.55</v>
      </c>
    </row>
    <row r="159" customHeight="1" spans="1:4">
      <c r="A159" s="158">
        <v>44812</v>
      </c>
      <c r="B159" s="142">
        <v>31.63</v>
      </c>
      <c r="C159" s="142">
        <v>27.47</v>
      </c>
      <c r="D159" s="142">
        <v>4.16</v>
      </c>
    </row>
    <row r="160" customHeight="1" spans="1:4">
      <c r="A160" s="158">
        <v>44819</v>
      </c>
      <c r="B160" s="142">
        <v>31.98</v>
      </c>
      <c r="C160" s="142">
        <v>27.63</v>
      </c>
      <c r="D160" s="142">
        <v>4.35</v>
      </c>
    </row>
    <row r="161" customHeight="1" spans="1:4">
      <c r="A161" s="158">
        <v>44826</v>
      </c>
      <c r="B161" s="142">
        <v>32.84</v>
      </c>
      <c r="C161" s="142">
        <v>28.04</v>
      </c>
      <c r="D161" s="142">
        <v>4.8</v>
      </c>
    </row>
    <row r="162" customHeight="1" spans="1:4">
      <c r="A162" s="158">
        <v>44833</v>
      </c>
      <c r="B162" s="142">
        <v>33.32</v>
      </c>
      <c r="C162" s="142">
        <v>28.33</v>
      </c>
      <c r="D162" s="142">
        <v>4.99</v>
      </c>
    </row>
    <row r="163" customHeight="1" spans="1:4">
      <c r="A163" s="158">
        <v>44842</v>
      </c>
      <c r="B163" s="159">
        <v>35.96</v>
      </c>
      <c r="C163" s="159">
        <v>30.56</v>
      </c>
      <c r="D163" s="159">
        <v>5.4</v>
      </c>
    </row>
    <row r="164" customHeight="1" spans="1:4">
      <c r="A164" s="158">
        <v>44847</v>
      </c>
      <c r="B164" s="159">
        <v>37.84</v>
      </c>
      <c r="C164" s="159">
        <v>31.89</v>
      </c>
      <c r="D164" s="159">
        <v>5.95</v>
      </c>
    </row>
    <row r="165" customHeight="1" spans="1:4">
      <c r="A165" s="160">
        <v>44854</v>
      </c>
      <c r="B165" s="159">
        <v>40.53</v>
      </c>
      <c r="C165" s="159">
        <v>33.23</v>
      </c>
      <c r="D165" s="159">
        <v>7.3</v>
      </c>
    </row>
    <row r="166" customHeight="1" spans="1:4">
      <c r="A166" s="160">
        <v>44861</v>
      </c>
      <c r="B166" s="159">
        <v>39.51</v>
      </c>
      <c r="C166" s="159">
        <v>32.73</v>
      </c>
      <c r="D166" s="159">
        <v>6.78</v>
      </c>
    </row>
    <row r="167" customHeight="1" spans="1:4">
      <c r="A167" s="160">
        <v>44868</v>
      </c>
      <c r="B167" s="159">
        <v>38.79</v>
      </c>
      <c r="C167" s="159">
        <v>31.91</v>
      </c>
      <c r="D167" s="159">
        <v>6.88</v>
      </c>
    </row>
    <row r="168" customHeight="1" spans="1:4">
      <c r="A168" s="160">
        <v>44875</v>
      </c>
      <c r="B168" s="159">
        <v>37.06</v>
      </c>
      <c r="C168" s="159">
        <v>30.36</v>
      </c>
      <c r="D168" s="159">
        <v>6.7</v>
      </c>
    </row>
    <row r="169" customHeight="1" spans="1:4">
      <c r="A169" s="160">
        <v>44882</v>
      </c>
      <c r="B169" s="159">
        <v>34.56</v>
      </c>
      <c r="C169" s="159">
        <v>28.64</v>
      </c>
      <c r="D169" s="159">
        <v>5.92</v>
      </c>
    </row>
    <row r="170" customHeight="1" spans="1:4">
      <c r="A170" s="160">
        <v>44889</v>
      </c>
      <c r="B170" s="159">
        <v>33.33</v>
      </c>
      <c r="C170" s="159">
        <v>28.06</v>
      </c>
      <c r="D170" s="159">
        <v>5.27</v>
      </c>
    </row>
    <row r="171" customHeight="1" spans="1:4">
      <c r="A171" s="160">
        <v>44896</v>
      </c>
      <c r="B171" s="159">
        <v>32.76</v>
      </c>
      <c r="C171" s="159">
        <v>27.66</v>
      </c>
      <c r="D171" s="159">
        <v>5.1</v>
      </c>
    </row>
    <row r="172" customHeight="1" spans="1:4">
      <c r="A172" s="160">
        <v>44903</v>
      </c>
      <c r="B172" s="159">
        <v>33.34</v>
      </c>
      <c r="C172" s="159">
        <v>28.18</v>
      </c>
      <c r="D172" s="159">
        <v>5.16</v>
      </c>
    </row>
    <row r="173" customHeight="1" spans="1:4">
      <c r="A173" s="160">
        <v>44910</v>
      </c>
      <c r="B173" s="159">
        <v>31.37</v>
      </c>
      <c r="C173" s="159">
        <v>26.43</v>
      </c>
      <c r="D173" s="159">
        <v>4.94</v>
      </c>
    </row>
    <row r="174" customHeight="1" spans="1:4">
      <c r="A174" s="160">
        <v>44917</v>
      </c>
      <c r="B174" s="159">
        <v>26.8</v>
      </c>
      <c r="C174" s="159">
        <v>24.06</v>
      </c>
      <c r="D174" s="159">
        <v>2.74</v>
      </c>
    </row>
    <row r="175" customHeight="1" spans="1:4">
      <c r="A175" s="160">
        <v>44924</v>
      </c>
      <c r="B175" s="161">
        <v>27.38</v>
      </c>
      <c r="C175" s="161">
        <v>23.98</v>
      </c>
      <c r="D175" s="161">
        <v>3.4</v>
      </c>
    </row>
    <row r="176" customHeight="1" spans="1:4">
      <c r="A176" s="160">
        <v>44931</v>
      </c>
      <c r="B176" s="161">
        <v>25.49</v>
      </c>
      <c r="C176" s="161">
        <v>22.92</v>
      </c>
      <c r="D176" s="161">
        <v>2.57</v>
      </c>
    </row>
    <row r="177" customHeight="1" spans="1:4">
      <c r="A177" s="160">
        <v>44938</v>
      </c>
      <c r="B177" s="161">
        <v>24.39</v>
      </c>
      <c r="C177" s="161">
        <v>22.16</v>
      </c>
      <c r="D177" s="161">
        <v>2.23</v>
      </c>
    </row>
    <row r="178" customHeight="1" spans="1:4">
      <c r="A178" s="160">
        <v>44959</v>
      </c>
      <c r="B178" s="161">
        <v>24.39</v>
      </c>
      <c r="C178" s="161">
        <v>22.16</v>
      </c>
      <c r="D178" s="161">
        <v>2.23</v>
      </c>
    </row>
    <row r="179" customHeight="1" spans="1:4">
      <c r="A179" s="160">
        <v>44966</v>
      </c>
      <c r="B179" s="161">
        <v>21.88</v>
      </c>
      <c r="C179" s="161">
        <v>21.74</v>
      </c>
      <c r="D179" s="161">
        <v>0.14</v>
      </c>
    </row>
    <row r="180" customHeight="1" spans="1:4">
      <c r="A180" s="160">
        <v>44973</v>
      </c>
      <c r="B180" s="161">
        <v>22.52</v>
      </c>
      <c r="C180" s="161">
        <v>21.56</v>
      </c>
      <c r="D180" s="161">
        <v>0.96</v>
      </c>
    </row>
    <row r="181" customHeight="1" spans="1:4">
      <c r="A181" s="160">
        <v>44980</v>
      </c>
      <c r="B181" s="161">
        <v>23.74</v>
      </c>
      <c r="C181" s="161">
        <v>22.31</v>
      </c>
      <c r="D181" s="161">
        <v>1.43</v>
      </c>
    </row>
    <row r="182" customHeight="1" spans="1:4">
      <c r="A182" s="160">
        <v>44987</v>
      </c>
      <c r="B182" s="161">
        <v>24.84</v>
      </c>
      <c r="C182" s="161">
        <v>22.51</v>
      </c>
      <c r="D182" s="161">
        <v>2.33</v>
      </c>
    </row>
    <row r="183" customHeight="1" spans="1:4">
      <c r="A183" s="160">
        <v>44994</v>
      </c>
      <c r="B183" s="161">
        <v>24.31</v>
      </c>
      <c r="C183" s="161">
        <v>22.57</v>
      </c>
      <c r="D183" s="161">
        <v>1.74</v>
      </c>
    </row>
    <row r="184" customHeight="1" spans="1:4">
      <c r="A184" s="160">
        <v>45001</v>
      </c>
      <c r="B184" s="161">
        <v>23.86</v>
      </c>
      <c r="C184" s="161">
        <v>22.25</v>
      </c>
      <c r="D184" s="161">
        <v>1.61</v>
      </c>
    </row>
    <row r="185" customHeight="1" spans="1:4">
      <c r="A185" s="160">
        <v>45008</v>
      </c>
      <c r="B185" s="161">
        <v>23.6</v>
      </c>
      <c r="C185" s="161">
        <v>22.1</v>
      </c>
      <c r="D185" s="161">
        <v>1.5</v>
      </c>
    </row>
    <row r="186" customHeight="1" spans="1:4">
      <c r="A186" s="160">
        <v>45015</v>
      </c>
      <c r="B186" s="161">
        <v>23.23</v>
      </c>
      <c r="C186" s="161">
        <v>22.03</v>
      </c>
      <c r="D186" s="161">
        <v>1.2</v>
      </c>
    </row>
    <row r="187" customHeight="1" spans="1:4">
      <c r="A187" s="160">
        <v>45022</v>
      </c>
      <c r="B187" s="162">
        <v>22.99</v>
      </c>
      <c r="C187" s="161">
        <v>21.89</v>
      </c>
      <c r="D187" s="161">
        <v>1.1</v>
      </c>
    </row>
    <row r="188" customHeight="1" spans="1:4">
      <c r="A188" s="160">
        <v>45029</v>
      </c>
      <c r="B188" s="162">
        <v>22.42</v>
      </c>
      <c r="C188" s="161">
        <v>21.76</v>
      </c>
      <c r="D188" s="161">
        <v>0.66</v>
      </c>
    </row>
    <row r="189" customHeight="1" spans="1:4">
      <c r="A189" s="160">
        <v>45036</v>
      </c>
      <c r="B189" s="162">
        <v>21.83</v>
      </c>
      <c r="C189" s="161">
        <v>21.08</v>
      </c>
      <c r="D189" s="161">
        <v>0.75</v>
      </c>
    </row>
    <row r="190" customHeight="1" spans="1:4">
      <c r="A190" s="160">
        <v>45043</v>
      </c>
      <c r="B190" s="162">
        <v>22.73</v>
      </c>
      <c r="C190" s="161">
        <v>21.95</v>
      </c>
      <c r="D190" s="161">
        <v>0.78</v>
      </c>
    </row>
    <row r="191" customHeight="1" spans="1:4">
      <c r="A191" s="160">
        <v>45050</v>
      </c>
      <c r="B191" s="161">
        <v>23.19</v>
      </c>
      <c r="C191" s="161">
        <v>22.34</v>
      </c>
      <c r="D191" s="161">
        <v>0.84</v>
      </c>
    </row>
    <row r="192" customHeight="1" spans="1:4">
      <c r="A192" s="160">
        <v>45057</v>
      </c>
      <c r="B192" s="161">
        <v>22.84</v>
      </c>
      <c r="C192" s="161">
        <v>22.06</v>
      </c>
      <c r="D192" s="161">
        <v>0.78</v>
      </c>
    </row>
    <row r="193" customHeight="1" spans="1:4">
      <c r="A193" s="160">
        <v>45064</v>
      </c>
      <c r="B193" s="161">
        <v>22.11</v>
      </c>
      <c r="C193" s="161">
        <v>21.46</v>
      </c>
      <c r="D193" s="161">
        <v>0.65</v>
      </c>
    </row>
    <row r="194" customHeight="1" spans="1:4">
      <c r="A194" s="160">
        <v>45071</v>
      </c>
      <c r="B194" s="161">
        <v>22.43</v>
      </c>
      <c r="C194" s="161">
        <v>21.39</v>
      </c>
      <c r="D194" s="161">
        <v>1.04</v>
      </c>
    </row>
    <row r="195" customHeight="1" spans="1:4">
      <c r="A195" s="160">
        <v>45078</v>
      </c>
      <c r="B195" s="159">
        <v>22.42</v>
      </c>
      <c r="C195" s="159">
        <v>21.22</v>
      </c>
      <c r="D195" s="163">
        <v>1.2</v>
      </c>
    </row>
    <row r="196" customHeight="1" spans="1:4">
      <c r="A196" s="160">
        <v>45085</v>
      </c>
      <c r="B196" s="159">
        <v>22.21</v>
      </c>
      <c r="C196" s="159">
        <v>20.86</v>
      </c>
      <c r="D196" s="163">
        <v>1.35</v>
      </c>
    </row>
    <row r="197" customHeight="1" spans="1:4">
      <c r="A197" s="160">
        <v>45092</v>
      </c>
      <c r="B197" s="159">
        <v>22.27</v>
      </c>
      <c r="C197" s="159">
        <v>20.9</v>
      </c>
      <c r="D197" s="159">
        <v>1.37</v>
      </c>
    </row>
    <row r="198" customHeight="1" spans="1:4">
      <c r="A198" s="160">
        <v>45098</v>
      </c>
      <c r="B198" s="159">
        <v>22.59</v>
      </c>
      <c r="C198" s="159">
        <v>21.16</v>
      </c>
      <c r="D198" s="159">
        <v>1.43</v>
      </c>
    </row>
    <row r="199" customHeight="1" spans="1:4">
      <c r="A199" s="160">
        <v>45106</v>
      </c>
      <c r="B199" s="159">
        <v>21.86</v>
      </c>
      <c r="C199" s="159">
        <v>20.58</v>
      </c>
      <c r="D199" s="159">
        <v>1.28</v>
      </c>
    </row>
    <row r="200" customHeight="1" spans="1:4">
      <c r="A200" s="158">
        <v>45113</v>
      </c>
      <c r="B200" s="159">
        <v>21.76</v>
      </c>
      <c r="C200" s="159">
        <v>20.43</v>
      </c>
      <c r="D200" s="159">
        <v>1.33</v>
      </c>
    </row>
    <row r="201" customHeight="1" spans="1:4">
      <c r="A201" s="160">
        <v>45120</v>
      </c>
      <c r="B201" s="159">
        <v>21.54</v>
      </c>
      <c r="C201" s="159">
        <v>20.48</v>
      </c>
      <c r="D201" s="159">
        <v>1.06</v>
      </c>
    </row>
    <row r="202" customHeight="1" spans="1:4">
      <c r="A202" s="158">
        <v>45127</v>
      </c>
      <c r="B202" s="159">
        <v>21.38</v>
      </c>
      <c r="C202" s="159">
        <v>20.36</v>
      </c>
      <c r="D202" s="159">
        <v>1.02</v>
      </c>
    </row>
    <row r="203" customHeight="1" spans="1:4">
      <c r="A203" s="160">
        <v>45134</v>
      </c>
      <c r="B203" s="159">
        <v>22.43</v>
      </c>
      <c r="C203" s="159">
        <v>20.84</v>
      </c>
      <c r="D203" s="159">
        <v>1.59</v>
      </c>
    </row>
    <row r="204" customHeight="1" spans="1:4">
      <c r="A204" s="158">
        <v>45141</v>
      </c>
      <c r="B204" s="159">
        <v>24.56</v>
      </c>
      <c r="C204" s="159">
        <v>22.58</v>
      </c>
      <c r="D204" s="159">
        <v>1.98</v>
      </c>
    </row>
    <row r="205" customHeight="1" spans="1:4">
      <c r="A205" s="160">
        <v>45148</v>
      </c>
      <c r="B205" s="159">
        <v>24.95</v>
      </c>
      <c r="C205" s="159">
        <v>23.28</v>
      </c>
      <c r="D205" s="159">
        <v>1.67</v>
      </c>
    </row>
    <row r="206" customHeight="1" spans="1:4">
      <c r="A206" s="158">
        <v>45155</v>
      </c>
      <c r="B206" s="159">
        <v>24.59</v>
      </c>
      <c r="C206" s="159">
        <v>22.95</v>
      </c>
      <c r="D206" s="159">
        <v>1.64</v>
      </c>
    </row>
    <row r="207" customHeight="1" spans="1:4">
      <c r="A207" s="160">
        <v>45162</v>
      </c>
      <c r="B207" s="159">
        <v>24.31</v>
      </c>
      <c r="C207" s="159">
        <v>22.44</v>
      </c>
      <c r="D207" s="159">
        <v>1.87</v>
      </c>
    </row>
    <row r="208" customHeight="1" spans="1:4">
      <c r="A208" s="158">
        <v>45169</v>
      </c>
      <c r="B208" s="159">
        <v>24.05</v>
      </c>
      <c r="C208" s="159">
        <v>22.3</v>
      </c>
      <c r="D208" s="159">
        <v>1.75</v>
      </c>
    </row>
    <row r="209" customHeight="1" spans="1:4">
      <c r="A209" s="160">
        <v>45176</v>
      </c>
      <c r="B209" s="159">
        <v>23.51</v>
      </c>
      <c r="C209" s="159">
        <v>21.97</v>
      </c>
      <c r="D209" s="159">
        <v>1.54</v>
      </c>
    </row>
    <row r="210" customHeight="1" spans="1:4">
      <c r="A210" s="158">
        <v>45183</v>
      </c>
      <c r="B210" s="161">
        <v>23.34</v>
      </c>
      <c r="C210" s="161">
        <v>21.82</v>
      </c>
      <c r="D210" s="161">
        <v>1.52</v>
      </c>
    </row>
    <row r="211" customHeight="1" spans="1:4">
      <c r="A211" s="158">
        <v>45190</v>
      </c>
      <c r="B211" s="161">
        <v>22.96</v>
      </c>
      <c r="C211" s="161">
        <v>21.76</v>
      </c>
      <c r="D211" s="161">
        <v>1.2</v>
      </c>
    </row>
    <row r="212" customHeight="1" spans="1:4">
      <c r="A212" s="158">
        <v>45197</v>
      </c>
      <c r="B212" s="161">
        <v>22.34</v>
      </c>
      <c r="C212" s="161">
        <v>21.07</v>
      </c>
      <c r="D212" s="161">
        <v>1.27</v>
      </c>
    </row>
    <row r="213" customHeight="1" spans="1:4">
      <c r="A213" s="158">
        <v>45205</v>
      </c>
      <c r="B213" s="161">
        <v>22.28</v>
      </c>
      <c r="C213" s="161">
        <v>20.94</v>
      </c>
      <c r="D213" s="161">
        <v>1.34</v>
      </c>
    </row>
    <row r="214" customHeight="1" spans="1:4">
      <c r="A214" s="158">
        <v>45211</v>
      </c>
      <c r="B214" s="161">
        <v>21.87</v>
      </c>
      <c r="C214" s="161">
        <v>20.49</v>
      </c>
      <c r="D214" s="161">
        <v>1.38</v>
      </c>
    </row>
    <row r="215" customHeight="1" spans="1:4">
      <c r="A215" s="158">
        <v>45218</v>
      </c>
      <c r="B215" s="161">
        <v>21.61</v>
      </c>
      <c r="C215" s="161">
        <v>20.28</v>
      </c>
      <c r="D215" s="161">
        <v>1.33</v>
      </c>
    </row>
    <row r="216" customHeight="1" spans="1:4">
      <c r="A216" s="158">
        <v>45225</v>
      </c>
      <c r="B216" s="161">
        <v>21.16</v>
      </c>
      <c r="C216" s="161">
        <v>19.99</v>
      </c>
      <c r="D216" s="161">
        <v>1.17</v>
      </c>
    </row>
    <row r="217" customHeight="1" spans="1:4">
      <c r="A217" s="158">
        <v>45232</v>
      </c>
      <c r="B217" s="161">
        <v>20.8</v>
      </c>
      <c r="C217" s="161">
        <v>19.73</v>
      </c>
      <c r="D217" s="161">
        <v>1.07</v>
      </c>
    </row>
    <row r="218" customHeight="1" spans="1:4">
      <c r="A218" s="158">
        <v>45239</v>
      </c>
      <c r="B218" s="161">
        <v>20.96</v>
      </c>
      <c r="C218" s="161">
        <v>19.91</v>
      </c>
      <c r="D218" s="161">
        <v>1.05</v>
      </c>
    </row>
    <row r="219" customHeight="1" spans="1:4">
      <c r="A219" s="158">
        <v>45246</v>
      </c>
      <c r="B219" s="161">
        <v>20.78</v>
      </c>
      <c r="C219" s="161">
        <v>19.73</v>
      </c>
      <c r="D219" s="161">
        <v>1.05</v>
      </c>
    </row>
    <row r="220" customHeight="1" spans="1:4">
      <c r="A220" s="158">
        <v>45253</v>
      </c>
      <c r="B220" s="161">
        <v>21.14</v>
      </c>
      <c r="C220" s="161">
        <v>20</v>
      </c>
      <c r="D220" s="161">
        <v>1.14</v>
      </c>
    </row>
    <row r="221" customHeight="1" spans="1:4">
      <c r="A221" s="158">
        <v>45260</v>
      </c>
      <c r="B221" s="161">
        <v>20.88</v>
      </c>
      <c r="C221" s="161">
        <v>19.78</v>
      </c>
      <c r="D221" s="161">
        <v>1.1</v>
      </c>
    </row>
    <row r="222" customHeight="1" spans="1:4">
      <c r="A222" s="158">
        <v>45267</v>
      </c>
      <c r="B222" s="161">
        <v>20.43</v>
      </c>
      <c r="C222" s="161">
        <v>19.37</v>
      </c>
      <c r="D222" s="161">
        <v>1.06</v>
      </c>
    </row>
    <row r="223" customHeight="1" spans="1:4">
      <c r="A223" s="158">
        <v>45274</v>
      </c>
      <c r="B223" s="161">
        <v>20.67</v>
      </c>
      <c r="C223" s="161">
        <v>19.2</v>
      </c>
      <c r="D223" s="161">
        <v>1.47</v>
      </c>
    </row>
    <row r="224" customHeight="1" spans="1:4">
      <c r="A224" s="158">
        <v>45281</v>
      </c>
      <c r="B224" s="161">
        <v>21.59</v>
      </c>
      <c r="C224" s="161">
        <v>19.63</v>
      </c>
      <c r="D224" s="161">
        <v>1.96</v>
      </c>
    </row>
    <row r="225" customHeight="1" spans="1:4">
      <c r="A225" s="158">
        <v>45288</v>
      </c>
      <c r="B225" s="161">
        <v>21.52</v>
      </c>
      <c r="C225" s="161">
        <v>19.57</v>
      </c>
      <c r="D225" s="161">
        <v>1.95</v>
      </c>
    </row>
    <row r="226" customHeight="1" spans="1:4">
      <c r="A226" s="158">
        <v>45295</v>
      </c>
      <c r="B226" s="161">
        <v>20.98</v>
      </c>
      <c r="C226" s="161">
        <v>19.2</v>
      </c>
      <c r="D226" s="161">
        <v>1.78</v>
      </c>
    </row>
    <row r="227" customHeight="1" spans="1:4">
      <c r="A227" s="158">
        <v>45302</v>
      </c>
      <c r="B227" s="161">
        <v>20.66</v>
      </c>
      <c r="C227" s="161">
        <v>18.88</v>
      </c>
      <c r="D227" s="161">
        <v>1.78</v>
      </c>
    </row>
    <row r="228" customHeight="1" spans="1:4">
      <c r="A228" s="158">
        <v>45309</v>
      </c>
      <c r="B228" s="161">
        <v>20.52</v>
      </c>
      <c r="C228" s="161">
        <v>18.67</v>
      </c>
      <c r="D228" s="161">
        <v>1.85</v>
      </c>
    </row>
    <row r="229" customHeight="1" spans="1:4">
      <c r="A229" s="158">
        <v>45316</v>
      </c>
      <c r="B229" s="161">
        <v>21.29</v>
      </c>
      <c r="C229" s="161">
        <v>19.33</v>
      </c>
      <c r="D229" s="161">
        <v>1.96</v>
      </c>
    </row>
    <row r="230" customHeight="1" spans="1:4">
      <c r="A230" s="158">
        <v>45323</v>
      </c>
      <c r="B230" s="161">
        <v>24.06</v>
      </c>
      <c r="C230" s="161">
        <v>21.26</v>
      </c>
      <c r="D230" s="161">
        <v>2.8</v>
      </c>
    </row>
    <row r="231" customHeight="1" spans="1:4">
      <c r="A231" s="158">
        <v>45344</v>
      </c>
      <c r="B231" s="161">
        <v>21.4</v>
      </c>
      <c r="C231" s="161">
        <v>20.11</v>
      </c>
      <c r="D231" s="161">
        <v>1.29</v>
      </c>
    </row>
    <row r="232" customHeight="1" spans="1:4">
      <c r="A232" s="158">
        <v>45351</v>
      </c>
      <c r="B232" s="161">
        <v>21.23</v>
      </c>
      <c r="C232" s="161">
        <v>20.04</v>
      </c>
      <c r="D232" s="161">
        <v>1.19</v>
      </c>
    </row>
    <row r="233" customHeight="1" spans="1:4">
      <c r="A233" s="158">
        <v>45358</v>
      </c>
      <c r="B233" s="161">
        <v>21.48</v>
      </c>
      <c r="C233" s="161">
        <v>20.2</v>
      </c>
      <c r="D233" s="161">
        <v>1.28</v>
      </c>
    </row>
    <row r="234" customHeight="1" spans="1:4">
      <c r="A234" s="158">
        <v>45365</v>
      </c>
      <c r="B234" s="161">
        <v>21.79</v>
      </c>
      <c r="C234" s="161">
        <v>20.43</v>
      </c>
      <c r="D234" s="161">
        <v>1.36</v>
      </c>
    </row>
    <row r="235" customHeight="1" spans="1:4">
      <c r="A235" s="158">
        <v>45372</v>
      </c>
      <c r="B235" s="161">
        <v>22.06</v>
      </c>
      <c r="C235" s="161">
        <v>20.61</v>
      </c>
      <c r="D235" s="161">
        <v>1.45</v>
      </c>
    </row>
    <row r="236" customHeight="1" spans="1:4">
      <c r="A236" s="158">
        <v>45379</v>
      </c>
      <c r="B236" s="161">
        <v>22.67</v>
      </c>
      <c r="C236" s="161">
        <v>20.9</v>
      </c>
      <c r="D236" s="161">
        <v>1.77</v>
      </c>
    </row>
    <row r="237" customHeight="1" spans="1:4">
      <c r="A237" s="158">
        <v>45385</v>
      </c>
      <c r="B237" s="161">
        <v>22.59</v>
      </c>
      <c r="C237" s="161">
        <v>20.84</v>
      </c>
      <c r="D237" s="161">
        <v>1.75</v>
      </c>
    </row>
    <row r="238" customHeight="1" spans="1:4">
      <c r="A238" s="158">
        <v>45393</v>
      </c>
      <c r="B238" s="161">
        <v>22.73</v>
      </c>
      <c r="C238" s="161">
        <v>21.07</v>
      </c>
      <c r="D238" s="161">
        <v>1.66</v>
      </c>
    </row>
    <row r="239" customHeight="1" spans="1:4">
      <c r="A239" s="158">
        <v>45400</v>
      </c>
      <c r="B239" s="164">
        <v>22.79</v>
      </c>
      <c r="C239" s="164">
        <v>21.09</v>
      </c>
      <c r="D239" s="164">
        <v>1.7</v>
      </c>
    </row>
    <row r="240" customHeight="1" spans="1:4">
      <c r="A240" s="158">
        <v>45407</v>
      </c>
      <c r="B240" s="164">
        <v>22.75</v>
      </c>
      <c r="C240" s="164">
        <v>21.04</v>
      </c>
      <c r="D240" s="164">
        <v>1.71</v>
      </c>
    </row>
    <row r="241" customHeight="1" spans="1:4">
      <c r="A241" s="158">
        <v>45414</v>
      </c>
      <c r="B241" s="164">
        <v>22.64</v>
      </c>
      <c r="C241" s="164">
        <v>20.95</v>
      </c>
      <c r="D241" s="164">
        <v>1.69</v>
      </c>
    </row>
    <row r="242" customHeight="1" spans="1:4">
      <c r="A242" s="158">
        <v>45421</v>
      </c>
      <c r="B242" s="164">
        <v>22.66</v>
      </c>
      <c r="C242" s="164">
        <v>21.01</v>
      </c>
      <c r="D242" s="164">
        <v>1.65</v>
      </c>
    </row>
    <row r="243" customHeight="1" spans="1:4">
      <c r="A243" s="158">
        <v>45428</v>
      </c>
      <c r="B243" s="164">
        <v>22.69</v>
      </c>
      <c r="C243" s="164">
        <v>20.99</v>
      </c>
      <c r="D243" s="164">
        <v>1.7</v>
      </c>
    </row>
    <row r="244" customHeight="1" spans="1:4">
      <c r="A244" s="158">
        <v>45435</v>
      </c>
      <c r="B244" s="164">
        <v>23.47</v>
      </c>
      <c r="C244" s="164">
        <v>21.52</v>
      </c>
      <c r="D244" s="164">
        <v>1.95</v>
      </c>
    </row>
    <row r="245" customHeight="1" spans="1:4">
      <c r="A245" s="158">
        <v>45442</v>
      </c>
      <c r="B245" s="164">
        <v>26.07</v>
      </c>
      <c r="C245" s="164">
        <v>23.27</v>
      </c>
      <c r="D245" s="164">
        <v>2.8</v>
      </c>
    </row>
    <row r="246" customHeight="1" spans="1:4">
      <c r="A246" s="158">
        <v>45449</v>
      </c>
      <c r="B246" s="164">
        <v>26.81</v>
      </c>
      <c r="C246" s="164">
        <v>23.84</v>
      </c>
      <c r="D246" s="164">
        <v>2.97</v>
      </c>
    </row>
    <row r="247" customHeight="1" spans="1:4">
      <c r="A247" s="158">
        <v>45456</v>
      </c>
      <c r="B247" s="164">
        <v>26.97</v>
      </c>
      <c r="C247" s="164">
        <v>24.1</v>
      </c>
      <c r="D247" s="164">
        <v>2.87</v>
      </c>
    </row>
    <row r="248" customHeight="1" spans="1:4">
      <c r="A248" s="158">
        <v>45463</v>
      </c>
      <c r="B248" s="161">
        <v>26.53</v>
      </c>
      <c r="C248" s="161">
        <v>23.73</v>
      </c>
      <c r="D248" s="161">
        <v>2.8</v>
      </c>
    </row>
    <row r="249" customHeight="1" spans="1:4">
      <c r="A249" s="158">
        <v>45470</v>
      </c>
      <c r="B249" s="161">
        <v>25.39</v>
      </c>
      <c r="C249" s="161">
        <v>22.69</v>
      </c>
      <c r="D249" s="161">
        <v>2.7</v>
      </c>
    </row>
    <row r="250" customHeight="1" spans="1:4">
      <c r="A250" s="158">
        <v>45477</v>
      </c>
      <c r="B250" s="161">
        <v>25.59</v>
      </c>
      <c r="C250" s="161">
        <v>22.97</v>
      </c>
      <c r="D250" s="161">
        <v>2.62</v>
      </c>
    </row>
    <row r="251" customHeight="1" spans="1:4">
      <c r="A251" s="158">
        <v>45484</v>
      </c>
      <c r="B251" s="161">
        <v>25.53</v>
      </c>
      <c r="C251" s="161">
        <v>23.07</v>
      </c>
      <c r="D251" s="161">
        <v>2.46</v>
      </c>
    </row>
    <row r="252" customHeight="1" spans="1:4">
      <c r="A252" s="158">
        <v>45491</v>
      </c>
      <c r="B252" s="161">
        <v>26.2</v>
      </c>
      <c r="C252" s="161">
        <v>23.59</v>
      </c>
      <c r="D252" s="161">
        <v>2.61</v>
      </c>
    </row>
    <row r="253" customHeight="1" spans="1:4">
      <c r="A253" s="158">
        <v>45498</v>
      </c>
      <c r="B253" s="161">
        <v>26.37</v>
      </c>
      <c r="C253" s="161">
        <v>24.31</v>
      </c>
      <c r="D253" s="161">
        <v>2.06</v>
      </c>
    </row>
    <row r="254" customHeight="1" spans="1:4">
      <c r="A254" s="158">
        <v>45505</v>
      </c>
      <c r="B254" s="161">
        <v>26.83</v>
      </c>
      <c r="C254" s="161">
        <v>24.73</v>
      </c>
      <c r="D254" s="161">
        <v>2.1</v>
      </c>
    </row>
    <row r="255" customHeight="1" spans="1:4">
      <c r="A255" s="158">
        <v>45512</v>
      </c>
      <c r="B255" s="161">
        <v>27.62</v>
      </c>
      <c r="C255" s="161">
        <v>25.4</v>
      </c>
      <c r="D255" s="161">
        <v>2.22</v>
      </c>
    </row>
    <row r="256" customHeight="1" spans="1:4">
      <c r="A256" s="158">
        <v>45519</v>
      </c>
      <c r="B256" s="161">
        <v>28.08</v>
      </c>
      <c r="C256" s="161">
        <v>25.56</v>
      </c>
      <c r="D256" s="161">
        <v>2.52</v>
      </c>
    </row>
    <row r="257" customHeight="1" spans="1:4">
      <c r="A257" s="158">
        <v>45526</v>
      </c>
      <c r="B257" s="161">
        <v>27.91</v>
      </c>
      <c r="C257" s="161">
        <v>25.31</v>
      </c>
      <c r="D257" s="161">
        <v>2.6</v>
      </c>
    </row>
    <row r="258" customHeight="1" spans="1:4">
      <c r="A258" s="158">
        <v>45533</v>
      </c>
      <c r="B258" s="161">
        <v>26.76</v>
      </c>
      <c r="C258" s="161">
        <v>24.74</v>
      </c>
      <c r="D258" s="161">
        <v>2.02</v>
      </c>
    </row>
    <row r="259" customHeight="1" spans="1:4">
      <c r="A259" s="158">
        <v>45540</v>
      </c>
      <c r="B259" s="161">
        <v>26.88</v>
      </c>
      <c r="C259" s="161">
        <v>24.78</v>
      </c>
      <c r="D259" s="161">
        <v>2.1</v>
      </c>
    </row>
    <row r="260" customHeight="1" spans="1:4">
      <c r="A260" s="158">
        <v>45547</v>
      </c>
      <c r="B260" s="161">
        <v>27.08</v>
      </c>
      <c r="C260" s="161">
        <v>24.69</v>
      </c>
      <c r="D260" s="161">
        <v>2.39</v>
      </c>
    </row>
    <row r="261" customHeight="1" spans="1:4">
      <c r="A261" s="158">
        <v>45554</v>
      </c>
      <c r="B261" s="161">
        <v>26.59</v>
      </c>
      <c r="C261" s="161">
        <v>24.31</v>
      </c>
      <c r="D261" s="161">
        <v>2.28</v>
      </c>
    </row>
    <row r="262" customHeight="1" spans="1:4">
      <c r="A262" s="158">
        <v>45561</v>
      </c>
      <c r="B262" s="164">
        <v>25.97</v>
      </c>
      <c r="C262" s="164">
        <v>23.76</v>
      </c>
      <c r="D262" s="164">
        <v>2.21</v>
      </c>
    </row>
    <row r="263" customHeight="1" spans="1:4">
      <c r="A263" s="158">
        <v>45575</v>
      </c>
      <c r="B263" s="161">
        <v>25.77</v>
      </c>
      <c r="C263" s="161">
        <v>23.79</v>
      </c>
      <c r="D263" s="161">
        <v>1.98</v>
      </c>
    </row>
    <row r="264" customHeight="1" spans="1:4">
      <c r="A264" s="158">
        <v>45582</v>
      </c>
      <c r="B264" s="161">
        <v>25.62</v>
      </c>
      <c r="C264" s="161">
        <v>23.66</v>
      </c>
      <c r="D264" s="161">
        <v>1.96</v>
      </c>
    </row>
    <row r="265" customHeight="1" spans="1:4">
      <c r="A265" s="158">
        <v>45589</v>
      </c>
      <c r="B265" s="161">
        <v>25.42</v>
      </c>
      <c r="C265" s="161">
        <v>23.57</v>
      </c>
      <c r="D265" s="161">
        <f>B265-C265</f>
        <v>1.85</v>
      </c>
    </row>
    <row r="266" customHeight="1" spans="1:4">
      <c r="A266" s="158">
        <v>45596</v>
      </c>
      <c r="B266" s="159">
        <v>25.44</v>
      </c>
      <c r="C266" s="159">
        <v>23.53</v>
      </c>
      <c r="D266" s="159">
        <v>1.91</v>
      </c>
    </row>
    <row r="267" customHeight="1" spans="1:4">
      <c r="A267" s="158">
        <v>45603</v>
      </c>
      <c r="B267" s="159">
        <v>25.23</v>
      </c>
      <c r="C267" s="159">
        <v>23.21</v>
      </c>
      <c r="D267" s="159">
        <v>2.02</v>
      </c>
    </row>
    <row r="268" customHeight="1" spans="1:4">
      <c r="A268" s="158">
        <v>45610</v>
      </c>
      <c r="B268" s="161">
        <v>24.71</v>
      </c>
      <c r="C268" s="161">
        <v>22.94</v>
      </c>
      <c r="D268" s="161">
        <v>1.77</v>
      </c>
    </row>
    <row r="269" customHeight="1" spans="1:4">
      <c r="A269" s="158">
        <v>45617</v>
      </c>
      <c r="B269" s="161">
        <v>24.33</v>
      </c>
      <c r="C269" s="161">
        <v>22.61</v>
      </c>
      <c r="D269" s="161">
        <v>1.72</v>
      </c>
    </row>
    <row r="270" customHeight="1" spans="1:4">
      <c r="A270" s="158">
        <v>45624</v>
      </c>
      <c r="B270" s="161">
        <v>24.34</v>
      </c>
      <c r="C270" s="161">
        <v>22.64</v>
      </c>
      <c r="D270" s="161">
        <v>1.7</v>
      </c>
    </row>
    <row r="271" customHeight="1" spans="1:4">
      <c r="A271" s="158">
        <v>45631</v>
      </c>
      <c r="B271" s="161">
        <v>23.98</v>
      </c>
      <c r="C271" s="161">
        <v>22.33</v>
      </c>
      <c r="D271" s="161">
        <v>1.65</v>
      </c>
    </row>
    <row r="272" customHeight="1" spans="1:4">
      <c r="A272" s="158">
        <v>45638</v>
      </c>
      <c r="B272" s="161">
        <v>23.98</v>
      </c>
      <c r="C272" s="161">
        <v>22.33</v>
      </c>
      <c r="D272" s="161">
        <v>1.65</v>
      </c>
    </row>
    <row r="273" customHeight="1" spans="1:4">
      <c r="A273" s="158">
        <v>45645</v>
      </c>
      <c r="B273" s="159">
        <v>24.2</v>
      </c>
      <c r="C273" s="159">
        <v>22.38</v>
      </c>
      <c r="D273" s="159">
        <v>1.82</v>
      </c>
    </row>
    <row r="274" customHeight="1" spans="1:4">
      <c r="A274" s="158">
        <v>45652</v>
      </c>
      <c r="B274" s="161">
        <v>24.2</v>
      </c>
      <c r="C274" s="161">
        <v>22.38</v>
      </c>
      <c r="D274" s="161">
        <v>1.82</v>
      </c>
    </row>
    <row r="275" customHeight="1" spans="1:4">
      <c r="A275" s="158">
        <v>45659</v>
      </c>
      <c r="B275" s="161">
        <v>24.3</v>
      </c>
      <c r="C275" s="161">
        <v>22.49</v>
      </c>
      <c r="D275" s="161">
        <v>1.81</v>
      </c>
    </row>
    <row r="276" customHeight="1" spans="1:4">
      <c r="A276" s="158">
        <v>45666</v>
      </c>
      <c r="B276" s="161">
        <v>24.48</v>
      </c>
      <c r="C276" s="161">
        <v>22.63</v>
      </c>
      <c r="D276" s="161">
        <v>1.85</v>
      </c>
    </row>
    <row r="277" customHeight="1" spans="1:4">
      <c r="A277" s="158">
        <v>45673</v>
      </c>
      <c r="B277" s="161">
        <v>23.96</v>
      </c>
      <c r="C277" s="161">
        <v>22.25</v>
      </c>
      <c r="D277" s="161">
        <v>1.71</v>
      </c>
    </row>
    <row r="278" customHeight="1" spans="1:4">
      <c r="A278" s="158">
        <v>45680</v>
      </c>
      <c r="B278" s="161">
        <v>23.78</v>
      </c>
      <c r="C278" s="161">
        <v>22.16</v>
      </c>
      <c r="D278" s="161">
        <v>1.62</v>
      </c>
    </row>
    <row r="279" customHeight="1" spans="1:4">
      <c r="A279" s="158">
        <v>45694</v>
      </c>
      <c r="B279" s="161">
        <v>24.08</v>
      </c>
      <c r="C279" s="161">
        <v>22.25</v>
      </c>
      <c r="D279" s="161">
        <v>1.83</v>
      </c>
    </row>
    <row r="280" customHeight="1" spans="1:4">
      <c r="A280" s="158">
        <v>45701</v>
      </c>
      <c r="B280" s="161">
        <v>22.67</v>
      </c>
      <c r="C280" s="161">
        <v>21.71</v>
      </c>
      <c r="D280" s="161">
        <v>0.96</v>
      </c>
    </row>
    <row r="281" customHeight="1" spans="1:4">
      <c r="A281" s="158">
        <v>45708</v>
      </c>
      <c r="B281" s="161">
        <v>22.8</v>
      </c>
      <c r="C281" s="161">
        <v>21.64</v>
      </c>
      <c r="D281" s="161">
        <v>1.16</v>
      </c>
    </row>
    <row r="282" customHeight="1" spans="1:4">
      <c r="A282" s="158">
        <v>45715</v>
      </c>
      <c r="B282" s="161">
        <v>22.75</v>
      </c>
      <c r="C282" s="161">
        <v>21.63</v>
      </c>
      <c r="D282" s="161">
        <v>1.12</v>
      </c>
    </row>
    <row r="283" customHeight="1" spans="1:4">
      <c r="A283" s="158">
        <v>45722</v>
      </c>
      <c r="B283" s="161">
        <v>22.58</v>
      </c>
      <c r="C283" s="161">
        <v>21.52</v>
      </c>
      <c r="D283" s="161">
        <v>1.07</v>
      </c>
    </row>
    <row r="284" customHeight="1" spans="1:4">
      <c r="A284" s="158">
        <v>45729</v>
      </c>
      <c r="B284" s="161">
        <v>22.81</v>
      </c>
      <c r="C284" s="161">
        <v>21.92</v>
      </c>
      <c r="D284" s="161">
        <v>0.89</v>
      </c>
    </row>
    <row r="285" customHeight="1" spans="1:4">
      <c r="A285" s="158">
        <v>45736</v>
      </c>
      <c r="B285" s="161">
        <v>22.93</v>
      </c>
      <c r="C285" s="161">
        <v>21.97</v>
      </c>
      <c r="D285" s="161">
        <v>0.96</v>
      </c>
    </row>
    <row r="286" customHeight="1" spans="1:4">
      <c r="A286" s="158">
        <v>45743</v>
      </c>
      <c r="B286" s="161">
        <v>22.86</v>
      </c>
      <c r="C286" s="161">
        <v>21.94</v>
      </c>
      <c r="D286" s="161">
        <v>0.92</v>
      </c>
    </row>
    <row r="287" customHeight="1" spans="1:4">
      <c r="A287" s="158">
        <v>45750</v>
      </c>
      <c r="B287" s="161">
        <v>22.69</v>
      </c>
      <c r="C287" s="161">
        <v>21.84</v>
      </c>
      <c r="D287" s="161">
        <v>0.85</v>
      </c>
    </row>
    <row r="288" customHeight="1" spans="1:4">
      <c r="A288" s="158">
        <v>45757</v>
      </c>
      <c r="B288" s="159">
        <v>22.53</v>
      </c>
      <c r="C288" s="159">
        <v>21.76</v>
      </c>
      <c r="D288" s="161">
        <v>0.77</v>
      </c>
    </row>
    <row r="289" customHeight="1" spans="1:4">
      <c r="A289" s="158">
        <v>45764</v>
      </c>
      <c r="B289" s="159">
        <v>22.61</v>
      </c>
      <c r="C289" s="159">
        <v>21.81</v>
      </c>
      <c r="D289" s="161">
        <v>0.8</v>
      </c>
    </row>
    <row r="290" customHeight="1" spans="1:4">
      <c r="A290" s="158">
        <v>45771</v>
      </c>
      <c r="B290" s="159">
        <v>22.94</v>
      </c>
      <c r="C290" s="159">
        <v>21.96</v>
      </c>
      <c r="D290" s="161">
        <v>0.98</v>
      </c>
    </row>
    <row r="291" customHeight="1" spans="1:4">
      <c r="A291" s="158">
        <v>45777</v>
      </c>
      <c r="B291" s="161">
        <v>22.98</v>
      </c>
      <c r="C291" s="161">
        <v>21.95</v>
      </c>
      <c r="D291" s="161">
        <v>1.03</v>
      </c>
    </row>
    <row r="292" customHeight="1" spans="1:4">
      <c r="A292" s="158">
        <v>45785</v>
      </c>
      <c r="B292" s="161">
        <v>22.8</v>
      </c>
      <c r="C292" s="161">
        <v>21.95</v>
      </c>
      <c r="D292" s="161">
        <v>0.85</v>
      </c>
    </row>
    <row r="293" customHeight="1" spans="1:4">
      <c r="A293" s="158">
        <v>45792</v>
      </c>
      <c r="B293" s="161">
        <v>22.59</v>
      </c>
      <c r="C293" s="161">
        <v>21.86</v>
      </c>
      <c r="D293" s="161">
        <v>0.73</v>
      </c>
    </row>
    <row r="294" customHeight="1" spans="1:4">
      <c r="A294" s="158">
        <v>45799</v>
      </c>
      <c r="B294" s="161">
        <v>22.25</v>
      </c>
      <c r="C294" s="161">
        <v>21.76</v>
      </c>
      <c r="D294" s="161">
        <v>0.49</v>
      </c>
    </row>
    <row r="295" customHeight="1" spans="1:4">
      <c r="A295" s="158">
        <v>45806</v>
      </c>
      <c r="B295" s="161">
        <v>22.05</v>
      </c>
      <c r="C295" s="161">
        <v>21.8</v>
      </c>
      <c r="D295" s="161">
        <v>0.25</v>
      </c>
    </row>
    <row r="296" customHeight="1" spans="1:4">
      <c r="A296" s="158">
        <v>45813</v>
      </c>
      <c r="B296" s="161">
        <v>21.63</v>
      </c>
      <c r="C296" s="161">
        <v>21.64</v>
      </c>
      <c r="D296" s="161">
        <v>-0.01</v>
      </c>
    </row>
    <row r="297" customHeight="1" spans="1:4">
      <c r="A297" s="158">
        <v>45820</v>
      </c>
      <c r="B297" s="161">
        <v>21.24</v>
      </c>
      <c r="C297" s="161">
        <v>21.34</v>
      </c>
      <c r="D297" s="161">
        <v>-0.1</v>
      </c>
    </row>
    <row r="298" customHeight="1" spans="1:4">
      <c r="A298" s="158">
        <v>45827</v>
      </c>
      <c r="B298" s="161">
        <v>21.35</v>
      </c>
      <c r="C298" s="161">
        <v>21.19</v>
      </c>
      <c r="D298" s="161">
        <v>0.16</v>
      </c>
    </row>
    <row r="299" customHeight="1" spans="1:4">
      <c r="A299" s="158">
        <v>45834</v>
      </c>
      <c r="B299" s="161">
        <v>21.73</v>
      </c>
      <c r="C299" s="161">
        <v>21.15</v>
      </c>
      <c r="D299" s="161">
        <v>0.58</v>
      </c>
    </row>
    <row r="300" customHeight="1" spans="1:4">
      <c r="A300" s="158">
        <v>45841</v>
      </c>
      <c r="B300" s="161">
        <v>22.34</v>
      </c>
      <c r="C300" s="161">
        <v>21.45</v>
      </c>
      <c r="D300" s="161">
        <v>0.89</v>
      </c>
    </row>
    <row r="301" customHeight="1" spans="1:4">
      <c r="A301" s="158">
        <v>45848</v>
      </c>
      <c r="B301" s="161">
        <v>22.53</v>
      </c>
      <c r="C301" s="161">
        <v>21.21</v>
      </c>
      <c r="D301" s="161">
        <v>1.32</v>
      </c>
    </row>
    <row r="302" customHeight="1" spans="1:4">
      <c r="A302" s="158">
        <v>45855</v>
      </c>
      <c r="B302" s="161">
        <v>22</v>
      </c>
      <c r="C302" s="161">
        <v>20.8</v>
      </c>
      <c r="D302" s="161">
        <v>1.2</v>
      </c>
    </row>
    <row r="303" customHeight="1" spans="1:4">
      <c r="A303" s="158">
        <v>45862</v>
      </c>
      <c r="B303" s="161">
        <v>21.65</v>
      </c>
      <c r="C303" s="161">
        <v>20.62</v>
      </c>
      <c r="D303" s="161">
        <v>1.03</v>
      </c>
    </row>
    <row r="304" customHeight="1" spans="1:4">
      <c r="A304" s="158">
        <v>45869</v>
      </c>
      <c r="B304" s="161">
        <v>21.3</v>
      </c>
      <c r="C304" s="161">
        <v>20.42</v>
      </c>
      <c r="D304" s="161">
        <v>0.88</v>
      </c>
    </row>
    <row r="305" customHeight="1" spans="1:4">
      <c r="A305" s="158">
        <v>45876</v>
      </c>
      <c r="B305" s="161">
        <v>21.02</v>
      </c>
      <c r="C305" s="161">
        <v>20.21</v>
      </c>
      <c r="D305" s="161">
        <v>0.81</v>
      </c>
    </row>
    <row r="306" customHeight="1" spans="1:4">
      <c r="A306" s="158">
        <v>45883</v>
      </c>
      <c r="B306" s="161">
        <v>20.66</v>
      </c>
      <c r="C306" s="161">
        <v>19.95</v>
      </c>
      <c r="D306" s="161">
        <v>0.71</v>
      </c>
    </row>
    <row r="307" customHeight="1" spans="1:4">
      <c r="A307" s="158">
        <v>45890</v>
      </c>
      <c r="B307" s="161">
        <v>20.54</v>
      </c>
      <c r="C307" s="161">
        <v>19.91</v>
      </c>
      <c r="D307" s="161">
        <v>0.63</v>
      </c>
    </row>
    <row r="308" customHeight="1" spans="1:4">
      <c r="A308" s="158">
        <v>45897</v>
      </c>
      <c r="B308" s="161">
        <v>20.46</v>
      </c>
      <c r="C308" s="161">
        <v>19.81</v>
      </c>
      <c r="D308" s="161">
        <v>0.65</v>
      </c>
    </row>
    <row r="309" customHeight="1" spans="1:4">
      <c r="A309" s="158">
        <v>45904</v>
      </c>
      <c r="B309" s="161">
        <v>20.58</v>
      </c>
      <c r="C309" s="161">
        <v>19.86</v>
      </c>
      <c r="D309" s="161">
        <v>0.72</v>
      </c>
    </row>
    <row r="310" customHeight="1" spans="1:4">
      <c r="A310" s="158">
        <v>45911</v>
      </c>
      <c r="B310" s="161">
        <v>20.36</v>
      </c>
      <c r="C310" s="161">
        <v>19.63</v>
      </c>
      <c r="D310" s="161">
        <v>0.73</v>
      </c>
    </row>
    <row r="311" customHeight="1" spans="1:4">
      <c r="A311" s="158">
        <v>45918</v>
      </c>
      <c r="B311" s="161">
        <v>20.06</v>
      </c>
      <c r="C311" s="161">
        <v>19.42</v>
      </c>
      <c r="D311" s="161">
        <v>0.64</v>
      </c>
    </row>
    <row r="312" customHeight="1" spans="1:4">
      <c r="A312" s="158">
        <v>45925</v>
      </c>
      <c r="B312" s="161">
        <v>19.71</v>
      </c>
      <c r="C312" s="161">
        <v>19.13</v>
      </c>
      <c r="D312" s="161">
        <v>0.58</v>
      </c>
    </row>
    <row r="313" customHeight="1" spans="1:4">
      <c r="A313" s="158">
        <v>45939</v>
      </c>
      <c r="B313" s="161">
        <v>18.89</v>
      </c>
      <c r="C313" s="161">
        <v>18.43</v>
      </c>
      <c r="D313" s="161">
        <v>0.46</v>
      </c>
    </row>
    <row r="314" customHeight="1" spans="1:4">
      <c r="A314" s="158">
        <v>45946</v>
      </c>
      <c r="B314" s="161">
        <v>18.17</v>
      </c>
      <c r="C314" s="161">
        <v>17.92</v>
      </c>
      <c r="D314" s="161">
        <v>0.25</v>
      </c>
    </row>
    <row r="315" customHeight="1" spans="1:4">
      <c r="A315" s="158">
        <v>45953</v>
      </c>
      <c r="B315" s="161">
        <v>18.64</v>
      </c>
      <c r="C315" s="161">
        <v>18.04</v>
      </c>
      <c r="D315" s="161">
        <v>0.6</v>
      </c>
    </row>
    <row r="316" customHeight="1" spans="1:4">
      <c r="A316" s="158">
        <v>45960</v>
      </c>
      <c r="B316" s="161">
        <v>19.25</v>
      </c>
      <c r="C316" s="161">
        <v>18.47</v>
      </c>
      <c r="D316" s="161">
        <v>0.78</v>
      </c>
    </row>
    <row r="317" customHeight="1" spans="1:4">
      <c r="A317" s="158">
        <v>45967</v>
      </c>
      <c r="B317" s="164">
        <v>19.2</v>
      </c>
      <c r="C317" s="164">
        <v>18.31</v>
      </c>
      <c r="D317" s="164">
        <v>0.89</v>
      </c>
    </row>
    <row r="318" customHeight="1" spans="1:4">
      <c r="A318" s="158">
        <v>45974</v>
      </c>
      <c r="B318" s="161">
        <v>18.92</v>
      </c>
      <c r="C318" s="161">
        <v>18.13</v>
      </c>
      <c r="D318" s="161">
        <v>0.79</v>
      </c>
    </row>
    <row r="319" customHeight="1" spans="1:4">
      <c r="A319" s="158">
        <v>45981</v>
      </c>
      <c r="B319" s="161">
        <v>18.45</v>
      </c>
      <c r="C319" s="161">
        <v>17.69</v>
      </c>
      <c r="D319" s="161">
        <v>0.76</v>
      </c>
    </row>
    <row r="320" customHeight="1" spans="1:4">
      <c r="A320" s="158">
        <v>45988</v>
      </c>
      <c r="B320" s="161">
        <v>18.13</v>
      </c>
      <c r="C320" s="161">
        <v>17.44</v>
      </c>
      <c r="D320" s="161">
        <v>0.69</v>
      </c>
    </row>
    <row r="321" customHeight="1" spans="1:4">
      <c r="A321" s="158">
        <v>45995</v>
      </c>
      <c r="B321" s="161">
        <v>17.8</v>
      </c>
      <c r="C321" s="161">
        <v>17.08</v>
      </c>
      <c r="D321" s="161">
        <v>0.72</v>
      </c>
    </row>
    <row r="322" customHeight="1" spans="1:4">
      <c r="A322" s="158">
        <v>46002</v>
      </c>
      <c r="B322" s="161">
        <v>17.56</v>
      </c>
      <c r="C322" s="161">
        <v>16.98</v>
      </c>
      <c r="D322" s="161">
        <v>0.59</v>
      </c>
    </row>
    <row r="323" customHeight="1" spans="1:4">
      <c r="A323" s="158">
        <v>46009</v>
      </c>
      <c r="B323" s="161">
        <v>17.88</v>
      </c>
      <c r="C323" s="161">
        <v>17.23</v>
      </c>
      <c r="D323" s="161">
        <v>0.65</v>
      </c>
    </row>
    <row r="324" customHeight="1" spans="1:4">
      <c r="A324" s="158">
        <v>46016</v>
      </c>
      <c r="B324" s="161">
        <v>17.82</v>
      </c>
      <c r="C324" s="161">
        <v>17.15</v>
      </c>
      <c r="D324" s="161">
        <v>0.67</v>
      </c>
    </row>
    <row r="325" customHeight="1" spans="1:4">
      <c r="A325" s="158">
        <v>46023</v>
      </c>
      <c r="B325" s="161">
        <v>19.28</v>
      </c>
      <c r="C325" s="161">
        <v>18.03</v>
      </c>
      <c r="D325" s="161">
        <v>1.25</v>
      </c>
    </row>
    <row r="326" customHeight="1" spans="1:4">
      <c r="A326" s="158">
        <v>46030</v>
      </c>
      <c r="B326" s="161">
        <v>19.14</v>
      </c>
      <c r="C326" s="161">
        <v>17.79</v>
      </c>
      <c r="D326" s="161">
        <v>1.35</v>
      </c>
    </row>
    <row r="327" customHeight="1" spans="1:4">
      <c r="A327" s="158">
        <v>46037</v>
      </c>
      <c r="B327" s="161">
        <v>19.35</v>
      </c>
      <c r="C327" s="161">
        <v>17.88</v>
      </c>
      <c r="D327" s="161">
        <v>1.47</v>
      </c>
    </row>
    <row r="328" customHeight="1" spans="1:4">
      <c r="A328" s="158">
        <v>46044</v>
      </c>
      <c r="B328" s="161">
        <v>19.64</v>
      </c>
      <c r="C328" s="161">
        <v>18.07</v>
      </c>
      <c r="D328" s="161">
        <v>1.57</v>
      </c>
    </row>
    <row r="329" customHeight="1" spans="1:4">
      <c r="A329" s="158">
        <v>46051</v>
      </c>
      <c r="B329" s="161">
        <v>19.01</v>
      </c>
      <c r="C329" s="161">
        <v>17.59</v>
      </c>
      <c r="D329" s="161">
        <v>1.42</v>
      </c>
    </row>
    <row r="330" customHeight="1" spans="1:4">
      <c r="A330" s="158">
        <v>46058</v>
      </c>
      <c r="B330" s="161">
        <v>18.4</v>
      </c>
      <c r="C330" s="161">
        <v>17</v>
      </c>
      <c r="D330" s="161">
        <v>1.4</v>
      </c>
    </row>
    <row r="331" customHeight="1" spans="1:4">
      <c r="A331" s="158">
        <v>46065</v>
      </c>
      <c r="B331" s="161">
        <v>17.84</v>
      </c>
      <c r="C331" s="161">
        <v>16.66</v>
      </c>
      <c r="D331" s="161">
        <v>1.18</v>
      </c>
    </row>
    <row r="332" customHeight="1" spans="1:4">
      <c r="A332" s="158">
        <v>46079</v>
      </c>
      <c r="B332" s="161">
        <v>17.13</v>
      </c>
      <c r="C332" s="161">
        <v>15.99</v>
      </c>
      <c r="D332" s="161">
        <v>1.14</v>
      </c>
    </row>
    <row r="333" customHeight="1" spans="1:4">
      <c r="A333" s="158">
        <v>46086</v>
      </c>
      <c r="B333" s="161">
        <v>16.61</v>
      </c>
      <c r="C333" s="161">
        <v>15.67</v>
      </c>
      <c r="D333" s="161">
        <v>0.94</v>
      </c>
    </row>
    <row r="334" customHeight="1" spans="1:4">
      <c r="A334" s="158">
        <v>46093</v>
      </c>
      <c r="B334" s="161">
        <v>16.34</v>
      </c>
      <c r="C334" s="161">
        <v>15.51</v>
      </c>
      <c r="D334" s="161">
        <v>0.83</v>
      </c>
    </row>
    <row r="335" customHeight="1" spans="1:4">
      <c r="A335" s="158">
        <v>46100</v>
      </c>
      <c r="B335" s="161">
        <v>16.04</v>
      </c>
      <c r="C335" s="161">
        <v>15.32</v>
      </c>
      <c r="D335" s="161">
        <v>0.71</v>
      </c>
    </row>
    <row r="336" customHeight="1" spans="1:4">
      <c r="A336" s="158">
        <v>46107</v>
      </c>
      <c r="B336" s="161">
        <v>15.62</v>
      </c>
      <c r="C336" s="161">
        <v>15.08</v>
      </c>
      <c r="D336" s="161">
        <v>0.54</v>
      </c>
    </row>
    <row r="337" customHeight="1" spans="1:4">
      <c r="A337" s="158">
        <v>46114</v>
      </c>
      <c r="B337" s="161">
        <v>15.45</v>
      </c>
      <c r="C337" s="161">
        <v>14.94</v>
      </c>
      <c r="D337" s="161">
        <v>0.51</v>
      </c>
    </row>
    <row r="338" customHeight="1" spans="1:4">
      <c r="A338" s="158">
        <v>46121</v>
      </c>
      <c r="B338" s="161">
        <v>14.96</v>
      </c>
      <c r="C338" s="161">
        <v>14.74</v>
      </c>
      <c r="D338" s="161">
        <v>0.22</v>
      </c>
    </row>
    <row r="339" customHeight="1" spans="1:4">
      <c r="A339" s="158">
        <v>46128</v>
      </c>
      <c r="B339" s="161">
        <v>14.77</v>
      </c>
      <c r="C339" s="161">
        <v>14.61</v>
      </c>
      <c r="D339" s="161">
        <v>0.16</v>
      </c>
    </row>
    <row r="340" customHeight="1" spans="1:4">
      <c r="A340" s="158">
        <v>46135</v>
      </c>
      <c r="B340" s="161">
        <v>15.71</v>
      </c>
      <c r="C340" s="161">
        <v>15.16</v>
      </c>
      <c r="D340" s="161">
        <v>0.55</v>
      </c>
    </row>
    <row r="341" customHeight="1" spans="1:4">
      <c r="A341" s="158">
        <v>46142</v>
      </c>
      <c r="B341" s="161">
        <v>15.9</v>
      </c>
      <c r="C341" s="161">
        <v>15.26</v>
      </c>
      <c r="D341" s="161">
        <v>0.64</v>
      </c>
    </row>
    <row r="342" customHeight="1" spans="1:4">
      <c r="A342" s="158">
        <v>46149</v>
      </c>
      <c r="B342" s="161">
        <v>15.56</v>
      </c>
      <c r="C342" s="161">
        <v>15.12</v>
      </c>
      <c r="D342" s="161">
        <v>0.44</v>
      </c>
    </row>
    <row r="343" customHeight="1" spans="1:4">
      <c r="A343" s="158">
        <v>46156</v>
      </c>
      <c r="B343" s="161">
        <v>15.21</v>
      </c>
      <c r="C343" s="161">
        <v>14.95</v>
      </c>
      <c r="D343" s="161">
        <v>0.27</v>
      </c>
    </row>
    <row r="344" customHeight="1" spans="1:4">
      <c r="A344" s="158">
        <v>46163</v>
      </c>
      <c r="B344" s="161">
        <v>15.02352941</v>
      </c>
      <c r="C344" s="161">
        <v>14.82352941</v>
      </c>
      <c r="D344" s="161">
        <v>0.2</v>
      </c>
    </row>
    <row r="345" customHeight="1" spans="1:4">
      <c r="A345" s="158">
        <v>46170</v>
      </c>
      <c r="B345" s="161">
        <v>14.92</v>
      </c>
      <c r="C345" s="161">
        <v>14.62</v>
      </c>
      <c r="D345" s="161">
        <v>0.3</v>
      </c>
    </row>
    <row r="346" customHeight="1" spans="1:4">
      <c r="A346" s="158">
        <v>46177</v>
      </c>
      <c r="B346" s="161">
        <v>14.75</v>
      </c>
      <c r="C346" s="161">
        <v>14.52</v>
      </c>
      <c r="D346" s="161">
        <v>0.23</v>
      </c>
    </row>
    <row r="347" customHeight="1" spans="1:4">
      <c r="A347" s="158">
        <v>46184</v>
      </c>
      <c r="B347" s="161">
        <v>14.59</v>
      </c>
      <c r="C347" s="161">
        <v>14.35</v>
      </c>
      <c r="D347" s="161">
        <v>0.24</v>
      </c>
    </row>
    <row r="348" customHeight="1" spans="1:4">
      <c r="A348" s="158">
        <v>46191</v>
      </c>
      <c r="B348" s="161">
        <v>14.74</v>
      </c>
      <c r="C348" s="161">
        <v>14.49</v>
      </c>
      <c r="D348" s="161">
        <v>0.25</v>
      </c>
    </row>
    <row r="349" customHeight="1" spans="1:4">
      <c r="A349" s="158">
        <v>46198</v>
      </c>
      <c r="B349" s="161">
        <v>14.76</v>
      </c>
      <c r="C349" s="161">
        <v>14.48</v>
      </c>
      <c r="D349" s="161">
        <v>0.28</v>
      </c>
    </row>
    <row r="350" customHeight="1" spans="1:4">
      <c r="A350" s="158">
        <v>46205</v>
      </c>
      <c r="B350" s="161">
        <v>15.18</v>
      </c>
      <c r="C350" s="161">
        <v>14.63</v>
      </c>
      <c r="D350" s="161">
        <v>0.55</v>
      </c>
    </row>
    <row r="351" customHeight="1" spans="1:4">
      <c r="A351" s="158">
        <v>46212</v>
      </c>
      <c r="B351" s="161">
        <v>15.91</v>
      </c>
      <c r="C351" s="161">
        <v>15.14</v>
      </c>
      <c r="D351" s="161">
        <v>0.77</v>
      </c>
    </row>
    <row r="352" customHeight="1" spans="1:4">
      <c r="A352" s="158">
        <v>46219</v>
      </c>
      <c r="B352" s="161">
        <v>15.49</v>
      </c>
      <c r="C352" s="161">
        <v>14.84</v>
      </c>
      <c r="D352" s="161">
        <v>0.65</v>
      </c>
    </row>
    <row r="353" customHeight="1" spans="1:4">
      <c r="A353" s="158">
        <v>46226</v>
      </c>
      <c r="B353" s="161">
        <v>15.06</v>
      </c>
      <c r="C353" s="161">
        <v>14.35</v>
      </c>
      <c r="D353" s="161">
        <v>0.71</v>
      </c>
    </row>
    <row r="354" customHeight="1" spans="1:4">
      <c r="A354" s="158">
        <v>46233</v>
      </c>
      <c r="B354" s="161">
        <v>14.67</v>
      </c>
      <c r="C354" s="161">
        <v>14.08</v>
      </c>
      <c r="D354" s="161">
        <v>0.59</v>
      </c>
    </row>
    <row r="355" customHeight="1" spans="1:4">
      <c r="A355" s="158">
        <v>46240</v>
      </c>
      <c r="B355" s="161">
        <v>14.74</v>
      </c>
      <c r="C355" s="161">
        <v>14.1</v>
      </c>
      <c r="D355" s="161">
        <v>0.64</v>
      </c>
    </row>
    <row r="356" customHeight="1" spans="1:4">
      <c r="A356" s="158">
        <v>46247</v>
      </c>
      <c r="B356" s="161">
        <v>14.89</v>
      </c>
      <c r="C356" s="161">
        <v>14.08</v>
      </c>
      <c r="D356" s="161">
        <v>0.81</v>
      </c>
    </row>
    <row r="357" customHeight="1" spans="1:4">
      <c r="A357" s="158">
        <v>46254</v>
      </c>
      <c r="B357" s="161">
        <v>15.14</v>
      </c>
      <c r="C357" s="161">
        <v>14.22</v>
      </c>
      <c r="D357" s="161">
        <v>0.92</v>
      </c>
    </row>
    <row r="358" customHeight="1" spans="1:4">
      <c r="A358" s="158">
        <v>46261</v>
      </c>
      <c r="B358" s="161">
        <v>15.06</v>
      </c>
      <c r="C358" s="161">
        <v>14.19</v>
      </c>
      <c r="D358" s="161">
        <v>0.87</v>
      </c>
    </row>
    <row r="359" customHeight="1" spans="1:4">
      <c r="A359" s="158">
        <v>46268</v>
      </c>
      <c r="B359" s="161">
        <v>15.05</v>
      </c>
      <c r="C359" s="161">
        <v>14.25</v>
      </c>
      <c r="D359" s="161">
        <v>0.8</v>
      </c>
    </row>
    <row r="360" customHeight="1" spans="1:4">
      <c r="A360" s="158">
        <v>46275</v>
      </c>
      <c r="B360" s="161">
        <v>14.98</v>
      </c>
      <c r="C360" s="161">
        <v>14.26</v>
      </c>
      <c r="D360" s="161">
        <v>0.72</v>
      </c>
    </row>
    <row r="361" customHeight="1" spans="1:4">
      <c r="A361" s="158">
        <v>46282</v>
      </c>
      <c r="B361" s="161">
        <v>14.78</v>
      </c>
      <c r="C361" s="161">
        <v>14.08</v>
      </c>
      <c r="D361" s="161">
        <v>0.7</v>
      </c>
    </row>
    <row r="362" customHeight="1" spans="1:4">
      <c r="A362" s="158">
        <v>46289</v>
      </c>
      <c r="B362" s="161">
        <v>14.55</v>
      </c>
      <c r="C362" s="161">
        <v>13.92</v>
      </c>
      <c r="D362" s="161">
        <v>0.63</v>
      </c>
    </row>
  </sheetData>
  <pageMargins left="0.75" right="0.75" top="1" bottom="1" header="0.5" footer="0.5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64"/>
  <sheetViews>
    <sheetView workbookViewId="0">
      <pane xSplit="1" ySplit="2" topLeftCell="B39" activePane="bottomRight" state="frozen"/>
      <selection/>
      <selection pane="topRight"/>
      <selection pane="bottomLeft"/>
      <selection pane="bottomRight" activeCell="I54" sqref="I54"/>
    </sheetView>
  </sheetViews>
  <sheetFormatPr defaultColWidth="13.125" defaultRowHeight="20" customHeight="1" outlineLevelCol="1"/>
  <cols>
    <col min="1" max="1" width="13.125" style="149" customWidth="1"/>
    <col min="2" max="2" width="13.125" style="150" customWidth="1"/>
    <col min="3" max="16366" width="13.125" customWidth="1"/>
  </cols>
  <sheetData>
    <row r="2" s="118" customFormat="1" ht="30" customHeight="1" spans="1:2">
      <c r="A2" s="151"/>
      <c r="B2" s="152" t="s">
        <v>89</v>
      </c>
    </row>
    <row r="3" s="89" customFormat="1" customHeight="1" spans="1:2">
      <c r="A3" s="148">
        <v>44378</v>
      </c>
      <c r="B3" s="153">
        <v>199150</v>
      </c>
    </row>
    <row r="4" s="89" customFormat="1" customHeight="1" spans="1:2">
      <c r="A4" s="148">
        <v>44409</v>
      </c>
      <c r="B4" s="153">
        <v>210984</v>
      </c>
    </row>
    <row r="5" s="89" customFormat="1" customHeight="1" spans="1:2">
      <c r="A5" s="148">
        <v>44440</v>
      </c>
      <c r="B5" s="153">
        <v>219780</v>
      </c>
    </row>
    <row r="6" s="89" customFormat="1" customHeight="1" spans="1:2">
      <c r="A6" s="148">
        <v>44470</v>
      </c>
      <c r="B6" s="153">
        <v>215286</v>
      </c>
    </row>
    <row r="7" s="89" customFormat="1" customHeight="1" spans="1:2">
      <c r="A7" s="148">
        <v>44501</v>
      </c>
      <c r="B7" s="153">
        <v>210769</v>
      </c>
    </row>
    <row r="8" s="89" customFormat="1" customHeight="1" spans="1:2">
      <c r="A8" s="148">
        <v>44531</v>
      </c>
      <c r="B8" s="153">
        <v>189143</v>
      </c>
    </row>
    <row r="9" s="110" customFormat="1" customHeight="1" spans="1:2">
      <c r="A9" s="148">
        <v>44562</v>
      </c>
      <c r="B9" s="153">
        <v>149635</v>
      </c>
    </row>
    <row r="10" s="110" customFormat="1" ht="18" customHeight="1" spans="1:2">
      <c r="A10" s="148">
        <v>44593</v>
      </c>
      <c r="B10" s="153">
        <v>157861</v>
      </c>
    </row>
    <row r="11" s="110" customFormat="1" ht="18" customHeight="1" spans="1:2">
      <c r="A11" s="148">
        <v>44621</v>
      </c>
      <c r="B11" s="153">
        <v>166689</v>
      </c>
    </row>
    <row r="12" s="125" customFormat="1" customHeight="1" spans="1:2">
      <c r="A12" s="148">
        <v>44652</v>
      </c>
      <c r="B12" s="153">
        <v>148385</v>
      </c>
    </row>
    <row r="13" s="110" customFormat="1" customHeight="1" spans="1:2">
      <c r="A13" s="148">
        <v>44682</v>
      </c>
      <c r="B13" s="153">
        <v>139980</v>
      </c>
    </row>
    <row r="14" s="119" customFormat="1" customHeight="1" spans="1:2">
      <c r="A14" s="148">
        <v>44713</v>
      </c>
      <c r="B14" s="153">
        <v>133470</v>
      </c>
    </row>
    <row r="15" s="8" customFormat="1" customHeight="1" spans="1:2">
      <c r="A15" s="148">
        <v>44743</v>
      </c>
      <c r="B15" s="153">
        <v>125541</v>
      </c>
    </row>
    <row r="16" customHeight="1" spans="1:2">
      <c r="A16" s="148">
        <v>44774</v>
      </c>
      <c r="B16" s="153">
        <v>123455</v>
      </c>
    </row>
    <row r="17" customHeight="1" spans="1:2">
      <c r="A17" s="148">
        <v>44805</v>
      </c>
      <c r="B17" s="153">
        <v>140150</v>
      </c>
    </row>
    <row r="18" customHeight="1" spans="1:2">
      <c r="A18" s="148">
        <v>44835</v>
      </c>
      <c r="B18" s="153">
        <v>138157</v>
      </c>
    </row>
    <row r="19" customHeight="1" spans="1:2">
      <c r="A19" s="148">
        <v>44866</v>
      </c>
      <c r="B19" s="153">
        <v>141299</v>
      </c>
    </row>
    <row r="20" customHeight="1" spans="1:2">
      <c r="A20" s="148">
        <v>44896</v>
      </c>
      <c r="B20" s="153">
        <v>146423</v>
      </c>
    </row>
    <row r="21" customHeight="1" spans="1:2">
      <c r="A21" s="148">
        <v>44927</v>
      </c>
      <c r="B21" s="153">
        <v>165927</v>
      </c>
    </row>
    <row r="22" customHeight="1" spans="1:2">
      <c r="A22" s="148">
        <v>44958</v>
      </c>
      <c r="B22" s="153">
        <v>177553</v>
      </c>
    </row>
    <row r="23" customHeight="1" spans="1:2">
      <c r="A23" s="148">
        <v>44986</v>
      </c>
      <c r="B23" s="153">
        <v>179133</v>
      </c>
    </row>
    <row r="24" customHeight="1" spans="1:2">
      <c r="A24" s="148">
        <v>45017</v>
      </c>
      <c r="B24" s="153">
        <v>167259</v>
      </c>
    </row>
    <row r="25" customHeight="1" spans="1:2">
      <c r="A25" s="148">
        <v>45047</v>
      </c>
      <c r="B25" s="153">
        <v>172012</v>
      </c>
    </row>
    <row r="26" customHeight="1" spans="1:2">
      <c r="A26" s="148">
        <v>45078</v>
      </c>
      <c r="B26" s="153">
        <v>147261</v>
      </c>
    </row>
    <row r="27" customHeight="1" spans="1:2">
      <c r="A27" s="148">
        <v>45108</v>
      </c>
      <c r="B27" s="153">
        <v>143897</v>
      </c>
    </row>
    <row r="28" customHeight="1" spans="1:2">
      <c r="A28" s="148">
        <v>45139</v>
      </c>
      <c r="B28" s="103">
        <v>143935</v>
      </c>
    </row>
    <row r="29" customHeight="1" spans="1:2">
      <c r="A29" s="148">
        <v>45170</v>
      </c>
      <c r="B29" s="103">
        <v>139184</v>
      </c>
    </row>
    <row r="30" customHeight="1" spans="1:2">
      <c r="A30" s="148">
        <v>45200</v>
      </c>
      <c r="B30" s="103">
        <v>160953</v>
      </c>
    </row>
    <row r="31" customHeight="1" spans="1:2">
      <c r="A31" s="148">
        <v>45231</v>
      </c>
      <c r="B31" s="103">
        <v>174926</v>
      </c>
    </row>
    <row r="32" customHeight="1" spans="1:2">
      <c r="A32" s="148">
        <v>45261</v>
      </c>
      <c r="B32" s="103">
        <v>164397</v>
      </c>
    </row>
    <row r="33" customHeight="1" spans="1:2">
      <c r="A33" s="148">
        <v>45292</v>
      </c>
      <c r="B33" s="103">
        <v>116339</v>
      </c>
    </row>
    <row r="34" customHeight="1" spans="1:2">
      <c r="A34" s="148">
        <v>45323</v>
      </c>
      <c r="B34" s="103">
        <v>63863</v>
      </c>
    </row>
    <row r="35" customHeight="1" spans="1:2">
      <c r="A35" s="148">
        <v>45352</v>
      </c>
      <c r="B35" s="103">
        <v>102163</v>
      </c>
    </row>
    <row r="36" customHeight="1" spans="1:2">
      <c r="A36" s="148">
        <v>45383</v>
      </c>
      <c r="B36" s="103">
        <v>80594</v>
      </c>
    </row>
    <row r="37" customHeight="1" spans="1:2">
      <c r="A37" s="148">
        <v>45413</v>
      </c>
      <c r="B37" s="103">
        <v>78867</v>
      </c>
    </row>
    <row r="38" customHeight="1" spans="1:2">
      <c r="A38" s="148">
        <v>45444</v>
      </c>
      <c r="B38" s="103">
        <v>80405</v>
      </c>
    </row>
    <row r="39" customHeight="1" spans="1:2">
      <c r="A39" s="148">
        <v>45474</v>
      </c>
      <c r="B39" s="103">
        <v>84482</v>
      </c>
    </row>
    <row r="40" customHeight="1" spans="1:2">
      <c r="A40" s="148">
        <v>45505</v>
      </c>
      <c r="B40" s="103">
        <v>85291</v>
      </c>
    </row>
    <row r="41" customHeight="1" spans="1:2">
      <c r="A41" s="148">
        <v>45536</v>
      </c>
      <c r="B41" s="103">
        <v>82493</v>
      </c>
    </row>
    <row r="42" customHeight="1" spans="1:2">
      <c r="A42" s="148">
        <v>45566</v>
      </c>
      <c r="B42" s="103">
        <v>85829</v>
      </c>
    </row>
    <row r="43" customHeight="1" spans="1:2">
      <c r="A43" s="148">
        <v>45597</v>
      </c>
      <c r="B43" s="103">
        <v>96308</v>
      </c>
    </row>
    <row r="44" customHeight="1" spans="1:2">
      <c r="A44" s="148">
        <v>45627</v>
      </c>
      <c r="B44" s="154">
        <v>97695</v>
      </c>
    </row>
    <row r="45" customHeight="1" spans="1:2">
      <c r="A45" s="148">
        <v>45658</v>
      </c>
      <c r="B45" s="103">
        <v>79630</v>
      </c>
    </row>
    <row r="46" customHeight="1" spans="1:2">
      <c r="A46" s="148">
        <v>45689</v>
      </c>
      <c r="B46" s="154">
        <v>95329</v>
      </c>
    </row>
    <row r="47" customHeight="1" spans="1:2">
      <c r="A47" s="148">
        <v>45717</v>
      </c>
      <c r="B47" s="103">
        <v>106908</v>
      </c>
    </row>
    <row r="48" customHeight="1" spans="1:2">
      <c r="A48" s="148">
        <v>45748</v>
      </c>
      <c r="B48" s="154">
        <v>100479</v>
      </c>
    </row>
    <row r="49" customHeight="1" spans="1:2">
      <c r="A49" s="148">
        <v>45778</v>
      </c>
      <c r="B49" s="103">
        <v>101844</v>
      </c>
    </row>
    <row r="50" customHeight="1" spans="1:2">
      <c r="A50" s="148">
        <v>45809</v>
      </c>
      <c r="B50" s="154">
        <v>104278</v>
      </c>
    </row>
    <row r="51" customHeight="1" spans="1:2">
      <c r="A51" s="148">
        <v>45839</v>
      </c>
      <c r="B51" s="154">
        <v>103214</v>
      </c>
    </row>
    <row r="52" customHeight="1" spans="1:2">
      <c r="A52" s="148">
        <v>45870</v>
      </c>
      <c r="B52" s="154">
        <v>110133</v>
      </c>
    </row>
    <row r="53" customHeight="1" spans="1:2">
      <c r="A53" s="148">
        <v>45901</v>
      </c>
      <c r="B53" s="154">
        <v>130104</v>
      </c>
    </row>
    <row r="54" customHeight="1" spans="1:2">
      <c r="A54" s="148">
        <v>45931</v>
      </c>
      <c r="B54" s="154">
        <v>146248</v>
      </c>
    </row>
    <row r="55" customHeight="1" spans="1:2">
      <c r="A55" s="148">
        <v>45962</v>
      </c>
      <c r="B55" s="154">
        <v>140914</v>
      </c>
    </row>
    <row r="56" customHeight="1" spans="1:2">
      <c r="A56" s="148">
        <v>45992</v>
      </c>
      <c r="B56" s="154">
        <v>133501</v>
      </c>
    </row>
    <row r="57" customHeight="1" spans="1:2">
      <c r="A57" s="148">
        <v>46023</v>
      </c>
      <c r="B57" s="154">
        <v>108831</v>
      </c>
    </row>
    <row r="58" customHeight="1" spans="1:2">
      <c r="A58" s="148">
        <v>46054</v>
      </c>
      <c r="B58" s="154">
        <v>76891</v>
      </c>
    </row>
    <row r="59" customHeight="1" spans="1:2">
      <c r="A59" s="148">
        <v>46082</v>
      </c>
      <c r="B59" s="154">
        <v>122139</v>
      </c>
    </row>
    <row r="60" customHeight="1" spans="1:2">
      <c r="A60" s="148">
        <v>46113</v>
      </c>
      <c r="B60" s="154">
        <v>113349</v>
      </c>
    </row>
    <row r="61" customHeight="1" spans="1:2">
      <c r="A61" s="148">
        <v>46143</v>
      </c>
      <c r="B61" s="154">
        <v>123842</v>
      </c>
    </row>
    <row r="62" customHeight="1" spans="1:2">
      <c r="A62" s="148">
        <v>46174</v>
      </c>
      <c r="B62" s="154">
        <v>125624</v>
      </c>
    </row>
    <row r="63" customHeight="1" spans="1:2">
      <c r="A63" s="109">
        <v>46204</v>
      </c>
      <c r="B63" s="154">
        <v>118655</v>
      </c>
    </row>
    <row r="64" customHeight="1" spans="1:2">
      <c r="A64" s="148">
        <v>46235</v>
      </c>
      <c r="B64" s="154">
        <v>141229</v>
      </c>
    </row>
  </sheetData>
  <pageMargins left="0.75" right="0.75" top="1" bottom="1" header="0.5" footer="0.5"/>
  <headerFooter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132"/>
  <sheetViews>
    <sheetView workbookViewId="0">
      <pane xSplit="1" ySplit="2" topLeftCell="B107" activePane="bottomRight" state="frozen"/>
      <selection/>
      <selection pane="topRight"/>
      <selection pane="bottomLeft"/>
      <selection pane="bottomRight" activeCell="B132" sqref="B132"/>
    </sheetView>
  </sheetViews>
  <sheetFormatPr defaultColWidth="13.125" defaultRowHeight="20" customHeight="1"/>
  <cols>
    <col min="1" max="1" width="13.125" style="92" customWidth="1"/>
    <col min="2" max="16384" width="13.125" customWidth="1"/>
  </cols>
  <sheetData>
    <row r="2" s="8" customFormat="1" ht="30" customHeight="1" spans="1:11">
      <c r="A2" s="113" t="s">
        <v>90</v>
      </c>
      <c r="B2" s="113"/>
    </row>
    <row r="3" customHeight="1" spans="1:11">
      <c r="A3" s="109">
        <v>42309</v>
      </c>
      <c r="B3" s="23">
        <v>0.43173017342135</v>
      </c>
    </row>
    <row r="4" customHeight="1" spans="1:11">
      <c r="A4" s="109">
        <v>42339</v>
      </c>
      <c r="B4" s="23">
        <v>0.444978907708917</v>
      </c>
    </row>
    <row r="5" customHeight="1" spans="1:11">
      <c r="A5" s="109">
        <v>42370</v>
      </c>
      <c r="B5" s="23">
        <v>0.565959376223608</v>
      </c>
      <c r="D5" s="23">
        <v>0.565959376223608</v>
      </c>
      <c r="E5" s="23">
        <v>0.429478003246753</v>
      </c>
      <c r="F5" s="23">
        <v>0.454503881779985</v>
      </c>
      <c r="G5" s="23">
        <v>0.684</v>
      </c>
      <c r="H5" s="144">
        <v>0.483</v>
      </c>
      <c r="I5" s="23">
        <v>0.608</v>
      </c>
      <c r="J5" s="23">
        <v>0.61</v>
      </c>
      <c r="K5" s="23">
        <v>0.518</v>
      </c>
    </row>
    <row r="6" customHeight="1" spans="1:11">
      <c r="A6" s="109">
        <v>42401</v>
      </c>
      <c r="B6" s="23">
        <v>0.246009937139839</v>
      </c>
      <c r="D6" s="23">
        <v>0.246009937139839</v>
      </c>
      <c r="E6" s="23">
        <v>0.221925748556999</v>
      </c>
      <c r="F6" s="23">
        <v>0.3219257</v>
      </c>
      <c r="G6" s="23">
        <v>0.4835</v>
      </c>
      <c r="H6" s="23">
        <v>0.185</v>
      </c>
      <c r="I6" s="23">
        <v>0.3146</v>
      </c>
      <c r="J6" s="23">
        <v>0.237</v>
      </c>
      <c r="K6" s="23">
        <v>0.36</v>
      </c>
    </row>
    <row r="7" customHeight="1" spans="1:11">
      <c r="A7" s="109">
        <v>42430</v>
      </c>
      <c r="B7" s="23">
        <v>0.34484793629573</v>
      </c>
      <c r="D7" s="23">
        <v>0.34484793629573</v>
      </c>
      <c r="E7" s="23">
        <v>0.359696020074696</v>
      </c>
      <c r="F7" s="23">
        <v>0.446</v>
      </c>
      <c r="G7" s="23">
        <v>0.56</v>
      </c>
      <c r="H7" s="23">
        <v>0.191</v>
      </c>
      <c r="I7" s="23">
        <v>0.2309</v>
      </c>
      <c r="J7" s="145">
        <v>0.468</v>
      </c>
      <c r="K7" s="23">
        <v>0.3702</v>
      </c>
    </row>
    <row r="8" customHeight="1" spans="1:11">
      <c r="A8" s="109">
        <v>42461</v>
      </c>
      <c r="B8" s="23">
        <v>0.370493645205557</v>
      </c>
      <c r="D8" s="23">
        <v>0.370493645205557</v>
      </c>
      <c r="E8" s="23">
        <v>0.383062147737883</v>
      </c>
      <c r="F8" s="23">
        <v>0.5897</v>
      </c>
      <c r="G8" s="23">
        <v>0.489</v>
      </c>
      <c r="H8" s="23">
        <v>0.2</v>
      </c>
      <c r="I8" s="23">
        <v>0.3329</v>
      </c>
      <c r="J8" s="23">
        <v>0.4523</v>
      </c>
      <c r="K8" s="23">
        <v>0.435</v>
      </c>
    </row>
    <row r="9" customHeight="1" spans="1:11">
      <c r="A9" s="109">
        <v>42491</v>
      </c>
      <c r="B9" s="23">
        <v>0.376974647242735</v>
      </c>
      <c r="D9" s="23">
        <v>0.376974647242735</v>
      </c>
      <c r="E9" s="23">
        <v>0.431716120766488</v>
      </c>
      <c r="F9" s="23">
        <v>0.4717161</v>
      </c>
      <c r="G9" s="23">
        <v>0.417</v>
      </c>
      <c r="H9" s="23">
        <v>0.232</v>
      </c>
      <c r="I9" s="23">
        <v>0.3936</v>
      </c>
      <c r="J9" s="23">
        <v>0.486</v>
      </c>
      <c r="K9" s="23">
        <v>0.415</v>
      </c>
    </row>
    <row r="10" customHeight="1" spans="1:11">
      <c r="A10" s="109">
        <v>42522</v>
      </c>
      <c r="B10" s="23">
        <v>0.342814334521687</v>
      </c>
      <c r="D10" s="23">
        <v>0.342814334521687</v>
      </c>
      <c r="E10" s="23">
        <v>0.402710549825991</v>
      </c>
      <c r="F10" s="23">
        <v>0.402710549825991</v>
      </c>
      <c r="G10" s="23">
        <v>0.485</v>
      </c>
      <c r="H10" s="23">
        <v>0.2008</v>
      </c>
      <c r="I10" s="23">
        <v>0.4898</v>
      </c>
      <c r="J10" s="23">
        <v>0.4923</v>
      </c>
      <c r="K10" s="23">
        <v>0.465</v>
      </c>
    </row>
    <row r="11" customHeight="1" spans="1:11">
      <c r="A11" s="109">
        <v>42552</v>
      </c>
      <c r="B11" s="23">
        <v>0.355358660130719</v>
      </c>
      <c r="D11" s="23">
        <v>0.355358660130719</v>
      </c>
      <c r="E11" s="23">
        <v>0.395059096850861</v>
      </c>
      <c r="F11" s="23">
        <v>0.3454</v>
      </c>
      <c r="G11" s="23">
        <v>0.492</v>
      </c>
      <c r="H11" s="23">
        <v>0.188</v>
      </c>
      <c r="I11" s="23">
        <v>0.535</v>
      </c>
      <c r="J11" s="23">
        <v>0.31</v>
      </c>
      <c r="K11" s="23">
        <v>0.49</v>
      </c>
    </row>
    <row r="12" customHeight="1" spans="1:11">
      <c r="A12" s="109">
        <v>42583</v>
      </c>
      <c r="B12" s="23">
        <v>0.364924633307869</v>
      </c>
      <c r="D12" s="23">
        <v>0.364924633307869</v>
      </c>
      <c r="E12" s="23">
        <v>0.410437554643069</v>
      </c>
      <c r="F12" s="23">
        <v>0.3004376</v>
      </c>
      <c r="G12" s="23">
        <v>0.431</v>
      </c>
      <c r="H12" s="23">
        <v>0.197</v>
      </c>
      <c r="I12" s="23">
        <v>0.59</v>
      </c>
      <c r="J12" s="23">
        <v>0.325</v>
      </c>
      <c r="K12" s="23">
        <v>0.473</v>
      </c>
    </row>
    <row r="13" customHeight="1" spans="1:11">
      <c r="A13" s="109">
        <v>42614</v>
      </c>
      <c r="B13" s="23">
        <v>0.396640448603684</v>
      </c>
      <c r="D13" s="23">
        <v>0.396640448603684</v>
      </c>
      <c r="E13" s="23">
        <v>0.440410741872507</v>
      </c>
      <c r="F13" s="23">
        <v>0.3604107</v>
      </c>
      <c r="G13" s="23">
        <v>0.39</v>
      </c>
      <c r="H13" s="23">
        <v>0.31</v>
      </c>
      <c r="I13" s="23">
        <v>0.6002</v>
      </c>
      <c r="J13" s="23">
        <v>0.369</v>
      </c>
    </row>
    <row r="14" customHeight="1" spans="1:11">
      <c r="A14" s="109">
        <v>42644</v>
      </c>
      <c r="B14" s="23">
        <v>0.307272595174433</v>
      </c>
      <c r="D14" s="23">
        <v>0.307272595174433</v>
      </c>
      <c r="E14" s="23">
        <v>0.317607054261098</v>
      </c>
      <c r="F14" s="23">
        <v>0.317607054261098</v>
      </c>
      <c r="G14" s="23">
        <v>0.288</v>
      </c>
      <c r="H14" s="23">
        <v>0.305</v>
      </c>
      <c r="I14" s="23">
        <v>0.646</v>
      </c>
      <c r="J14" s="23">
        <v>0.3922</v>
      </c>
    </row>
    <row r="15" customHeight="1" spans="1:11">
      <c r="A15" s="109">
        <v>42675</v>
      </c>
      <c r="B15" s="23">
        <v>0.38571599651982</v>
      </c>
      <c r="D15" s="23">
        <v>0.38571599651982</v>
      </c>
      <c r="E15" s="23">
        <v>0.447580290297937</v>
      </c>
      <c r="F15" s="23">
        <v>0.3375803</v>
      </c>
      <c r="G15" s="23">
        <v>0.321</v>
      </c>
      <c r="H15" s="23">
        <v>0.43</v>
      </c>
      <c r="I15" s="23">
        <v>0.6092</v>
      </c>
      <c r="J15" s="23">
        <v>0.4012</v>
      </c>
    </row>
    <row r="16" customHeight="1" spans="1:11">
      <c r="A16" s="109">
        <v>42705</v>
      </c>
      <c r="B16" s="23">
        <v>0.467494795645531</v>
      </c>
      <c r="D16" s="23">
        <v>0.467494795645531</v>
      </c>
      <c r="E16" s="23">
        <v>0.479265187059672</v>
      </c>
      <c r="F16" s="23">
        <v>0.43</v>
      </c>
      <c r="G16" s="23">
        <v>0.386</v>
      </c>
      <c r="H16" s="23">
        <v>0.5</v>
      </c>
      <c r="I16" s="23">
        <v>0.685</v>
      </c>
      <c r="J16" s="23">
        <v>0.56</v>
      </c>
    </row>
    <row r="17" customHeight="1" spans="1:2">
      <c r="A17" s="109">
        <v>42736</v>
      </c>
      <c r="B17" s="23">
        <v>0.429478003246753</v>
      </c>
    </row>
    <row r="18" customHeight="1" spans="1:2">
      <c r="A18" s="109">
        <v>42767</v>
      </c>
      <c r="B18" s="23">
        <v>0.221925748556999</v>
      </c>
    </row>
    <row r="19" customHeight="1" spans="1:2">
      <c r="A19" s="109">
        <v>42795</v>
      </c>
      <c r="B19" s="23">
        <v>0.359696020074696</v>
      </c>
    </row>
    <row r="20" customHeight="1" spans="1:2">
      <c r="A20" s="109">
        <v>42826</v>
      </c>
      <c r="B20" s="23">
        <v>0.383062147737883</v>
      </c>
    </row>
    <row r="21" customHeight="1" spans="1:2">
      <c r="A21" s="109">
        <v>42856</v>
      </c>
      <c r="B21" s="23">
        <v>0.431716120766488</v>
      </c>
    </row>
    <row r="22" customHeight="1" spans="1:2">
      <c r="A22" s="109">
        <v>42887</v>
      </c>
      <c r="B22" s="23">
        <v>0.402710549825991</v>
      </c>
    </row>
    <row r="23" customHeight="1" spans="1:2">
      <c r="A23" s="109">
        <v>42917</v>
      </c>
      <c r="B23" s="23">
        <v>0.395059096850861</v>
      </c>
    </row>
    <row r="24" customHeight="1" spans="1:2">
      <c r="A24" s="109">
        <v>42948</v>
      </c>
      <c r="B24" s="23">
        <v>0.410437554643069</v>
      </c>
    </row>
    <row r="25" customHeight="1" spans="1:2">
      <c r="A25" s="109">
        <v>42979</v>
      </c>
      <c r="B25" s="23">
        <v>0.440410741872507</v>
      </c>
    </row>
    <row r="26" customHeight="1" spans="1:2">
      <c r="A26" s="109">
        <v>43009</v>
      </c>
      <c r="B26" s="23">
        <v>0.317607054261098</v>
      </c>
    </row>
    <row r="27" customHeight="1" spans="1:2">
      <c r="A27" s="109">
        <v>43040</v>
      </c>
      <c r="B27" s="23">
        <v>0.447580290297937</v>
      </c>
    </row>
    <row r="28" customHeight="1" spans="1:2">
      <c r="A28" s="109">
        <v>43070</v>
      </c>
      <c r="B28" s="23">
        <v>0.479265187059672</v>
      </c>
    </row>
    <row r="29" customHeight="1" spans="1:2">
      <c r="A29" s="109">
        <v>43101</v>
      </c>
      <c r="B29" s="23">
        <v>0.454503881779985</v>
      </c>
    </row>
    <row r="30" customHeight="1" spans="1:2">
      <c r="A30" s="109">
        <v>43132</v>
      </c>
      <c r="B30" s="23">
        <v>0.3219257</v>
      </c>
    </row>
    <row r="31" customHeight="1" spans="1:2">
      <c r="A31" s="109">
        <v>43160</v>
      </c>
      <c r="B31" s="23">
        <v>0.446</v>
      </c>
    </row>
    <row r="32" customHeight="1" spans="1:2">
      <c r="A32" s="109">
        <v>43191</v>
      </c>
      <c r="B32" s="23">
        <v>0.5897</v>
      </c>
    </row>
    <row r="33" customHeight="1" spans="1:2">
      <c r="A33" s="109">
        <v>43221</v>
      </c>
      <c r="B33" s="23">
        <v>0.4717161</v>
      </c>
    </row>
    <row r="34" customHeight="1" spans="1:2">
      <c r="A34" s="109">
        <v>43252</v>
      </c>
      <c r="B34" s="23">
        <v>0.402710549825991</v>
      </c>
    </row>
    <row r="35" customHeight="1" spans="1:2">
      <c r="A35" s="109">
        <v>43282</v>
      </c>
      <c r="B35" s="23">
        <v>0.3454</v>
      </c>
    </row>
    <row r="36" customHeight="1" spans="1:2">
      <c r="A36" s="109">
        <v>43313</v>
      </c>
      <c r="B36" s="23">
        <v>0.3004376</v>
      </c>
    </row>
    <row r="37" customHeight="1" spans="1:2">
      <c r="A37" s="109">
        <v>43344</v>
      </c>
      <c r="B37" s="23">
        <v>0.3604107</v>
      </c>
    </row>
    <row r="38" customHeight="1" spans="1:2">
      <c r="A38" s="109">
        <v>43374</v>
      </c>
      <c r="B38" s="23">
        <v>0.317607054261098</v>
      </c>
    </row>
    <row r="39" customHeight="1" spans="1:2">
      <c r="A39" s="109">
        <v>43405</v>
      </c>
      <c r="B39" s="23">
        <v>0.3375803</v>
      </c>
    </row>
    <row r="40" customHeight="1" spans="1:2">
      <c r="A40" s="109">
        <v>43435</v>
      </c>
      <c r="B40" s="23">
        <v>0.43</v>
      </c>
    </row>
    <row r="41" customHeight="1" spans="1:2">
      <c r="A41" s="109">
        <v>43466</v>
      </c>
      <c r="B41" s="23">
        <v>0.684</v>
      </c>
    </row>
    <row r="42" customHeight="1" spans="1:2">
      <c r="A42" s="109">
        <v>43497</v>
      </c>
      <c r="B42" s="23">
        <v>0.4835</v>
      </c>
    </row>
    <row r="43" customHeight="1" spans="1:2">
      <c r="A43" s="109">
        <v>43525</v>
      </c>
      <c r="B43" s="23">
        <v>0.56</v>
      </c>
    </row>
    <row r="44" customHeight="1" spans="1:2">
      <c r="A44" s="109">
        <v>43556</v>
      </c>
      <c r="B44" s="23">
        <v>0.489</v>
      </c>
    </row>
    <row r="45" customHeight="1" spans="1:2">
      <c r="A45" s="109">
        <v>43586</v>
      </c>
      <c r="B45" s="23">
        <v>0.417</v>
      </c>
    </row>
    <row r="46" customHeight="1" spans="1:2">
      <c r="A46" s="109">
        <v>43617</v>
      </c>
      <c r="B46" s="23">
        <v>0.485</v>
      </c>
    </row>
    <row r="47" customHeight="1" spans="1:2">
      <c r="A47" s="109">
        <v>43647</v>
      </c>
      <c r="B47" s="23">
        <v>0.492</v>
      </c>
    </row>
    <row r="48" customHeight="1" spans="1:2">
      <c r="A48" s="109">
        <v>43678</v>
      </c>
      <c r="B48" s="23">
        <v>0.431</v>
      </c>
    </row>
    <row r="49" customHeight="1" spans="1:2">
      <c r="A49" s="109">
        <v>43709</v>
      </c>
      <c r="B49" s="23">
        <v>0.39</v>
      </c>
    </row>
    <row r="50" customHeight="1" spans="1:2">
      <c r="A50" s="109">
        <v>43739</v>
      </c>
      <c r="B50" s="23">
        <v>0.288</v>
      </c>
    </row>
    <row r="51" customHeight="1" spans="1:2">
      <c r="A51" s="109">
        <v>43770</v>
      </c>
      <c r="B51" s="23">
        <v>0.321</v>
      </c>
    </row>
    <row r="52" customHeight="1" spans="1:2">
      <c r="A52" s="109">
        <v>43800</v>
      </c>
      <c r="B52" s="23">
        <v>0.386</v>
      </c>
    </row>
    <row r="53" customHeight="1" spans="1:2">
      <c r="A53" s="109">
        <v>43831</v>
      </c>
      <c r="B53" s="144">
        <v>0.483</v>
      </c>
    </row>
    <row r="54" customHeight="1" spans="1:2">
      <c r="A54" s="109">
        <v>43862</v>
      </c>
      <c r="B54" s="23">
        <v>0.185</v>
      </c>
    </row>
    <row r="55" customHeight="1" spans="1:2">
      <c r="A55" s="109">
        <v>43891</v>
      </c>
      <c r="B55" s="23">
        <v>0.191</v>
      </c>
    </row>
    <row r="56" customHeight="1" spans="1:2">
      <c r="A56" s="109">
        <v>43922</v>
      </c>
      <c r="B56" s="23">
        <v>0.2</v>
      </c>
    </row>
    <row r="57" customHeight="1" spans="1:2">
      <c r="A57" s="109">
        <v>43952</v>
      </c>
      <c r="B57" s="23">
        <v>0.232</v>
      </c>
    </row>
    <row r="58" customHeight="1" spans="1:2">
      <c r="A58" s="109">
        <v>43983</v>
      </c>
      <c r="B58" s="23">
        <v>0.2008</v>
      </c>
    </row>
    <row r="59" customHeight="1" spans="1:2">
      <c r="A59" s="109">
        <v>44013</v>
      </c>
      <c r="B59" s="23">
        <v>0.188</v>
      </c>
    </row>
    <row r="60" customHeight="1" spans="1:2">
      <c r="A60" s="109">
        <v>44044</v>
      </c>
      <c r="B60" s="23">
        <v>0.197</v>
      </c>
    </row>
    <row r="61" customHeight="1" spans="1:2">
      <c r="A61" s="109">
        <v>44075</v>
      </c>
      <c r="B61" s="23">
        <v>0.31</v>
      </c>
    </row>
    <row r="62" customHeight="1" spans="1:2">
      <c r="A62" s="109">
        <v>44105</v>
      </c>
      <c r="B62" s="23">
        <v>0.305</v>
      </c>
    </row>
    <row r="63" customHeight="1" spans="1:2">
      <c r="A63" s="109">
        <v>44136</v>
      </c>
      <c r="B63" s="23">
        <v>0.43</v>
      </c>
    </row>
    <row r="64" customHeight="1" spans="1:2">
      <c r="A64" s="109">
        <v>44166</v>
      </c>
      <c r="B64" s="23">
        <v>0.5</v>
      </c>
    </row>
    <row r="65" customHeight="1" spans="1:4">
      <c r="A65" s="109">
        <v>44197</v>
      </c>
      <c r="B65" s="23">
        <v>0.608</v>
      </c>
    </row>
    <row r="66" customHeight="1" spans="1:4">
      <c r="A66" s="109">
        <v>44228</v>
      </c>
      <c r="B66" s="23">
        <v>0.3146</v>
      </c>
    </row>
    <row r="67" customHeight="1" spans="1:4">
      <c r="A67" s="109">
        <v>44256</v>
      </c>
      <c r="B67" s="23">
        <v>0.2309</v>
      </c>
    </row>
    <row r="68" customHeight="1" spans="1:4">
      <c r="A68" s="109">
        <v>44287</v>
      </c>
      <c r="B68" s="23">
        <v>0.3329</v>
      </c>
    </row>
    <row r="69" customHeight="1" spans="1:4">
      <c r="A69" s="109">
        <v>44317</v>
      </c>
      <c r="B69" s="23">
        <v>0.3936</v>
      </c>
    </row>
    <row r="70" customHeight="1" spans="1:4">
      <c r="A70" s="109">
        <v>44348</v>
      </c>
      <c r="B70" s="23">
        <v>0.4898</v>
      </c>
    </row>
    <row r="71" customHeight="1" spans="1:4">
      <c r="A71" s="109">
        <v>44378</v>
      </c>
      <c r="B71" s="23">
        <v>0.535</v>
      </c>
    </row>
    <row r="72" customHeight="1" spans="1:4">
      <c r="A72" s="109">
        <v>44409</v>
      </c>
      <c r="B72" s="23">
        <v>0.59</v>
      </c>
    </row>
    <row r="73" customHeight="1" spans="1:4">
      <c r="A73" s="109">
        <v>44440</v>
      </c>
      <c r="B73" s="23">
        <v>0.6002</v>
      </c>
    </row>
    <row r="74" customHeight="1" spans="1:4">
      <c r="A74" s="109">
        <v>44470</v>
      </c>
      <c r="B74" s="23">
        <v>0.646</v>
      </c>
    </row>
    <row r="75" customHeight="1" spans="1:4">
      <c r="A75" s="109">
        <v>44501</v>
      </c>
      <c r="B75" s="23">
        <v>0.6092</v>
      </c>
    </row>
    <row r="76" customHeight="1" spans="1:4">
      <c r="A76" s="109">
        <v>44531</v>
      </c>
      <c r="B76" s="23">
        <v>0.685</v>
      </c>
    </row>
    <row r="77" s="91" customFormat="1" customHeight="1" spans="1:4">
      <c r="A77" s="109">
        <v>44562</v>
      </c>
      <c r="B77" s="23">
        <v>0.61</v>
      </c>
      <c r="C77" s="146"/>
      <c r="D77" s="146"/>
    </row>
    <row r="78" s="91" customFormat="1" customHeight="1" spans="1:4">
      <c r="A78" s="109">
        <v>44593</v>
      </c>
      <c r="B78" s="23">
        <v>0.237</v>
      </c>
    </row>
    <row r="79" s="91" customFormat="1" customHeight="1" spans="1:4">
      <c r="A79" s="147">
        <v>44621</v>
      </c>
      <c r="B79" s="145">
        <v>0.468</v>
      </c>
    </row>
    <row r="80" s="8" customFormat="1" customHeight="1" spans="1:4">
      <c r="A80" s="109">
        <v>44652</v>
      </c>
      <c r="B80" s="23">
        <v>0.4523</v>
      </c>
    </row>
    <row r="81" s="8" customFormat="1" customHeight="1" spans="1:2">
      <c r="A81" s="109">
        <v>44682</v>
      </c>
      <c r="B81" s="23">
        <v>0.486</v>
      </c>
    </row>
    <row r="82" s="91" customFormat="1" customHeight="1" spans="1:2">
      <c r="A82" s="109">
        <v>44713</v>
      </c>
      <c r="B82" s="23">
        <v>0.4923</v>
      </c>
    </row>
    <row r="83" customHeight="1" spans="1:2">
      <c r="A83" s="109">
        <v>44743</v>
      </c>
      <c r="B83" s="23">
        <v>0.31</v>
      </c>
    </row>
    <row r="84" customHeight="1" spans="1:2">
      <c r="A84" s="109">
        <v>44774</v>
      </c>
      <c r="B84" s="23">
        <v>0.325</v>
      </c>
    </row>
    <row r="85" customHeight="1" spans="1:2">
      <c r="A85" s="109">
        <v>44805</v>
      </c>
      <c r="B85" s="23">
        <v>0.369</v>
      </c>
    </row>
    <row r="86" customHeight="1" spans="1:2">
      <c r="A86" s="109">
        <v>44835</v>
      </c>
      <c r="B86" s="23">
        <v>0.3922</v>
      </c>
    </row>
    <row r="87" customHeight="1" spans="1:2">
      <c r="A87" s="109">
        <v>44866</v>
      </c>
      <c r="B87" s="23">
        <v>0.4012</v>
      </c>
    </row>
    <row r="88" customHeight="1" spans="1:2">
      <c r="A88" s="109">
        <v>44896</v>
      </c>
      <c r="B88" s="23">
        <v>0.56</v>
      </c>
    </row>
    <row r="89" customHeight="1" spans="1:2">
      <c r="A89" s="109">
        <v>44927</v>
      </c>
      <c r="B89" s="23">
        <v>0.518</v>
      </c>
    </row>
    <row r="90" customHeight="1" spans="1:2">
      <c r="A90" s="109">
        <v>44958</v>
      </c>
      <c r="B90" s="23">
        <v>0.36</v>
      </c>
    </row>
    <row r="91" customHeight="1" spans="1:2">
      <c r="A91" s="109">
        <v>44986</v>
      </c>
      <c r="B91" s="23">
        <v>0.3702</v>
      </c>
    </row>
    <row r="92" customHeight="1" spans="1:2">
      <c r="A92" s="109">
        <v>45017</v>
      </c>
      <c r="B92" s="23">
        <v>0.435</v>
      </c>
    </row>
    <row r="93" customHeight="1" spans="1:2">
      <c r="A93" s="109">
        <v>45047</v>
      </c>
      <c r="B93" s="23">
        <v>0.415</v>
      </c>
    </row>
    <row r="94" customHeight="1" spans="1:2">
      <c r="A94" s="109">
        <v>45078</v>
      </c>
      <c r="B94" s="23">
        <v>0.465</v>
      </c>
    </row>
    <row r="95" customHeight="1" spans="1:2">
      <c r="A95" s="109">
        <v>45108</v>
      </c>
      <c r="B95" s="23">
        <v>0.49</v>
      </c>
    </row>
    <row r="96" customHeight="1" spans="1:2">
      <c r="A96" s="109">
        <v>45139</v>
      </c>
      <c r="B96" s="23">
        <v>0.473</v>
      </c>
    </row>
    <row r="97" customHeight="1" spans="1:2">
      <c r="A97" s="109">
        <v>45170</v>
      </c>
      <c r="B97" s="23">
        <v>0.492</v>
      </c>
    </row>
    <row r="98" customHeight="1" spans="1:2">
      <c r="A98" s="109">
        <v>45200</v>
      </c>
      <c r="B98" s="23">
        <v>0.485</v>
      </c>
    </row>
    <row r="99" customHeight="1" spans="1:2">
      <c r="A99" s="109">
        <v>45231</v>
      </c>
      <c r="B99" s="23">
        <v>0.553</v>
      </c>
    </row>
    <row r="100" customHeight="1" spans="1:2">
      <c r="A100" s="109">
        <v>45261</v>
      </c>
      <c r="B100" s="23">
        <v>0.585</v>
      </c>
    </row>
    <row r="101" customHeight="1" spans="1:2">
      <c r="A101" s="109">
        <v>45292</v>
      </c>
      <c r="B101" s="23">
        <v>0.617</v>
      </c>
    </row>
    <row r="102" customHeight="1" spans="1:2">
      <c r="A102" s="109">
        <v>45323</v>
      </c>
      <c r="B102" s="23">
        <v>0.286</v>
      </c>
    </row>
    <row r="103" customHeight="1" spans="1:2">
      <c r="A103" s="109">
        <v>45352</v>
      </c>
      <c r="B103" s="23">
        <v>0.3205</v>
      </c>
    </row>
    <row r="104" customHeight="1" spans="1:2">
      <c r="A104" s="109">
        <v>45383</v>
      </c>
      <c r="B104" s="23">
        <v>0.376</v>
      </c>
    </row>
    <row r="105" customHeight="1" spans="1:2">
      <c r="A105" s="109">
        <v>45413</v>
      </c>
      <c r="B105" s="23">
        <v>0.3856</v>
      </c>
    </row>
    <row r="106" customHeight="1" spans="1:2">
      <c r="A106" s="109">
        <v>45444</v>
      </c>
      <c r="B106" s="104">
        <v>0.317</v>
      </c>
    </row>
    <row r="107" customHeight="1" spans="1:2">
      <c r="A107" s="109">
        <v>45474</v>
      </c>
      <c r="B107" s="23">
        <v>0.3499</v>
      </c>
    </row>
    <row r="108" customHeight="1" spans="1:2">
      <c r="A108" s="109">
        <v>45505</v>
      </c>
      <c r="B108" s="104">
        <v>0.3637</v>
      </c>
    </row>
    <row r="109" customHeight="1" spans="1:2">
      <c r="A109" s="109">
        <v>45536</v>
      </c>
      <c r="B109" s="23">
        <v>0.4101</v>
      </c>
    </row>
    <row r="110" customHeight="1" spans="1:2">
      <c r="A110" s="109">
        <v>45566</v>
      </c>
      <c r="B110" s="104">
        <v>0.4196</v>
      </c>
    </row>
    <row r="111" customHeight="1" spans="1:2">
      <c r="A111" s="109">
        <v>45597</v>
      </c>
      <c r="B111" s="23">
        <v>0.495</v>
      </c>
    </row>
    <row r="112" customHeight="1" spans="1:2">
      <c r="A112" s="109">
        <v>45627</v>
      </c>
      <c r="B112" s="104">
        <v>0.5856</v>
      </c>
    </row>
    <row r="113" customHeight="1" spans="1:2">
      <c r="A113" s="109">
        <v>45658</v>
      </c>
      <c r="B113" s="23">
        <v>0.6499</v>
      </c>
    </row>
    <row r="114" customHeight="1" spans="1:2">
      <c r="A114" s="109">
        <v>45689</v>
      </c>
      <c r="B114" s="104">
        <v>0.2791</v>
      </c>
    </row>
    <row r="115" customHeight="1" spans="1:2">
      <c r="A115" s="109">
        <v>45717</v>
      </c>
      <c r="B115" s="23">
        <v>0.3586</v>
      </c>
    </row>
    <row r="116" customHeight="1" spans="1:2">
      <c r="A116" s="109">
        <v>45748</v>
      </c>
      <c r="B116" s="104">
        <v>0.3574</v>
      </c>
    </row>
    <row r="117" customHeight="1" spans="1:2">
      <c r="A117" s="109">
        <v>45778</v>
      </c>
      <c r="B117" s="23">
        <v>0.4056</v>
      </c>
    </row>
    <row r="118" customHeight="1" spans="1:2">
      <c r="A118" s="109">
        <v>45809</v>
      </c>
      <c r="B118" s="104">
        <v>0.3862</v>
      </c>
    </row>
    <row r="119" customHeight="1" spans="1:2">
      <c r="A119" s="109">
        <v>45839</v>
      </c>
      <c r="B119" s="104">
        <v>0.361</v>
      </c>
    </row>
    <row r="120" customHeight="1" spans="1:2">
      <c r="A120" s="109">
        <v>45870</v>
      </c>
      <c r="B120" s="104">
        <v>0.3879</v>
      </c>
    </row>
    <row r="121" customHeight="1" spans="1:2">
      <c r="A121" s="109">
        <v>45901</v>
      </c>
      <c r="B121" s="104">
        <v>0.4357</v>
      </c>
    </row>
    <row r="122" customHeight="1" spans="1:2">
      <c r="A122" s="109">
        <v>45931</v>
      </c>
      <c r="B122" s="104">
        <v>0.4881</v>
      </c>
    </row>
    <row r="123" customHeight="1" spans="1:2">
      <c r="A123" s="109">
        <v>45962</v>
      </c>
      <c r="B123" s="104">
        <v>0.5145</v>
      </c>
    </row>
    <row r="124" customHeight="1" spans="1:2">
      <c r="A124" s="109">
        <v>45992</v>
      </c>
      <c r="B124" s="104">
        <v>0.6208</v>
      </c>
    </row>
    <row r="125" customHeight="1" spans="1:2">
      <c r="A125" s="109">
        <v>46023</v>
      </c>
      <c r="B125" s="104">
        <v>0.5811</v>
      </c>
    </row>
    <row r="126" customHeight="1" spans="1:2">
      <c r="A126" s="109">
        <v>46054</v>
      </c>
      <c r="B126" s="104">
        <v>0.4514</v>
      </c>
    </row>
    <row r="127" customHeight="1" spans="1:2">
      <c r="A127" s="109">
        <v>46082</v>
      </c>
      <c r="B127" s="104">
        <v>0.4233</v>
      </c>
    </row>
    <row r="128" customHeight="1" spans="1:2">
      <c r="A128" s="109">
        <v>46113</v>
      </c>
      <c r="B128" s="104">
        <v>0.494</v>
      </c>
    </row>
    <row r="129" customHeight="1" spans="1:2">
      <c r="A129" s="109">
        <v>46143</v>
      </c>
      <c r="B129" s="104">
        <v>0.4772</v>
      </c>
    </row>
    <row r="130" customHeight="1" spans="1:2">
      <c r="A130" s="109">
        <v>46174</v>
      </c>
      <c r="B130" s="104">
        <v>0.4756</v>
      </c>
    </row>
    <row r="131" customHeight="1" spans="1:2">
      <c r="A131" s="109">
        <v>46204</v>
      </c>
      <c r="B131" s="117">
        <v>0.474</v>
      </c>
    </row>
    <row r="132" customHeight="1" spans="1:2">
      <c r="A132" s="148">
        <v>46235</v>
      </c>
      <c r="B132" s="117">
        <v>0.4774</v>
      </c>
    </row>
  </sheetData>
  <mergeCells count="1">
    <mergeCell ref="A2:B2"/>
  </mergeCells>
  <pageMargins left="0.75" right="0.75" top="1" bottom="1" header="0.5" footer="0.5"/>
  <pageSetup paperSize="9" orientation="portrait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80"/>
  <sheetViews>
    <sheetView workbookViewId="0">
      <pane xSplit="1" ySplit="3" topLeftCell="B59" activePane="bottomRight" state="frozen"/>
      <selection/>
      <selection pane="topRight"/>
      <selection pane="bottomLeft"/>
      <selection pane="bottomRight" activeCell="B80" sqref="B80"/>
    </sheetView>
  </sheetViews>
  <sheetFormatPr defaultColWidth="13.125" defaultRowHeight="20" customHeight="1" outlineLevelCol="3"/>
  <cols>
    <col min="1" max="1" width="13.125" style="92" customWidth="1"/>
    <col min="2" max="16360" width="13.125" customWidth="1"/>
  </cols>
  <sheetData>
    <row r="2" s="118" customFormat="1" ht="30" customHeight="1" spans="1:4">
      <c r="A2" s="129" t="s">
        <v>91</v>
      </c>
      <c r="B2" s="130"/>
      <c r="C2" s="130"/>
      <c r="D2" s="130"/>
    </row>
    <row r="3" s="118" customFormat="1" ht="30" customHeight="1" spans="1:4">
      <c r="A3" s="113" t="s">
        <v>29</v>
      </c>
      <c r="B3" s="131" t="s">
        <v>92</v>
      </c>
      <c r="C3" s="132" t="s">
        <v>93</v>
      </c>
      <c r="D3" s="133" t="s">
        <v>94</v>
      </c>
    </row>
    <row r="4" customHeight="1" spans="1:4">
      <c r="A4" s="109">
        <v>43922</v>
      </c>
      <c r="B4" s="108"/>
      <c r="C4" s="134">
        <v>9.778</v>
      </c>
      <c r="D4" s="135">
        <v>0.7556</v>
      </c>
    </row>
    <row r="5" customHeight="1" spans="1:4">
      <c r="A5" s="109">
        <v>43952</v>
      </c>
      <c r="B5" s="23">
        <v>0.0686138317888481</v>
      </c>
      <c r="C5" s="134">
        <v>9.842</v>
      </c>
      <c r="D5" s="135">
        <v>0.7667</v>
      </c>
    </row>
    <row r="6" customHeight="1" spans="1:4">
      <c r="A6" s="109">
        <v>43983</v>
      </c>
      <c r="B6" s="23">
        <v>0.0662651593687779</v>
      </c>
      <c r="C6" s="134">
        <v>9.802</v>
      </c>
      <c r="D6" s="135">
        <v>0.7836</v>
      </c>
    </row>
    <row r="7" customHeight="1" spans="1:4">
      <c r="A7" s="109">
        <v>44013</v>
      </c>
      <c r="B7" s="23">
        <v>0.0518225871168863</v>
      </c>
      <c r="C7" s="136">
        <v>9.528</v>
      </c>
      <c r="D7" s="135">
        <v>0.8095</v>
      </c>
    </row>
    <row r="8" customHeight="1" spans="1:4">
      <c r="A8" s="109">
        <v>44044</v>
      </c>
      <c r="B8" s="23">
        <v>0.123246669405482</v>
      </c>
      <c r="C8" s="136">
        <v>9.58</v>
      </c>
      <c r="D8" s="135">
        <v>0.807845278016065</v>
      </c>
    </row>
    <row r="9" customHeight="1" spans="1:4">
      <c r="A9" s="109">
        <v>44075</v>
      </c>
      <c r="B9" s="23">
        <v>0.100227284602121</v>
      </c>
      <c r="C9" s="136">
        <v>9.746</v>
      </c>
      <c r="D9" s="135">
        <v>0.767941231870409</v>
      </c>
    </row>
    <row r="10" customHeight="1" spans="1:4">
      <c r="A10" s="109">
        <v>44105</v>
      </c>
      <c r="B10" s="23">
        <v>0.0587227676928374</v>
      </c>
      <c r="C10" s="136">
        <v>9.316</v>
      </c>
      <c r="D10" s="135">
        <v>0.780446035934163</v>
      </c>
    </row>
    <row r="11" customHeight="1" spans="1:4">
      <c r="A11" s="109">
        <v>44136</v>
      </c>
      <c r="B11" s="23">
        <v>0.0304551177704643</v>
      </c>
      <c r="C11" s="136">
        <v>9.18</v>
      </c>
      <c r="D11" s="135">
        <v>0.669561913034037</v>
      </c>
    </row>
    <row r="12" customHeight="1" spans="1:4">
      <c r="A12" s="109">
        <v>44166</v>
      </c>
      <c r="B12" s="23">
        <v>0.0055500538681699</v>
      </c>
      <c r="C12" s="136">
        <v>9.17453892215569</v>
      </c>
      <c r="D12" s="135">
        <v>0.648040357004269</v>
      </c>
    </row>
    <row r="13" customHeight="1" spans="1:4">
      <c r="A13" s="109">
        <v>44197</v>
      </c>
      <c r="B13" s="23">
        <v>0.04110345126135</v>
      </c>
      <c r="C13" s="137">
        <v>9.10226089040686</v>
      </c>
      <c r="D13" s="138">
        <v>0.721530479896239</v>
      </c>
    </row>
    <row r="14" customHeight="1" spans="1:4">
      <c r="A14" s="109">
        <v>44228</v>
      </c>
      <c r="B14" s="23">
        <v>0.027016912857722</v>
      </c>
      <c r="C14" s="136">
        <v>9.52507191149355</v>
      </c>
      <c r="D14" s="135">
        <v>0.643348876281327</v>
      </c>
    </row>
    <row r="15" customHeight="1" spans="1:4">
      <c r="A15" s="109">
        <v>44256</v>
      </c>
      <c r="B15" s="23">
        <v>0.00226836575639183</v>
      </c>
      <c r="C15" s="136">
        <v>9.792</v>
      </c>
      <c r="D15" s="135">
        <v>0.661968337016824</v>
      </c>
    </row>
    <row r="16" customHeight="1" spans="1:4">
      <c r="A16" s="109">
        <v>44287</v>
      </c>
      <c r="B16" s="23">
        <v>0.00568852754198027</v>
      </c>
      <c r="C16" s="136">
        <v>9.992</v>
      </c>
      <c r="D16" s="135">
        <v>0.692270260153472</v>
      </c>
    </row>
    <row r="17" customHeight="1" spans="1:4">
      <c r="A17" s="109">
        <v>44317</v>
      </c>
      <c r="B17" s="23">
        <v>0.00627200372745402</v>
      </c>
      <c r="C17" s="136">
        <v>10.27</v>
      </c>
      <c r="D17" s="135">
        <v>0.696224452218744</v>
      </c>
    </row>
    <row r="18" customHeight="1" spans="1:4">
      <c r="A18" s="109">
        <v>44348</v>
      </c>
      <c r="B18" s="23">
        <v>-0.0152457838539068</v>
      </c>
      <c r="C18" s="136">
        <v>10.39</v>
      </c>
      <c r="D18" s="135">
        <v>0.727486451867179</v>
      </c>
    </row>
    <row r="19" customHeight="1" spans="1:4">
      <c r="A19" s="109">
        <v>44378</v>
      </c>
      <c r="B19" s="23">
        <v>-0.0371593788627779</v>
      </c>
      <c r="C19" s="136">
        <v>10.36</v>
      </c>
      <c r="D19" s="135">
        <v>0.73621530797235</v>
      </c>
    </row>
    <row r="20" s="89" customFormat="1" customHeight="1" spans="1:4">
      <c r="A20" s="109">
        <v>44409</v>
      </c>
      <c r="B20" s="23">
        <v>-0.0206</v>
      </c>
      <c r="C20" s="136">
        <v>10.5</v>
      </c>
      <c r="D20" s="135">
        <v>0.757586717739251</v>
      </c>
    </row>
    <row r="21" s="89" customFormat="1" customHeight="1" spans="1:4">
      <c r="A21" s="109">
        <v>44440</v>
      </c>
      <c r="B21" s="23">
        <v>-0.0093</v>
      </c>
      <c r="C21" s="136">
        <v>10.39</v>
      </c>
      <c r="D21" s="135">
        <v>0.748050738818935</v>
      </c>
    </row>
    <row r="22" s="89" customFormat="1" customHeight="1" spans="1:4">
      <c r="A22" s="109">
        <v>44470</v>
      </c>
      <c r="B22" s="23">
        <v>-0.0094</v>
      </c>
      <c r="C22" s="136">
        <v>10.41</v>
      </c>
      <c r="D22" s="135">
        <v>0.721613034819135</v>
      </c>
    </row>
    <row r="23" s="89" customFormat="1" customHeight="1" spans="1:4">
      <c r="A23" s="109">
        <v>44501</v>
      </c>
      <c r="B23" s="23">
        <v>-0.0132</v>
      </c>
      <c r="C23" s="136">
        <v>10.27</v>
      </c>
      <c r="D23" s="135">
        <v>0.691871213263668</v>
      </c>
    </row>
    <row r="24" s="124" customFormat="1" customHeight="1" spans="1:4">
      <c r="A24" s="109">
        <v>44531</v>
      </c>
      <c r="B24" s="23">
        <v>-0.0067</v>
      </c>
      <c r="C24" s="136">
        <v>10.19</v>
      </c>
      <c r="D24" s="135">
        <v>0.707439651796932</v>
      </c>
    </row>
    <row r="25" s="110" customFormat="1" customHeight="1" spans="1:4">
      <c r="A25" s="109">
        <v>44562</v>
      </c>
      <c r="B25" s="23">
        <v>-0.0078</v>
      </c>
      <c r="C25" s="136">
        <v>9.83</v>
      </c>
      <c r="D25" s="117">
        <v>0.70289042368079</v>
      </c>
    </row>
    <row r="26" s="110" customFormat="1" customHeight="1" spans="1:4">
      <c r="A26" s="109">
        <v>44593</v>
      </c>
      <c r="B26" s="23">
        <v>-0.0068</v>
      </c>
      <c r="C26" s="136">
        <v>10.25</v>
      </c>
      <c r="D26" s="117">
        <v>0.6501</v>
      </c>
    </row>
    <row r="27" s="110" customFormat="1" ht="21" customHeight="1" spans="1:4">
      <c r="A27" s="109">
        <v>44621</v>
      </c>
      <c r="B27" s="23">
        <v>-0.0079</v>
      </c>
      <c r="C27" s="134">
        <v>10.27</v>
      </c>
      <c r="D27" s="23">
        <v>0.6611</v>
      </c>
    </row>
    <row r="28" s="110" customFormat="1" ht="21" customHeight="1" spans="1:4">
      <c r="A28" s="109">
        <v>44652</v>
      </c>
      <c r="B28" s="23">
        <v>0.038</v>
      </c>
      <c r="C28" s="134">
        <v>10.42</v>
      </c>
      <c r="D28" s="23">
        <v>0.6921</v>
      </c>
    </row>
    <row r="29" s="110" customFormat="1" customHeight="1" spans="1:4">
      <c r="A29" s="109">
        <v>44682</v>
      </c>
      <c r="B29" s="23">
        <v>0.0091</v>
      </c>
      <c r="C29" s="134">
        <v>10.48</v>
      </c>
      <c r="D29" s="23">
        <v>0.7052</v>
      </c>
    </row>
    <row r="30" s="110" customFormat="1" customHeight="1" spans="1:4">
      <c r="A30" s="109">
        <v>44713</v>
      </c>
      <c r="B30" s="23">
        <v>0.0032</v>
      </c>
      <c r="C30" s="139">
        <v>10.53</v>
      </c>
      <c r="D30" s="117">
        <v>0.7017</v>
      </c>
    </row>
    <row r="31" s="124" customFormat="1" customHeight="1" spans="1:4">
      <c r="A31" s="109">
        <v>44743</v>
      </c>
      <c r="B31" s="23">
        <v>0.0108</v>
      </c>
      <c r="C31" s="134">
        <v>10.84</v>
      </c>
      <c r="D31" s="23">
        <v>0.7337</v>
      </c>
    </row>
    <row r="32" s="89" customFormat="1" customHeight="1" spans="1:4">
      <c r="A32" s="109">
        <v>44774</v>
      </c>
      <c r="B32" s="23">
        <v>0.01</v>
      </c>
      <c r="C32" s="134">
        <v>10.95</v>
      </c>
      <c r="D32" s="23">
        <v>0.7342</v>
      </c>
    </row>
    <row r="33" s="89" customFormat="1" customHeight="1" spans="1:4">
      <c r="A33" s="109">
        <v>44805</v>
      </c>
      <c r="B33" s="23">
        <v>0.0142</v>
      </c>
      <c r="C33" s="134">
        <v>11.06</v>
      </c>
      <c r="D33" s="23">
        <v>0.7319</v>
      </c>
    </row>
    <row r="34" customHeight="1" spans="1:4">
      <c r="A34" s="109">
        <v>44835</v>
      </c>
      <c r="B34" s="23">
        <v>0.0199</v>
      </c>
      <c r="C34" s="134">
        <v>11</v>
      </c>
      <c r="D34" s="23">
        <v>0.738</v>
      </c>
    </row>
    <row r="35" customHeight="1" spans="1:4">
      <c r="A35" s="105">
        <v>44866</v>
      </c>
      <c r="B35" s="23">
        <v>0.0013</v>
      </c>
      <c r="C35" s="134">
        <v>10.88</v>
      </c>
      <c r="D35" s="117">
        <v>0.7387</v>
      </c>
    </row>
    <row r="36" customHeight="1" spans="1:4">
      <c r="A36" s="109">
        <v>44896</v>
      </c>
      <c r="B36" s="23">
        <v>-0.0074</v>
      </c>
      <c r="C36" s="140">
        <v>10.66</v>
      </c>
      <c r="D36" s="141">
        <v>0.7387</v>
      </c>
    </row>
    <row r="37" customHeight="1" spans="1:4">
      <c r="A37" s="105">
        <v>44927</v>
      </c>
      <c r="B37" s="23">
        <v>-0.0028</v>
      </c>
      <c r="C37" s="140">
        <v>10.61</v>
      </c>
      <c r="D37" s="141">
        <v>0.7388</v>
      </c>
    </row>
    <row r="38" customHeight="1" spans="1:4">
      <c r="A38" s="105">
        <v>44958</v>
      </c>
      <c r="B38" s="23">
        <v>-0.0119</v>
      </c>
      <c r="C38" s="140">
        <v>10.82</v>
      </c>
      <c r="D38" s="141">
        <v>0.7425</v>
      </c>
    </row>
    <row r="39" customHeight="1" spans="1:4">
      <c r="A39" s="105">
        <v>44986</v>
      </c>
      <c r="B39" s="23">
        <v>-0.0114</v>
      </c>
      <c r="C39" s="140">
        <v>10.89</v>
      </c>
      <c r="D39" s="141">
        <v>0.7468</v>
      </c>
    </row>
    <row r="40" customHeight="1" spans="1:4">
      <c r="A40" s="105">
        <v>45017</v>
      </c>
      <c r="B40" s="23">
        <v>-0.0011</v>
      </c>
      <c r="C40" s="140">
        <v>10.89</v>
      </c>
      <c r="D40" s="141">
        <v>0.7488</v>
      </c>
    </row>
    <row r="41" customHeight="1" spans="1:4">
      <c r="A41" s="105">
        <v>45047</v>
      </c>
      <c r="B41" s="23">
        <v>0.0031</v>
      </c>
      <c r="C41" s="140">
        <v>10.92</v>
      </c>
      <c r="D41" s="141">
        <v>0.7512</v>
      </c>
    </row>
    <row r="42" customHeight="1" spans="1:4">
      <c r="A42" s="105">
        <v>45078</v>
      </c>
      <c r="B42" s="23">
        <v>-0.0082</v>
      </c>
      <c r="C42" s="142">
        <v>11.18</v>
      </c>
      <c r="D42" s="23">
        <v>0.7492</v>
      </c>
    </row>
    <row r="43" customHeight="1" spans="1:4">
      <c r="A43" s="105">
        <v>45108</v>
      </c>
      <c r="B43" s="23">
        <v>0.0002</v>
      </c>
      <c r="C43" s="140">
        <v>11.15</v>
      </c>
      <c r="D43" s="141">
        <v>0.7465</v>
      </c>
    </row>
    <row r="44" customHeight="1" spans="1:4">
      <c r="A44" s="105">
        <v>45139</v>
      </c>
      <c r="B44" s="23">
        <v>0.002</v>
      </c>
      <c r="C44" s="142">
        <v>11.18</v>
      </c>
      <c r="D44" s="23">
        <v>0.753</v>
      </c>
    </row>
    <row r="45" customHeight="1" spans="1:4">
      <c r="A45" s="105">
        <v>45170</v>
      </c>
      <c r="B45" s="23">
        <v>-0.0023</v>
      </c>
      <c r="C45" s="140">
        <v>11.18</v>
      </c>
      <c r="D45" s="141">
        <v>0.7519</v>
      </c>
    </row>
    <row r="46" customHeight="1" spans="1:4">
      <c r="A46" s="105">
        <v>45200</v>
      </c>
      <c r="B46" s="23">
        <v>-0.0032</v>
      </c>
      <c r="C46" s="142">
        <v>11.202</v>
      </c>
      <c r="D46" s="23">
        <v>0.7511</v>
      </c>
    </row>
    <row r="47" customHeight="1" spans="1:4">
      <c r="A47" s="105">
        <v>45231</v>
      </c>
      <c r="B47" s="23">
        <v>-0.0138</v>
      </c>
      <c r="C47" s="142">
        <v>11.17</v>
      </c>
      <c r="D47" s="23">
        <v>0.7376</v>
      </c>
    </row>
    <row r="48" customHeight="1" spans="1:4">
      <c r="A48" s="105">
        <v>45261</v>
      </c>
      <c r="B48" s="23">
        <v>-0.0072</v>
      </c>
      <c r="C48" s="142">
        <v>11.06</v>
      </c>
      <c r="D48" s="23">
        <v>0.73</v>
      </c>
    </row>
    <row r="49" customHeight="1" spans="1:4">
      <c r="A49" s="105">
        <v>45292</v>
      </c>
      <c r="B49" s="23">
        <v>0.0007</v>
      </c>
      <c r="C49" s="142">
        <v>10.95</v>
      </c>
      <c r="D49" s="23">
        <v>0.735</v>
      </c>
    </row>
    <row r="50" customHeight="1" spans="1:4">
      <c r="A50" s="105">
        <v>45323</v>
      </c>
      <c r="B50" s="23">
        <v>0.0072</v>
      </c>
      <c r="C50" s="142">
        <v>11.19</v>
      </c>
      <c r="D50" s="23">
        <v>0.7423</v>
      </c>
    </row>
    <row r="51" customHeight="1" spans="1:4">
      <c r="A51" s="105">
        <v>45352</v>
      </c>
      <c r="B51" s="23">
        <v>0.0102</v>
      </c>
      <c r="C51" s="142">
        <v>11.2</v>
      </c>
      <c r="D51" s="23">
        <v>0.781</v>
      </c>
    </row>
    <row r="52" customHeight="1" spans="1:4">
      <c r="A52" s="105">
        <v>45383</v>
      </c>
      <c r="B52" s="23">
        <v>0.0045</v>
      </c>
      <c r="C52" s="142">
        <v>11.24</v>
      </c>
      <c r="D52" s="23">
        <v>0.785</v>
      </c>
    </row>
    <row r="53" customHeight="1" spans="1:4">
      <c r="A53" s="105">
        <v>45413</v>
      </c>
      <c r="B53" s="23">
        <v>0.0032</v>
      </c>
      <c r="C53" s="142">
        <v>11.22</v>
      </c>
      <c r="D53" s="23">
        <v>0.786</v>
      </c>
    </row>
    <row r="54" customHeight="1" spans="1:4">
      <c r="A54" s="105">
        <v>45444</v>
      </c>
      <c r="B54" s="23">
        <v>0.0046</v>
      </c>
      <c r="C54" s="142">
        <v>11.17</v>
      </c>
      <c r="D54" s="23">
        <v>0.784</v>
      </c>
    </row>
    <row r="55" customHeight="1" spans="1:4">
      <c r="A55" s="105">
        <v>45474</v>
      </c>
      <c r="B55" s="23">
        <v>0.011</v>
      </c>
      <c r="C55" s="142">
        <v>11.16</v>
      </c>
      <c r="D55" s="23">
        <v>0.778</v>
      </c>
    </row>
    <row r="56" customHeight="1" spans="1:4">
      <c r="A56" s="105">
        <v>45505</v>
      </c>
      <c r="B56" s="23">
        <v>0.0071</v>
      </c>
      <c r="C56" s="142">
        <v>11.17</v>
      </c>
      <c r="D56" s="23">
        <v>0.7803</v>
      </c>
    </row>
    <row r="57" customHeight="1" spans="1:4">
      <c r="A57" s="105">
        <v>45536</v>
      </c>
      <c r="B57" s="23">
        <v>0.0064</v>
      </c>
      <c r="C57" s="142">
        <v>11.19</v>
      </c>
      <c r="D57" s="23">
        <v>0.7828</v>
      </c>
    </row>
    <row r="58" customHeight="1" spans="1:4">
      <c r="A58" s="105">
        <v>45566</v>
      </c>
      <c r="B58" s="23">
        <v>0.0027</v>
      </c>
      <c r="C58" s="142">
        <v>11.21</v>
      </c>
      <c r="D58" s="23">
        <v>0.7844</v>
      </c>
    </row>
    <row r="59" customHeight="1" spans="1:4">
      <c r="A59" s="105">
        <v>45597</v>
      </c>
      <c r="B59" s="23">
        <v>0.0056</v>
      </c>
      <c r="C59" s="142">
        <v>11.25</v>
      </c>
      <c r="D59" s="23">
        <v>0.776</v>
      </c>
    </row>
    <row r="60" customHeight="1" spans="1:4">
      <c r="A60" s="105">
        <v>45627</v>
      </c>
      <c r="B60" s="23">
        <v>0.0086</v>
      </c>
      <c r="C60" s="142">
        <v>11.2</v>
      </c>
      <c r="D60" s="23">
        <v>0.7768</v>
      </c>
    </row>
    <row r="61" customHeight="1" spans="1:4">
      <c r="A61" s="105">
        <v>45658</v>
      </c>
      <c r="B61" s="23">
        <v>0.002</v>
      </c>
      <c r="C61" s="142">
        <v>11.17</v>
      </c>
      <c r="D61" s="23">
        <v>0.7732</v>
      </c>
    </row>
    <row r="62" customHeight="1" spans="1:4">
      <c r="A62" s="105">
        <v>45689</v>
      </c>
      <c r="B62" s="23">
        <v>-0.0018</v>
      </c>
      <c r="C62" s="142">
        <v>11.11</v>
      </c>
      <c r="D62" s="23">
        <v>0.7763</v>
      </c>
    </row>
    <row r="63" customHeight="1" spans="1:4">
      <c r="A63" s="105">
        <v>45717</v>
      </c>
      <c r="B63" s="23">
        <v>-0.0025</v>
      </c>
      <c r="C63" s="142">
        <v>11.18</v>
      </c>
      <c r="D63" s="23">
        <v>0.7809</v>
      </c>
    </row>
    <row r="64" customHeight="1" spans="1:4">
      <c r="A64" s="105">
        <v>45748</v>
      </c>
      <c r="B64" s="23">
        <v>0.004</v>
      </c>
      <c r="C64" s="142">
        <v>11.24</v>
      </c>
      <c r="D64" s="23">
        <v>0.7858</v>
      </c>
    </row>
    <row r="65" customHeight="1" spans="1:4">
      <c r="A65" s="105">
        <v>45778</v>
      </c>
      <c r="B65" s="23">
        <v>0.0045</v>
      </c>
      <c r="C65" s="142">
        <v>11.25</v>
      </c>
      <c r="D65" s="23">
        <v>0.79</v>
      </c>
    </row>
    <row r="66" customHeight="1" spans="1:4">
      <c r="A66" s="105">
        <v>45809</v>
      </c>
      <c r="B66" s="23">
        <v>0.0022</v>
      </c>
      <c r="C66" s="142">
        <v>11.28</v>
      </c>
      <c r="D66" s="23">
        <v>0.7893</v>
      </c>
    </row>
    <row r="67" customHeight="1" spans="1:4">
      <c r="A67" s="105">
        <v>45839</v>
      </c>
      <c r="B67" s="23">
        <v>0.0014</v>
      </c>
      <c r="C67" s="142">
        <v>11.29</v>
      </c>
      <c r="D67" s="23">
        <v>0.7967</v>
      </c>
    </row>
    <row r="68" customHeight="1" spans="1:4">
      <c r="A68" s="105">
        <v>45870</v>
      </c>
      <c r="B68" s="23">
        <v>0.0002</v>
      </c>
      <c r="C68" s="142">
        <v>11.29</v>
      </c>
      <c r="D68" s="23">
        <v>0.7967</v>
      </c>
    </row>
    <row r="69" customHeight="1" spans="1:4">
      <c r="A69" s="105">
        <v>45901</v>
      </c>
      <c r="B69" s="23">
        <v>-0.0046</v>
      </c>
      <c r="C69" s="142">
        <v>11.32</v>
      </c>
      <c r="D69" s="23">
        <v>0.797</v>
      </c>
    </row>
    <row r="70" customHeight="1" spans="1:4">
      <c r="A70" s="105">
        <v>45931</v>
      </c>
      <c r="B70" s="23">
        <v>-0.0077</v>
      </c>
      <c r="C70" s="142">
        <v>11.32</v>
      </c>
      <c r="D70" s="23">
        <v>0.797</v>
      </c>
    </row>
    <row r="71" customHeight="1" spans="1:4">
      <c r="A71" s="105">
        <v>45962</v>
      </c>
      <c r="B71" s="23">
        <v>-0.0014</v>
      </c>
      <c r="C71" s="142">
        <v>11.33</v>
      </c>
      <c r="D71" s="23">
        <v>0.795</v>
      </c>
    </row>
    <row r="72" customHeight="1" spans="1:4">
      <c r="A72" s="105">
        <v>45992</v>
      </c>
      <c r="B72" s="23">
        <v>0.0036</v>
      </c>
      <c r="C72" s="142">
        <v>11.32</v>
      </c>
      <c r="D72" s="23">
        <v>0.794</v>
      </c>
    </row>
    <row r="73" customHeight="1" spans="1:4">
      <c r="A73" s="105">
        <v>46023</v>
      </c>
      <c r="B73" s="23">
        <v>0.0027</v>
      </c>
      <c r="C73" s="142">
        <v>11.35</v>
      </c>
      <c r="D73" s="23">
        <v>0.7962</v>
      </c>
    </row>
    <row r="74" customHeight="1" spans="1:4">
      <c r="A74" s="105">
        <v>46054</v>
      </c>
      <c r="B74" s="23">
        <v>0.0039</v>
      </c>
      <c r="C74" s="142">
        <v>11.36</v>
      </c>
      <c r="D74" s="23">
        <v>0.7974</v>
      </c>
    </row>
    <row r="75" customHeight="1" spans="1:4">
      <c r="A75" s="105">
        <v>46082</v>
      </c>
      <c r="B75" s="23">
        <v>-0.0007</v>
      </c>
      <c r="C75" s="142">
        <v>11.38</v>
      </c>
      <c r="D75" s="23">
        <v>0.7945</v>
      </c>
    </row>
    <row r="76" customHeight="1" spans="1:4">
      <c r="A76" s="105">
        <v>46113</v>
      </c>
      <c r="B76" s="23">
        <v>-0.0011</v>
      </c>
      <c r="C76" s="142">
        <v>11.41</v>
      </c>
      <c r="D76" s="23">
        <v>0.7954</v>
      </c>
    </row>
    <row r="77" customHeight="1" spans="1:4">
      <c r="A77" s="105">
        <v>46143</v>
      </c>
      <c r="B77" s="23">
        <v>-0.0085</v>
      </c>
      <c r="C77" s="142">
        <v>11.42</v>
      </c>
      <c r="D77" s="23">
        <v>0.7959</v>
      </c>
    </row>
    <row r="78" customHeight="1" spans="1:4">
      <c r="A78" s="105">
        <v>46174</v>
      </c>
      <c r="B78" s="23">
        <v>-0.0091</v>
      </c>
      <c r="C78" s="142">
        <v>11.42</v>
      </c>
      <c r="D78" s="23">
        <v>0.7975</v>
      </c>
    </row>
    <row r="79" customHeight="1" spans="1:4">
      <c r="A79" s="109">
        <v>46204</v>
      </c>
      <c r="B79" s="23">
        <v>-0.0001</v>
      </c>
      <c r="C79" s="142">
        <v>11.47</v>
      </c>
      <c r="D79" s="143">
        <v>0.7977</v>
      </c>
    </row>
    <row r="80" customHeight="1" spans="1:4">
      <c r="A80" s="105">
        <v>46235</v>
      </c>
      <c r="B80" s="23">
        <v>-0.0167</v>
      </c>
      <c r="C80" s="142">
        <v>11.47</v>
      </c>
      <c r="D80" s="23">
        <v>0.7951</v>
      </c>
    </row>
  </sheetData>
  <mergeCells count="1">
    <mergeCell ref="A2:D2"/>
  </mergeCells>
  <pageMargins left="0.75" right="0.75" top="1" bottom="1" header="0.5" footer="0.5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81"/>
  <sheetViews>
    <sheetView workbookViewId="0">
      <pane xSplit="1" ySplit="2" topLeftCell="B58" activePane="bottomRight" state="frozen"/>
      <selection/>
      <selection pane="topRight"/>
      <selection pane="bottomLeft"/>
      <selection pane="bottomRight" activeCell="E80" sqref="E80"/>
    </sheetView>
  </sheetViews>
  <sheetFormatPr defaultColWidth="13.1166666666667" defaultRowHeight="20" customHeight="1" outlineLevelCol="2"/>
  <cols>
    <col min="1" max="1" width="13.1166666666667" style="126" customWidth="1"/>
    <col min="2" max="3" width="13.1166666666667" style="127" customWidth="1"/>
    <col min="4" max="16384" width="13.1166666666667" style="127"/>
  </cols>
  <sheetData>
    <row r="2" s="123" customFormat="1" ht="30" customHeight="1" spans="1:3">
      <c r="A2" s="113" t="s">
        <v>29</v>
      </c>
      <c r="B2" s="114" t="s">
        <v>95</v>
      </c>
      <c r="C2" s="114" t="s">
        <v>96</v>
      </c>
    </row>
    <row r="3" s="89" customFormat="1" customHeight="1" spans="1:3">
      <c r="A3" s="109">
        <v>43862</v>
      </c>
      <c r="B3" s="285" t="s">
        <v>97</v>
      </c>
      <c r="C3" s="23" t="s">
        <v>98</v>
      </c>
    </row>
    <row r="4" s="89" customFormat="1" customHeight="1" spans="1:3">
      <c r="A4" s="109">
        <v>43891</v>
      </c>
      <c r="B4" s="23">
        <v>0.004</v>
      </c>
      <c r="C4" s="23" t="s">
        <v>98</v>
      </c>
    </row>
    <row r="5" s="89" customFormat="1" customHeight="1" spans="1:3">
      <c r="A5" s="109">
        <v>43922</v>
      </c>
      <c r="B5" s="23">
        <v>0.0236</v>
      </c>
      <c r="C5" s="23" t="s">
        <v>98</v>
      </c>
    </row>
    <row r="6" s="89" customFormat="1" customHeight="1" spans="1:3">
      <c r="A6" s="109">
        <v>43952</v>
      </c>
      <c r="B6" s="23">
        <v>0.0165</v>
      </c>
      <c r="C6" s="23" t="s">
        <v>98</v>
      </c>
    </row>
    <row r="7" s="89" customFormat="1" customHeight="1" spans="1:3">
      <c r="A7" s="109">
        <v>43983</v>
      </c>
      <c r="B7" s="23">
        <v>0.0087</v>
      </c>
      <c r="C7" s="23" t="s">
        <v>98</v>
      </c>
    </row>
    <row r="8" s="89" customFormat="1" customHeight="1" spans="1:3">
      <c r="A8" s="109">
        <v>44013</v>
      </c>
      <c r="B8" s="23">
        <v>0.0293</v>
      </c>
      <c r="C8" s="23" t="s">
        <v>98</v>
      </c>
    </row>
    <row r="9" s="89" customFormat="1" customHeight="1" spans="1:3">
      <c r="A9" s="109">
        <v>44044</v>
      </c>
      <c r="B9" s="23">
        <v>0.0387</v>
      </c>
      <c r="C9" s="23" t="s">
        <v>98</v>
      </c>
    </row>
    <row r="10" s="89" customFormat="1" customHeight="1" spans="1:3">
      <c r="A10" s="109">
        <v>44075</v>
      </c>
      <c r="B10" s="23">
        <v>0.0281</v>
      </c>
      <c r="C10" s="23" t="s">
        <v>98</v>
      </c>
    </row>
    <row r="11" s="89" customFormat="1" customHeight="1" spans="1:3">
      <c r="A11" s="109">
        <v>44105</v>
      </c>
      <c r="B11" s="100">
        <v>0.0224</v>
      </c>
      <c r="C11" s="23" t="s">
        <v>98</v>
      </c>
    </row>
    <row r="12" s="89" customFormat="1" customHeight="1" spans="1:3">
      <c r="A12" s="109">
        <v>44136</v>
      </c>
      <c r="B12" s="99">
        <v>0.022</v>
      </c>
      <c r="C12" s="23" t="s">
        <v>98</v>
      </c>
    </row>
    <row r="13" s="89" customFormat="1" customHeight="1" spans="1:3">
      <c r="A13" s="109">
        <v>44166</v>
      </c>
      <c r="B13" s="23">
        <v>-0.0067</v>
      </c>
      <c r="C13" s="23" t="s">
        <v>98</v>
      </c>
    </row>
    <row r="14" s="89" customFormat="1" customHeight="1" spans="1:3">
      <c r="A14" s="109">
        <v>44197</v>
      </c>
      <c r="B14" s="23">
        <v>-0.0499</v>
      </c>
      <c r="C14" s="23" t="s">
        <v>98</v>
      </c>
    </row>
    <row r="15" s="89" customFormat="1" customHeight="1" spans="1:3">
      <c r="A15" s="109">
        <v>44228</v>
      </c>
      <c r="B15" s="23">
        <v>-0.0468</v>
      </c>
      <c r="C15" s="23">
        <v>0.0888</v>
      </c>
    </row>
    <row r="16" s="89" customFormat="1" customHeight="1" spans="1:3">
      <c r="A16" s="109">
        <v>44256</v>
      </c>
      <c r="B16" s="23">
        <v>0.0313</v>
      </c>
      <c r="C16" s="23">
        <v>0.1185</v>
      </c>
    </row>
    <row r="17" s="89" customFormat="1" customHeight="1" spans="1:3">
      <c r="A17" s="109">
        <v>44287</v>
      </c>
      <c r="B17" s="23">
        <v>0.0227</v>
      </c>
      <c r="C17" s="100">
        <v>0.1174</v>
      </c>
    </row>
    <row r="18" s="89" customFormat="1" customHeight="1" spans="1:3">
      <c r="A18" s="109">
        <v>44317</v>
      </c>
      <c r="B18" s="23">
        <v>0.0153</v>
      </c>
      <c r="C18" s="23">
        <v>0.1161</v>
      </c>
    </row>
    <row r="19" s="89" customFormat="1" customHeight="1" spans="1:3">
      <c r="A19" s="109">
        <v>44348</v>
      </c>
      <c r="B19" s="23">
        <v>-0.0369</v>
      </c>
      <c r="C19" s="23">
        <v>0.0656</v>
      </c>
    </row>
    <row r="20" s="89" customFormat="1" customHeight="1" spans="1:3">
      <c r="A20" s="109">
        <v>44378</v>
      </c>
      <c r="B20" s="23">
        <v>-0.0319</v>
      </c>
      <c r="C20" s="23">
        <v>0.0022</v>
      </c>
    </row>
    <row r="21" s="89" customFormat="1" customHeight="1" spans="1:3">
      <c r="A21" s="109">
        <v>44409</v>
      </c>
      <c r="B21" s="23">
        <v>-0.0206</v>
      </c>
      <c r="C21" s="23">
        <v>-0.055</v>
      </c>
    </row>
    <row r="22" s="89" customFormat="1" customHeight="1" spans="1:3">
      <c r="A22" s="109">
        <v>44440</v>
      </c>
      <c r="B22" s="23">
        <v>-0.0169</v>
      </c>
      <c r="C22" s="100">
        <v>-0.0963</v>
      </c>
    </row>
    <row r="23" s="89" customFormat="1" customHeight="1" spans="1:3">
      <c r="A23" s="109">
        <v>44470</v>
      </c>
      <c r="B23" s="23">
        <v>-0.0097</v>
      </c>
      <c r="C23" s="23">
        <v>-0.1247</v>
      </c>
    </row>
    <row r="24" s="89" customFormat="1" customHeight="1" spans="1:3">
      <c r="A24" s="109">
        <v>44501</v>
      </c>
      <c r="B24" s="23">
        <v>-0.0013</v>
      </c>
      <c r="C24" s="23">
        <v>-0.1447</v>
      </c>
    </row>
    <row r="25" s="124" customFormat="1" customHeight="1" spans="1:3">
      <c r="A25" s="109">
        <v>44531</v>
      </c>
      <c r="B25" s="23">
        <v>-0.013</v>
      </c>
      <c r="C25" s="23">
        <v>-0.1501</v>
      </c>
    </row>
    <row r="26" s="119" customFormat="1" customHeight="1" spans="1:3">
      <c r="A26" s="109">
        <v>44562</v>
      </c>
      <c r="B26" s="23">
        <v>-0.016</v>
      </c>
      <c r="C26" s="23">
        <v>-0.1197</v>
      </c>
    </row>
    <row r="27" s="119" customFormat="1" customHeight="1" spans="1:3">
      <c r="A27" s="109">
        <v>44593</v>
      </c>
      <c r="B27" s="23">
        <v>0.0032</v>
      </c>
      <c r="C27" s="100">
        <v>-0.0735</v>
      </c>
    </row>
    <row r="28" s="119" customFormat="1" customHeight="1" spans="1:3">
      <c r="A28" s="109">
        <v>44621</v>
      </c>
      <c r="B28" s="23">
        <v>-0.0123</v>
      </c>
      <c r="C28" s="23">
        <v>-0.1127</v>
      </c>
    </row>
    <row r="29" s="119" customFormat="1" customHeight="1" spans="1:3">
      <c r="A29" s="105">
        <v>44652</v>
      </c>
      <c r="B29" s="117">
        <v>-0.0013</v>
      </c>
      <c r="C29" s="117">
        <v>-0.1335</v>
      </c>
    </row>
    <row r="30" s="119" customFormat="1" customHeight="1" spans="1:3">
      <c r="A30" s="105">
        <v>44682</v>
      </c>
      <c r="B30" s="117">
        <v>0.0123</v>
      </c>
      <c r="C30" s="117">
        <v>-0.1315</v>
      </c>
    </row>
    <row r="31" s="119" customFormat="1" customHeight="1" spans="1:3">
      <c r="A31" s="105">
        <v>44713</v>
      </c>
      <c r="B31" s="117">
        <v>0.0071</v>
      </c>
      <c r="C31" s="117">
        <v>-0.0966</v>
      </c>
    </row>
    <row r="32" s="125" customFormat="1" customHeight="1" spans="1:3">
      <c r="A32" s="105">
        <v>44743</v>
      </c>
      <c r="B32" s="117">
        <v>0.0096</v>
      </c>
      <c r="C32" s="117">
        <v>-0.0579</v>
      </c>
    </row>
    <row r="33" customHeight="1" spans="1:3">
      <c r="A33" s="105">
        <v>44774</v>
      </c>
      <c r="B33" s="117">
        <v>0.0163</v>
      </c>
      <c r="C33" s="117">
        <v>-0.0143</v>
      </c>
    </row>
    <row r="34" customHeight="1" spans="1:3">
      <c r="A34" s="105">
        <v>44805</v>
      </c>
      <c r="B34" s="117">
        <v>0.0139</v>
      </c>
      <c r="C34" s="117">
        <v>0.0166</v>
      </c>
    </row>
    <row r="35" customHeight="1" spans="1:3">
      <c r="A35" s="105">
        <v>44835</v>
      </c>
      <c r="B35" s="117">
        <v>0.0173</v>
      </c>
      <c r="C35" s="117">
        <v>0.0443</v>
      </c>
    </row>
    <row r="36" customHeight="1" spans="1:3">
      <c r="A36" s="105">
        <v>44866</v>
      </c>
      <c r="B36" s="117">
        <v>-0.0005</v>
      </c>
      <c r="C36" s="117">
        <v>0.0451</v>
      </c>
    </row>
    <row r="37" customHeight="1" spans="1:3">
      <c r="A37" s="105">
        <v>44896</v>
      </c>
      <c r="B37" s="128">
        <v>-0.011</v>
      </c>
      <c r="C37" s="128">
        <v>0.0471</v>
      </c>
    </row>
    <row r="38" customHeight="1" spans="1:3">
      <c r="A38" s="105">
        <v>44927</v>
      </c>
      <c r="B38" s="128">
        <v>-0.0039</v>
      </c>
      <c r="C38" s="128">
        <v>0.06</v>
      </c>
    </row>
    <row r="39" customHeight="1" spans="1:3">
      <c r="A39" s="105">
        <v>44958</v>
      </c>
      <c r="B39" s="128">
        <v>-0.0184</v>
      </c>
      <c r="C39" s="128">
        <v>0.0371</v>
      </c>
    </row>
    <row r="40" customHeight="1" spans="1:3">
      <c r="A40" s="105">
        <v>44986</v>
      </c>
      <c r="B40" s="128">
        <v>-0.0195</v>
      </c>
      <c r="C40" s="128">
        <v>0.0296</v>
      </c>
    </row>
    <row r="41" customHeight="1" spans="1:3">
      <c r="A41" s="105">
        <v>45017</v>
      </c>
      <c r="B41" s="128">
        <v>0.0004</v>
      </c>
      <c r="C41" s="128">
        <v>0.0313</v>
      </c>
    </row>
    <row r="42" customHeight="1" spans="1:3">
      <c r="A42" s="105">
        <v>45047</v>
      </c>
      <c r="B42" s="117">
        <v>-0.0093</v>
      </c>
      <c r="C42" s="117">
        <v>0.0093</v>
      </c>
    </row>
    <row r="43" customHeight="1" spans="1:3">
      <c r="A43" s="105">
        <v>45078</v>
      </c>
      <c r="B43" s="128">
        <v>-0.0168</v>
      </c>
      <c r="C43" s="128">
        <v>-0.0147</v>
      </c>
    </row>
    <row r="44" customHeight="1" spans="1:3">
      <c r="A44" s="105">
        <v>45108</v>
      </c>
      <c r="B44" s="117">
        <v>-0.0022</v>
      </c>
      <c r="C44" s="117">
        <v>-0.0342</v>
      </c>
    </row>
    <row r="45" customHeight="1" spans="1:3">
      <c r="A45" s="105">
        <v>45139</v>
      </c>
      <c r="B45" s="128">
        <v>0.0004</v>
      </c>
      <c r="C45" s="128">
        <v>-0.0493</v>
      </c>
    </row>
    <row r="46" customHeight="1" spans="1:3">
      <c r="A46" s="105">
        <v>45170</v>
      </c>
      <c r="B46" s="117">
        <v>-0.0027</v>
      </c>
      <c r="C46" s="117">
        <v>-0.065</v>
      </c>
    </row>
    <row r="47" customHeight="1" spans="1:3">
      <c r="A47" s="105">
        <v>45200</v>
      </c>
      <c r="B47" s="128">
        <v>-0.0085</v>
      </c>
      <c r="C47" s="128">
        <v>-0.0887</v>
      </c>
    </row>
    <row r="48" customHeight="1" spans="1:3">
      <c r="A48" s="105">
        <v>45231</v>
      </c>
      <c r="B48" s="117">
        <v>-0.0157</v>
      </c>
      <c r="C48" s="117">
        <v>-0.1025</v>
      </c>
    </row>
    <row r="49" customHeight="1" spans="1:3">
      <c r="A49" s="105">
        <v>45261</v>
      </c>
      <c r="B49" s="128">
        <v>-0.0084</v>
      </c>
      <c r="C49" s="128">
        <v>-0.1001</v>
      </c>
    </row>
    <row r="50" customHeight="1" spans="1:3">
      <c r="A50" s="105">
        <v>45292</v>
      </c>
      <c r="B50" s="117">
        <v>-0.0076</v>
      </c>
      <c r="C50" s="117">
        <v>-0.1035</v>
      </c>
    </row>
    <row r="51" customHeight="1" spans="1:3">
      <c r="A51" s="105">
        <v>45323</v>
      </c>
      <c r="B51" s="128">
        <v>0.0028</v>
      </c>
      <c r="C51" s="128">
        <v>-0.0841</v>
      </c>
    </row>
    <row r="52" customHeight="1" spans="1:3">
      <c r="A52" s="105">
        <v>45352</v>
      </c>
      <c r="B52" s="117">
        <v>0.0157</v>
      </c>
      <c r="C52" s="117">
        <v>-0.0513</v>
      </c>
    </row>
    <row r="53" customHeight="1" spans="1:3">
      <c r="A53" s="105">
        <v>45383</v>
      </c>
      <c r="B53" s="128">
        <v>0.0096</v>
      </c>
      <c r="C53" s="128">
        <v>-0.0426</v>
      </c>
    </row>
    <row r="54" customHeight="1" spans="1:3">
      <c r="A54" s="105">
        <v>45413</v>
      </c>
      <c r="B54" s="128">
        <v>0.0073</v>
      </c>
      <c r="C54" s="128">
        <v>-0.0265</v>
      </c>
    </row>
    <row r="55" customHeight="1" spans="1:3">
      <c r="A55" s="105">
        <v>45444</v>
      </c>
      <c r="B55" s="128">
        <v>0.0061</v>
      </c>
      <c r="C55" s="128">
        <v>-0.0039</v>
      </c>
    </row>
    <row r="56" customHeight="1" spans="1:3">
      <c r="A56" s="105">
        <v>45474</v>
      </c>
      <c r="B56" s="128">
        <v>0.0179</v>
      </c>
      <c r="C56" s="128">
        <v>0.0162</v>
      </c>
    </row>
    <row r="57" customHeight="1" spans="1:3">
      <c r="A57" s="105">
        <v>45505</v>
      </c>
      <c r="B57" s="128">
        <v>0.0052</v>
      </c>
      <c r="C57" s="128">
        <v>0.0211</v>
      </c>
    </row>
    <row r="58" customHeight="1" spans="1:3">
      <c r="A58" s="105">
        <v>45536</v>
      </c>
      <c r="B58" s="128">
        <v>0.006</v>
      </c>
      <c r="C58" s="128">
        <v>0.03</v>
      </c>
    </row>
    <row r="59" customHeight="1" spans="1:3">
      <c r="A59" s="105">
        <v>45566</v>
      </c>
      <c r="B59" s="128">
        <v>0.0056</v>
      </c>
      <c r="C59" s="128">
        <v>0.0447</v>
      </c>
    </row>
    <row r="60" customHeight="1" spans="1:3">
      <c r="A60" s="105">
        <v>45597</v>
      </c>
      <c r="B60" s="128">
        <v>0.0034</v>
      </c>
      <c r="C60" s="128">
        <v>0.065</v>
      </c>
    </row>
    <row r="61" customHeight="1" spans="1:3">
      <c r="A61" s="105">
        <v>45627</v>
      </c>
      <c r="B61" s="128">
        <v>0.0127</v>
      </c>
      <c r="C61" s="128">
        <v>0.0877</v>
      </c>
    </row>
    <row r="62" customHeight="1" spans="1:3">
      <c r="A62" s="105">
        <v>45658</v>
      </c>
      <c r="B62" s="128">
        <v>0.0063</v>
      </c>
      <c r="C62" s="128">
        <v>0.103</v>
      </c>
    </row>
    <row r="63" customHeight="1" spans="1:3">
      <c r="A63" s="105">
        <v>45689</v>
      </c>
      <c r="B63" s="128">
        <v>-0.0005</v>
      </c>
      <c r="C63" s="128">
        <v>0.0994</v>
      </c>
    </row>
    <row r="64" customHeight="1" spans="1:3">
      <c r="A64" s="105">
        <v>45717</v>
      </c>
      <c r="B64" s="128">
        <v>0.001</v>
      </c>
      <c r="C64" s="128">
        <v>0.0835</v>
      </c>
    </row>
    <row r="65" customHeight="1" spans="1:3">
      <c r="A65" s="105">
        <v>45748</v>
      </c>
      <c r="B65" s="128">
        <v>0.0096</v>
      </c>
      <c r="C65" s="128">
        <v>0.0836</v>
      </c>
    </row>
    <row r="66" customHeight="1" spans="1:3">
      <c r="A66" s="105">
        <v>45778</v>
      </c>
      <c r="B66" s="128">
        <v>0.0092</v>
      </c>
      <c r="C66" s="128">
        <v>0.0857</v>
      </c>
    </row>
    <row r="67" customHeight="1" spans="1:3">
      <c r="A67" s="105">
        <v>45809</v>
      </c>
      <c r="B67" s="128">
        <v>0.0012</v>
      </c>
      <c r="C67" s="128">
        <v>0.0805</v>
      </c>
    </row>
    <row r="68" customHeight="1" spans="1:3">
      <c r="A68" s="105">
        <v>45839</v>
      </c>
      <c r="B68" s="117">
        <v>0.0052</v>
      </c>
      <c r="C68" s="117">
        <v>0.0671</v>
      </c>
    </row>
    <row r="69" customHeight="1" spans="1:3">
      <c r="A69" s="105">
        <v>45870</v>
      </c>
      <c r="B69" s="117">
        <v>0.0007</v>
      </c>
      <c r="C69" s="117">
        <v>0.0623</v>
      </c>
    </row>
    <row r="70" customHeight="1" spans="1:3">
      <c r="A70" s="105">
        <v>45901</v>
      </c>
      <c r="B70" s="117">
        <v>-0.0084</v>
      </c>
      <c r="C70" s="117">
        <v>0.0471</v>
      </c>
    </row>
    <row r="71" customHeight="1" spans="1:3">
      <c r="A71" s="105">
        <v>45931</v>
      </c>
      <c r="B71" s="117">
        <v>-0.008</v>
      </c>
      <c r="C71" s="117">
        <v>0.0329</v>
      </c>
    </row>
    <row r="72" customHeight="1" spans="1:3">
      <c r="A72" s="105">
        <v>45962</v>
      </c>
      <c r="B72" s="117">
        <v>0.0003</v>
      </c>
      <c r="C72" s="117">
        <v>0.0297</v>
      </c>
    </row>
    <row r="73" customHeight="1" spans="1:3">
      <c r="A73" s="105">
        <v>45992</v>
      </c>
      <c r="B73" s="117">
        <v>0.0054</v>
      </c>
      <c r="C73" s="117">
        <v>0.0222</v>
      </c>
    </row>
    <row r="74" customHeight="1" spans="1:3">
      <c r="A74" s="105">
        <v>46023</v>
      </c>
      <c r="B74" s="117">
        <v>0.0065</v>
      </c>
      <c r="C74" s="117">
        <v>0.0224</v>
      </c>
    </row>
    <row r="75" customHeight="1" spans="1:3">
      <c r="A75" s="105">
        <v>46054</v>
      </c>
      <c r="B75" s="117">
        <v>0.0073</v>
      </c>
      <c r="C75" s="117">
        <v>0.0304</v>
      </c>
    </row>
    <row r="76" customHeight="1" spans="1:3">
      <c r="A76" s="105">
        <v>46082</v>
      </c>
      <c r="B76" s="117">
        <v>-0.0057</v>
      </c>
      <c r="C76" s="117">
        <v>0.0235</v>
      </c>
    </row>
    <row r="77" customHeight="1" spans="1:3">
      <c r="A77" s="105">
        <v>46113</v>
      </c>
      <c r="B77" s="117">
        <v>-0.0071</v>
      </c>
      <c r="C77" s="117">
        <v>0.0065</v>
      </c>
    </row>
    <row r="78" customHeight="1" spans="1:3">
      <c r="A78" s="105">
        <v>46143</v>
      </c>
      <c r="B78" s="117">
        <v>-0.0113</v>
      </c>
      <c r="C78" s="117">
        <v>-0.014</v>
      </c>
    </row>
    <row r="79" customHeight="1" spans="1:3">
      <c r="A79" s="105">
        <v>46174</v>
      </c>
      <c r="B79" s="117">
        <v>-0.0133</v>
      </c>
      <c r="C79" s="117">
        <v>-0.0283</v>
      </c>
    </row>
    <row r="80" customHeight="1" spans="1:3">
      <c r="A80" s="105">
        <v>46204</v>
      </c>
      <c r="B80" s="117">
        <v>-0.0021</v>
      </c>
      <c r="C80" s="117">
        <v>-0.0354</v>
      </c>
    </row>
    <row r="81" customHeight="1" spans="1:3">
      <c r="A81" s="105">
        <v>46235</v>
      </c>
      <c r="B81" s="117">
        <v>-0.023</v>
      </c>
      <c r="C81" s="117">
        <v>-0.0582</v>
      </c>
    </row>
  </sheetData>
  <pageMargins left="0.75" right="0.75" top="1" bottom="1" header="0.5" footer="0.5"/>
  <pageSetup paperSize="9" orientation="portrait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83"/>
  <sheetViews>
    <sheetView workbookViewId="0">
      <pane xSplit="1" ySplit="4" topLeftCell="B60" activePane="bottomRight" state="frozen"/>
      <selection/>
      <selection pane="topRight"/>
      <selection pane="bottomLeft"/>
      <selection pane="bottomRight" activeCell="B83" sqref="B83:C83"/>
    </sheetView>
  </sheetViews>
  <sheetFormatPr defaultColWidth="9" defaultRowHeight="20" customHeight="1" outlineLevelCol="2"/>
  <cols>
    <col min="1" max="1" width="13.125" style="92" customWidth="1"/>
    <col min="2" max="3" width="13.125" customWidth="1"/>
  </cols>
  <sheetData>
    <row r="2" s="118" customFormat="1" ht="30" customHeight="1" spans="1:3">
      <c r="A2" s="93" t="s">
        <v>99</v>
      </c>
      <c r="B2" s="94"/>
      <c r="C2" s="94"/>
    </row>
    <row r="3" s="118" customFormat="1" ht="30" customHeight="1" spans="1:3">
      <c r="A3" s="95" t="s">
        <v>100</v>
      </c>
      <c r="B3" s="120" t="s">
        <v>101</v>
      </c>
      <c r="C3" s="120"/>
    </row>
    <row r="4" s="118" customFormat="1" ht="30" customHeight="1" spans="1:3">
      <c r="A4" s="95" t="s">
        <v>29</v>
      </c>
      <c r="B4" s="96" t="s">
        <v>58</v>
      </c>
      <c r="C4" s="121" t="s">
        <v>95</v>
      </c>
    </row>
    <row r="5" customFormat="1" customHeight="1" spans="1:3">
      <c r="A5" s="97">
        <v>43862</v>
      </c>
      <c r="B5" s="98">
        <v>1772814</v>
      </c>
      <c r="C5" s="286" t="s">
        <v>97</v>
      </c>
    </row>
    <row r="6" customFormat="1" customHeight="1" spans="1:3">
      <c r="A6" s="97">
        <v>43891</v>
      </c>
      <c r="B6" s="98">
        <v>1760831</v>
      </c>
      <c r="C6" s="99">
        <v>-0.0068</v>
      </c>
    </row>
    <row r="7" customFormat="1" customHeight="1" spans="1:3">
      <c r="A7" s="97">
        <v>43922</v>
      </c>
      <c r="B7" s="98">
        <v>1800108</v>
      </c>
      <c r="C7" s="99">
        <v>0.0223</v>
      </c>
    </row>
    <row r="8" customFormat="1" customHeight="1" spans="1:3">
      <c r="A8" s="97">
        <v>43952</v>
      </c>
      <c r="B8" s="98">
        <v>1840016</v>
      </c>
      <c r="C8" s="99">
        <v>0.0222</v>
      </c>
    </row>
    <row r="9" customFormat="1" customHeight="1" spans="1:3">
      <c r="A9" s="97">
        <v>43983</v>
      </c>
      <c r="B9" s="98">
        <v>1850640</v>
      </c>
      <c r="C9" s="99">
        <v>0.0058</v>
      </c>
    </row>
    <row r="10" customFormat="1" customHeight="1" spans="1:3">
      <c r="A10" s="97">
        <v>44013</v>
      </c>
      <c r="B10" s="98">
        <v>1904232</v>
      </c>
      <c r="C10" s="99">
        <v>0.029</v>
      </c>
    </row>
    <row r="11" customFormat="1" customHeight="1" spans="1:3">
      <c r="A11" s="97">
        <v>44044</v>
      </c>
      <c r="B11" s="98">
        <v>1959991</v>
      </c>
      <c r="C11" s="99">
        <v>0.0293</v>
      </c>
    </row>
    <row r="12" customFormat="1" customHeight="1" spans="1:3">
      <c r="A12" s="97">
        <v>44075</v>
      </c>
      <c r="B12" s="98">
        <v>2104310</v>
      </c>
      <c r="C12" s="99">
        <v>0.0736</v>
      </c>
    </row>
    <row r="13" customFormat="1" customHeight="1" spans="1:3">
      <c r="A13" s="97">
        <v>44105</v>
      </c>
      <c r="B13" s="98">
        <v>2151538</v>
      </c>
      <c r="C13" s="99">
        <v>0.0224</v>
      </c>
    </row>
    <row r="14" customFormat="1" customHeight="1" spans="1:3">
      <c r="A14" s="97">
        <v>44136</v>
      </c>
      <c r="B14" s="98">
        <v>2163687</v>
      </c>
      <c r="C14" s="99">
        <v>0.0056</v>
      </c>
    </row>
    <row r="15" customFormat="1" customHeight="1" spans="1:3">
      <c r="A15" s="97">
        <v>44166</v>
      </c>
      <c r="B15" s="98">
        <v>2166682</v>
      </c>
      <c r="C15" s="99">
        <f>(B15-B16)/B16</f>
        <v>0.0445394915089182</v>
      </c>
    </row>
    <row r="16" customFormat="1" customHeight="1" spans="1:3">
      <c r="A16" s="97">
        <v>44197</v>
      </c>
      <c r="B16" s="98">
        <v>2074294</v>
      </c>
      <c r="C16" s="99">
        <v>-0.0426</v>
      </c>
    </row>
    <row r="17" customFormat="1" customHeight="1" spans="1:3">
      <c r="A17" s="97">
        <v>44228</v>
      </c>
      <c r="B17" s="98">
        <v>1974188</v>
      </c>
      <c r="C17" s="99">
        <v>-0.0483</v>
      </c>
    </row>
    <row r="18" customFormat="1" customHeight="1" spans="1:3">
      <c r="A18" s="97">
        <v>44256</v>
      </c>
      <c r="B18" s="98">
        <v>2029567</v>
      </c>
      <c r="C18" s="99">
        <v>0.0281</v>
      </c>
    </row>
    <row r="19" customFormat="1" customHeight="1" spans="1:3">
      <c r="A19" s="97">
        <v>44287</v>
      </c>
      <c r="B19" s="98">
        <v>2076006</v>
      </c>
      <c r="C19" s="99">
        <v>0.0229</v>
      </c>
    </row>
    <row r="20" customFormat="1" customHeight="1" spans="1:3">
      <c r="A20" s="97">
        <v>44317</v>
      </c>
      <c r="B20" s="122">
        <v>2114332</v>
      </c>
      <c r="C20" s="99">
        <v>0.0185</v>
      </c>
    </row>
    <row r="21" customFormat="1" customHeight="1" spans="1:3">
      <c r="A21" s="97">
        <v>44348</v>
      </c>
      <c r="B21" s="98">
        <v>2109011</v>
      </c>
      <c r="C21" s="99">
        <v>-0.0025</v>
      </c>
    </row>
    <row r="22" customFormat="1" customHeight="1" spans="1:3">
      <c r="A22" s="97">
        <v>44378</v>
      </c>
      <c r="B22" s="98">
        <v>2174161</v>
      </c>
      <c r="C22" s="99">
        <v>0.0309</v>
      </c>
    </row>
    <row r="23" customFormat="1" customHeight="1" spans="1:3">
      <c r="A23" s="97">
        <v>44409</v>
      </c>
      <c r="B23" s="98">
        <v>2230893</v>
      </c>
      <c r="C23" s="99">
        <v>0.0261</v>
      </c>
    </row>
    <row r="24" customFormat="1" customHeight="1" spans="1:3">
      <c r="A24" s="97">
        <v>44440</v>
      </c>
      <c r="B24" s="98">
        <v>2263473</v>
      </c>
      <c r="C24" s="99">
        <v>0.0146</v>
      </c>
    </row>
    <row r="25" customFormat="1" customHeight="1" spans="1:3">
      <c r="A25" s="97">
        <v>44470</v>
      </c>
      <c r="B25" s="98">
        <v>2247394</v>
      </c>
      <c r="C25" s="99">
        <v>-0.0071</v>
      </c>
    </row>
    <row r="26" customFormat="1" customHeight="1" spans="1:3">
      <c r="A26" s="97">
        <v>44501</v>
      </c>
      <c r="B26" s="98">
        <v>2191884</v>
      </c>
      <c r="C26" s="99">
        <v>-0.0247</v>
      </c>
    </row>
    <row r="27" s="8" customFormat="1" customHeight="1" spans="1:3">
      <c r="A27" s="97">
        <v>44531</v>
      </c>
      <c r="B27" s="98">
        <v>2160129</v>
      </c>
      <c r="C27" s="99">
        <v>-0.0145</v>
      </c>
    </row>
    <row r="28" s="91" customFormat="1" customHeight="1" spans="1:3">
      <c r="A28" s="97">
        <v>44562</v>
      </c>
      <c r="B28" s="98">
        <v>2079053</v>
      </c>
      <c r="C28" s="99">
        <v>-0.0375</v>
      </c>
    </row>
    <row r="29" s="91" customFormat="1" customHeight="1" spans="1:3">
      <c r="A29" s="97">
        <v>44593</v>
      </c>
      <c r="B29" s="98">
        <v>1950561</v>
      </c>
      <c r="C29" s="99">
        <v>-0.0618</v>
      </c>
    </row>
    <row r="30" s="91" customFormat="1" customHeight="1" spans="1:3">
      <c r="A30" s="97">
        <v>44621</v>
      </c>
      <c r="B30" s="98">
        <v>1886846</v>
      </c>
      <c r="C30" s="99">
        <v>-0.0327</v>
      </c>
    </row>
    <row r="31" s="119" customFormat="1" customHeight="1" spans="1:3">
      <c r="A31" s="105">
        <v>44652</v>
      </c>
      <c r="B31" s="116">
        <v>1844112</v>
      </c>
      <c r="C31" s="117">
        <v>-0.0226</v>
      </c>
    </row>
    <row r="32" s="119" customFormat="1" customHeight="1" spans="1:3">
      <c r="A32" s="105">
        <v>44682</v>
      </c>
      <c r="B32" s="116">
        <v>1853116</v>
      </c>
      <c r="C32" s="117">
        <v>0.0049</v>
      </c>
    </row>
    <row r="33" s="91" customFormat="1" customHeight="1" spans="1:3">
      <c r="A33" s="105">
        <v>44713</v>
      </c>
      <c r="B33" s="116">
        <v>1849649</v>
      </c>
      <c r="C33" s="117">
        <v>-0.0019</v>
      </c>
    </row>
    <row r="34" s="8" customFormat="1" customHeight="1" spans="1:3">
      <c r="A34" s="105">
        <v>44743</v>
      </c>
      <c r="B34" s="116">
        <v>1864257</v>
      </c>
      <c r="C34" s="117">
        <v>0.0079</v>
      </c>
    </row>
    <row r="35" customHeight="1" spans="1:3">
      <c r="A35" s="105">
        <v>44774</v>
      </c>
      <c r="B35" s="116">
        <v>1889528</v>
      </c>
      <c r="C35" s="117">
        <v>0.0136</v>
      </c>
    </row>
    <row r="36" customHeight="1" spans="1:3">
      <c r="A36" s="105">
        <v>44805</v>
      </c>
      <c r="B36" s="116">
        <v>1910367</v>
      </c>
      <c r="C36" s="117">
        <v>0.011</v>
      </c>
    </row>
    <row r="37" customHeight="1" spans="1:3">
      <c r="A37" s="105">
        <v>44835</v>
      </c>
      <c r="B37" s="116">
        <v>1950190</v>
      </c>
      <c r="C37" s="117">
        <v>0.0208</v>
      </c>
    </row>
    <row r="38" customHeight="1" spans="1:3">
      <c r="A38" s="105">
        <v>44866</v>
      </c>
      <c r="B38" s="116">
        <v>1977246</v>
      </c>
      <c r="C38" s="117">
        <v>0.0139</v>
      </c>
    </row>
    <row r="39" customHeight="1" spans="1:3">
      <c r="A39" s="105">
        <v>44896</v>
      </c>
      <c r="B39" s="103">
        <v>1993654</v>
      </c>
      <c r="C39" s="104">
        <v>0.0083</v>
      </c>
    </row>
    <row r="40" customHeight="1" spans="1:3">
      <c r="A40" s="105">
        <v>44927</v>
      </c>
      <c r="B40" s="103">
        <v>2000038</v>
      </c>
      <c r="C40" s="104">
        <v>0.0032</v>
      </c>
    </row>
    <row r="41" customHeight="1" spans="1:3">
      <c r="A41" s="105">
        <v>44958</v>
      </c>
      <c r="B41" s="103">
        <v>1958351</v>
      </c>
      <c r="C41" s="104">
        <v>-0.0208</v>
      </c>
    </row>
    <row r="42" customHeight="1" spans="1:3">
      <c r="A42" s="105">
        <v>44986</v>
      </c>
      <c r="B42" s="103">
        <v>1917977</v>
      </c>
      <c r="C42" s="104">
        <v>-0.0206</v>
      </c>
    </row>
    <row r="43" customHeight="1" spans="1:3">
      <c r="A43" s="105">
        <v>45017</v>
      </c>
      <c r="B43" s="103">
        <v>1904715</v>
      </c>
      <c r="C43" s="104">
        <v>-0.0069</v>
      </c>
    </row>
    <row r="44" customHeight="1" spans="1:3">
      <c r="A44" s="105">
        <v>45047</v>
      </c>
      <c r="B44" s="116">
        <v>1901543</v>
      </c>
      <c r="C44" s="117">
        <v>-0.0017</v>
      </c>
    </row>
    <row r="45" customHeight="1" spans="1:3">
      <c r="A45" s="105">
        <v>45078</v>
      </c>
      <c r="B45" s="116">
        <v>1897281</v>
      </c>
      <c r="C45" s="117">
        <v>-0.0022</v>
      </c>
    </row>
    <row r="46" customHeight="1" spans="1:3">
      <c r="A46" s="105">
        <v>45108</v>
      </c>
      <c r="B46" s="116">
        <v>1903676</v>
      </c>
      <c r="C46" s="117">
        <v>0.0034</v>
      </c>
    </row>
    <row r="47" customHeight="1" spans="1:3">
      <c r="A47" s="105">
        <v>45139</v>
      </c>
      <c r="B47" s="116">
        <v>1917753</v>
      </c>
      <c r="C47" s="117">
        <v>0.0074</v>
      </c>
    </row>
    <row r="48" customHeight="1" spans="1:3">
      <c r="A48" s="105">
        <v>45170</v>
      </c>
      <c r="B48" s="116">
        <v>1925313</v>
      </c>
      <c r="C48" s="117">
        <v>0.0039</v>
      </c>
    </row>
    <row r="49" customHeight="1" spans="1:3">
      <c r="A49" s="105">
        <v>45200</v>
      </c>
      <c r="B49" s="116">
        <v>1919989</v>
      </c>
      <c r="C49" s="117">
        <v>-0.0028</v>
      </c>
    </row>
    <row r="50" customHeight="1" spans="1:3">
      <c r="A50" s="105">
        <v>45231</v>
      </c>
      <c r="B50" s="116">
        <v>1908386</v>
      </c>
      <c r="C50" s="117">
        <v>-0.006</v>
      </c>
    </row>
    <row r="51" customHeight="1" spans="1:3">
      <c r="A51" s="105">
        <v>45261</v>
      </c>
      <c r="B51" s="116">
        <v>1905929</v>
      </c>
      <c r="C51" s="117">
        <v>-0.0013</v>
      </c>
    </row>
    <row r="52" customHeight="1" spans="1:3">
      <c r="A52" s="105">
        <v>45292</v>
      </c>
      <c r="B52" s="116">
        <v>1897714</v>
      </c>
      <c r="C52" s="117">
        <v>-0.0043</v>
      </c>
    </row>
    <row r="53" customHeight="1" spans="1:3">
      <c r="A53" s="105">
        <v>45323</v>
      </c>
      <c r="B53" s="116">
        <v>1909472</v>
      </c>
      <c r="C53" s="117">
        <v>0.0062</v>
      </c>
    </row>
    <row r="54" customHeight="1" spans="1:3">
      <c r="A54" s="105">
        <v>45352</v>
      </c>
      <c r="B54" s="116">
        <v>1959159</v>
      </c>
      <c r="C54" s="117">
        <v>0.026</v>
      </c>
    </row>
    <row r="55" customHeight="1" spans="1:3">
      <c r="A55" s="105">
        <v>45383</v>
      </c>
      <c r="B55" s="116">
        <v>2006258</v>
      </c>
      <c r="C55" s="117">
        <v>0.024</v>
      </c>
    </row>
    <row r="56" customHeight="1" spans="1:3">
      <c r="A56" s="105">
        <v>45413</v>
      </c>
      <c r="B56" s="116">
        <v>2025876</v>
      </c>
      <c r="C56" s="117">
        <v>0.0098</v>
      </c>
    </row>
    <row r="57" customHeight="1" spans="1:3">
      <c r="A57" s="105">
        <v>45444</v>
      </c>
      <c r="B57" s="116">
        <v>2049063</v>
      </c>
      <c r="C57" s="117">
        <v>0.0114</v>
      </c>
    </row>
    <row r="58" customHeight="1" spans="1:3">
      <c r="A58" s="105">
        <v>45474</v>
      </c>
      <c r="B58" s="116">
        <v>2084963</v>
      </c>
      <c r="C58" s="117">
        <v>0.0175</v>
      </c>
    </row>
    <row r="59" customHeight="1" spans="1:3">
      <c r="A59" s="105">
        <v>45505</v>
      </c>
      <c r="B59" s="116">
        <v>2129546</v>
      </c>
      <c r="C59" s="117">
        <v>0.0214</v>
      </c>
    </row>
    <row r="60" customHeight="1" spans="1:3">
      <c r="A60" s="105">
        <v>45536</v>
      </c>
      <c r="B60" s="116">
        <v>2169428</v>
      </c>
      <c r="C60" s="117">
        <v>0.0187</v>
      </c>
    </row>
    <row r="61" customHeight="1" spans="1:3">
      <c r="A61" s="105">
        <v>45566</v>
      </c>
      <c r="B61" s="116">
        <v>2188548</v>
      </c>
      <c r="C61" s="117">
        <v>0.0088</v>
      </c>
    </row>
    <row r="62" customHeight="1" spans="1:3">
      <c r="A62" s="105">
        <v>45597</v>
      </c>
      <c r="B62" s="116">
        <v>2217021</v>
      </c>
      <c r="C62" s="117">
        <v>0.013</v>
      </c>
    </row>
    <row r="63" customHeight="1" spans="1:3">
      <c r="A63" s="105">
        <v>45627</v>
      </c>
      <c r="B63" s="116">
        <v>2243096</v>
      </c>
      <c r="C63" s="117">
        <v>0.0118</v>
      </c>
    </row>
    <row r="64" customHeight="1" spans="1:3">
      <c r="A64" s="105">
        <v>45658</v>
      </c>
      <c r="B64" s="116">
        <v>2262608</v>
      </c>
      <c r="C64" s="117">
        <v>0.0087</v>
      </c>
    </row>
    <row r="65" customHeight="1" spans="1:3">
      <c r="A65" s="105">
        <v>45689</v>
      </c>
      <c r="B65" s="116">
        <v>2268474</v>
      </c>
      <c r="C65" s="117">
        <v>0.0026</v>
      </c>
    </row>
    <row r="66" customHeight="1" spans="1:3">
      <c r="A66" s="105">
        <v>45717</v>
      </c>
      <c r="B66" s="116">
        <v>2266849</v>
      </c>
      <c r="C66" s="117">
        <v>-0.0007</v>
      </c>
    </row>
    <row r="67" customHeight="1" spans="1:3">
      <c r="A67" s="105">
        <v>45748</v>
      </c>
      <c r="B67" s="116">
        <v>2285207</v>
      </c>
      <c r="C67" s="117">
        <v>0.0081</v>
      </c>
    </row>
    <row r="68" customHeight="1" spans="1:3">
      <c r="A68" s="105">
        <v>45778</v>
      </c>
      <c r="B68" s="116">
        <v>2315374</v>
      </c>
      <c r="C68" s="117">
        <v>0.0132</v>
      </c>
    </row>
    <row r="69" customHeight="1" spans="1:3">
      <c r="A69" s="105">
        <v>45809</v>
      </c>
      <c r="B69" s="116">
        <v>2327972</v>
      </c>
      <c r="C69" s="117">
        <v>0.0054</v>
      </c>
    </row>
    <row r="70" customHeight="1" spans="1:3">
      <c r="A70" s="105">
        <v>45839</v>
      </c>
      <c r="B70" s="116">
        <v>2357677</v>
      </c>
      <c r="C70" s="117">
        <v>0.0128</v>
      </c>
    </row>
    <row r="71" customHeight="1" spans="1:3">
      <c r="A71" s="105">
        <v>45870</v>
      </c>
      <c r="B71" s="116">
        <v>2382134</v>
      </c>
      <c r="C71" s="117">
        <v>0.0104</v>
      </c>
    </row>
    <row r="72" customHeight="1" spans="1:3">
      <c r="A72" s="105">
        <v>45901</v>
      </c>
      <c r="B72" s="116">
        <v>2415872</v>
      </c>
      <c r="C72" s="117">
        <v>0.0142</v>
      </c>
    </row>
    <row r="73" customHeight="1" spans="1:3">
      <c r="A73" s="105">
        <v>45931</v>
      </c>
      <c r="B73" s="116">
        <v>2438696</v>
      </c>
      <c r="C73" s="117">
        <v>0.0094</v>
      </c>
    </row>
    <row r="74" customHeight="1" spans="1:3">
      <c r="A74" s="105">
        <v>45962</v>
      </c>
      <c r="B74" s="116">
        <v>2417032</v>
      </c>
      <c r="C74" s="117">
        <v>-0.0089</v>
      </c>
    </row>
    <row r="75" customHeight="1" spans="1:3">
      <c r="A75" s="105">
        <v>45992</v>
      </c>
      <c r="B75" s="116">
        <v>2385644</v>
      </c>
      <c r="C75" s="117">
        <v>-0.013</v>
      </c>
    </row>
    <row r="76" customHeight="1" spans="1:3">
      <c r="A76" s="105">
        <v>46023</v>
      </c>
      <c r="B76" s="116">
        <v>2368190</v>
      </c>
      <c r="C76" s="117">
        <v>-0.0073</v>
      </c>
    </row>
    <row r="77" customHeight="1" spans="1:3">
      <c r="A77" s="105">
        <v>46054</v>
      </c>
      <c r="B77" s="116">
        <v>2350527</v>
      </c>
      <c r="C77" s="117">
        <v>-0.0075</v>
      </c>
    </row>
    <row r="78" customHeight="1" spans="1:3">
      <c r="A78" s="105">
        <v>46082</v>
      </c>
      <c r="B78" s="116">
        <v>2347225</v>
      </c>
      <c r="C78" s="117">
        <v>-0.0014</v>
      </c>
    </row>
    <row r="79" customHeight="1" spans="1:3">
      <c r="A79" s="105">
        <v>46113</v>
      </c>
      <c r="B79" s="116">
        <v>2337528</v>
      </c>
      <c r="C79" s="117">
        <v>-0.0041</v>
      </c>
    </row>
    <row r="80" customHeight="1" spans="1:3">
      <c r="A80" s="105">
        <v>46143</v>
      </c>
      <c r="B80" s="116">
        <v>2339323</v>
      </c>
      <c r="C80" s="117">
        <v>0.0008</v>
      </c>
    </row>
    <row r="81" customHeight="1" spans="1:3">
      <c r="A81" s="105">
        <v>46174</v>
      </c>
      <c r="B81" s="116">
        <v>2343035</v>
      </c>
      <c r="C81" s="117">
        <v>0.0016</v>
      </c>
    </row>
    <row r="82" customHeight="1" spans="1:3">
      <c r="A82" s="109">
        <v>46204</v>
      </c>
      <c r="B82" s="116">
        <v>2327351</v>
      </c>
      <c r="C82" s="117">
        <v>-0.0067</v>
      </c>
    </row>
    <row r="83" customHeight="1" spans="1:3">
      <c r="A83" s="105">
        <v>46235</v>
      </c>
      <c r="B83" s="116">
        <v>2336158</v>
      </c>
      <c r="C83" s="117">
        <v>0.0038</v>
      </c>
    </row>
  </sheetData>
  <mergeCells count="2">
    <mergeCell ref="A2:C2"/>
    <mergeCell ref="B3:C3"/>
  </mergeCells>
  <pageMargins left="0.75" right="0.75" top="1" bottom="1" header="0.5" footer="0.5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81"/>
  <sheetViews>
    <sheetView workbookViewId="0">
      <pane xSplit="1" ySplit="4" topLeftCell="B60" activePane="bottomRight" state="frozen"/>
      <selection/>
      <selection pane="topRight"/>
      <selection pane="bottomLeft"/>
      <selection pane="bottomRight" activeCell="B81" sqref="B81:C81"/>
    </sheetView>
  </sheetViews>
  <sheetFormatPr defaultColWidth="13.125" defaultRowHeight="20" customHeight="1" outlineLevelCol="2"/>
  <cols>
    <col min="1" max="1" width="13.125" style="92" customWidth="1"/>
    <col min="2" max="16363" width="13.125" customWidth="1"/>
  </cols>
  <sheetData>
    <row r="2" s="8" customFormat="1" ht="30" customHeight="1" spans="1:3">
      <c r="A2" s="111" t="s">
        <v>102</v>
      </c>
      <c r="B2" s="112"/>
      <c r="C2" s="112"/>
    </row>
    <row r="3" s="8" customFormat="1" ht="30" customHeight="1" spans="1:3">
      <c r="A3" s="95" t="s">
        <v>100</v>
      </c>
      <c r="B3" s="94" t="s">
        <v>101</v>
      </c>
      <c r="C3" s="94"/>
    </row>
    <row r="4" s="8" customFormat="1" ht="30" customHeight="1" spans="1:3">
      <c r="A4" s="113" t="s">
        <v>29</v>
      </c>
      <c r="B4" s="114" t="s">
        <v>58</v>
      </c>
      <c r="C4" s="115" t="s">
        <v>95</v>
      </c>
    </row>
    <row r="5" customHeight="1" spans="1:3">
      <c r="A5" s="109">
        <v>43922</v>
      </c>
      <c r="B5" s="108">
        <v>2276036</v>
      </c>
      <c r="C5" s="286" t="s">
        <v>97</v>
      </c>
    </row>
    <row r="6" customHeight="1" spans="1:3">
      <c r="A6" s="109">
        <v>43952</v>
      </c>
      <c r="B6" s="108">
        <v>2230507</v>
      </c>
      <c r="C6" s="23">
        <v>-0.02</v>
      </c>
    </row>
    <row r="7" customHeight="1" spans="1:3">
      <c r="A7" s="109">
        <v>43983</v>
      </c>
      <c r="B7" s="108">
        <v>2196457</v>
      </c>
      <c r="C7" s="23">
        <v>-0.0153</v>
      </c>
    </row>
    <row r="8" customHeight="1" spans="1:3">
      <c r="A8" s="109">
        <v>44013</v>
      </c>
      <c r="B8" s="108">
        <v>2351829</v>
      </c>
      <c r="C8" s="23">
        <v>0.0707</v>
      </c>
    </row>
    <row r="9" customHeight="1" spans="1:3">
      <c r="A9" s="109">
        <v>44044</v>
      </c>
      <c r="B9" s="108">
        <v>2376747</v>
      </c>
      <c r="C9" s="23">
        <v>0.0106</v>
      </c>
    </row>
    <row r="10" customHeight="1" spans="1:3">
      <c r="A10" s="109">
        <v>44075</v>
      </c>
      <c r="B10" s="108">
        <v>2454745</v>
      </c>
      <c r="C10" s="23">
        <v>0.0328</v>
      </c>
    </row>
    <row r="11" customHeight="1" spans="1:3">
      <c r="A11" s="109">
        <v>44105</v>
      </c>
      <c r="B11" s="108">
        <v>2499764</v>
      </c>
      <c r="C11" s="100">
        <v>0.0183</v>
      </c>
    </row>
    <row r="12" customHeight="1" spans="1:3">
      <c r="A12" s="109">
        <v>44136</v>
      </c>
      <c r="B12" s="108">
        <v>2483809</v>
      </c>
      <c r="C12" s="100">
        <v>-0.0064</v>
      </c>
    </row>
    <row r="13" customHeight="1" spans="1:3">
      <c r="A13" s="109">
        <v>44166</v>
      </c>
      <c r="B13" s="108">
        <v>2326992</v>
      </c>
      <c r="C13" s="100">
        <v>-0.0631</v>
      </c>
    </row>
    <row r="14" customHeight="1" spans="1:3">
      <c r="A14" s="109">
        <v>44197</v>
      </c>
      <c r="B14" s="108">
        <v>2112355</v>
      </c>
      <c r="C14" s="23">
        <v>-0.0922</v>
      </c>
    </row>
    <row r="15" customHeight="1" spans="1:3">
      <c r="A15" s="109">
        <v>44228</v>
      </c>
      <c r="B15" s="108">
        <v>1955285</v>
      </c>
      <c r="C15" s="99">
        <v>-0.0744</v>
      </c>
    </row>
    <row r="16" customHeight="1" spans="1:3">
      <c r="A16" s="109">
        <v>44256</v>
      </c>
      <c r="B16" s="108">
        <v>1958929</v>
      </c>
      <c r="C16" s="23">
        <v>0.0019</v>
      </c>
    </row>
    <row r="17" customHeight="1" spans="1:3">
      <c r="A17" s="109">
        <v>44287</v>
      </c>
      <c r="B17" s="108">
        <v>2035912</v>
      </c>
      <c r="C17" s="23">
        <v>0.0393</v>
      </c>
    </row>
    <row r="18" customHeight="1" spans="1:3">
      <c r="A18" s="109">
        <v>44317</v>
      </c>
      <c r="B18" s="108">
        <v>2078081</v>
      </c>
      <c r="C18" s="23">
        <v>0.0207</v>
      </c>
    </row>
    <row r="19" customHeight="1" spans="1:3">
      <c r="A19" s="109">
        <v>44348</v>
      </c>
      <c r="B19" s="108">
        <v>1947390</v>
      </c>
      <c r="C19" s="23">
        <v>-0.0629</v>
      </c>
    </row>
    <row r="20" customHeight="1" spans="1:3">
      <c r="A20" s="109">
        <v>44378</v>
      </c>
      <c r="B20" s="108">
        <v>1973623</v>
      </c>
      <c r="C20" s="23">
        <v>0.0135</v>
      </c>
    </row>
    <row r="21" customHeight="1" spans="1:3">
      <c r="A21" s="109">
        <v>44409</v>
      </c>
      <c r="B21" s="108">
        <v>2029991</v>
      </c>
      <c r="C21" s="23">
        <v>0.0286</v>
      </c>
    </row>
    <row r="22" customHeight="1" spans="1:3">
      <c r="A22" s="109">
        <v>44440</v>
      </c>
      <c r="B22" s="108">
        <v>2008872</v>
      </c>
      <c r="C22" s="23">
        <v>-0.0104</v>
      </c>
    </row>
    <row r="23" customHeight="1" spans="1:3">
      <c r="A23" s="109">
        <v>44470</v>
      </c>
      <c r="B23" s="108">
        <v>2050349</v>
      </c>
      <c r="C23" s="23">
        <v>0.0206</v>
      </c>
    </row>
    <row r="24" customHeight="1" spans="1:3">
      <c r="A24" s="109">
        <v>44501</v>
      </c>
      <c r="B24" s="108">
        <v>2079209</v>
      </c>
      <c r="C24" s="23">
        <v>0.0141</v>
      </c>
    </row>
    <row r="25" customFormat="1" customHeight="1" spans="1:3">
      <c r="A25" s="109">
        <v>44531</v>
      </c>
      <c r="B25" s="108">
        <v>1993295</v>
      </c>
      <c r="C25" s="23">
        <v>-0.0413</v>
      </c>
    </row>
    <row r="26" s="8" customFormat="1" customHeight="1" spans="1:3">
      <c r="A26" s="109">
        <v>44562</v>
      </c>
      <c r="B26" s="108">
        <v>1856665</v>
      </c>
      <c r="C26" s="23">
        <v>-0.0685</v>
      </c>
    </row>
    <row r="27" s="91" customFormat="1" customHeight="1" spans="1:3">
      <c r="A27" s="109">
        <v>44593</v>
      </c>
      <c r="B27" s="108">
        <v>1822940</v>
      </c>
      <c r="C27" s="23">
        <v>-0.0182</v>
      </c>
    </row>
    <row r="28" s="91" customFormat="1" customHeight="1" spans="1:3">
      <c r="A28" s="109">
        <v>44621</v>
      </c>
      <c r="B28" s="108">
        <v>1800730</v>
      </c>
      <c r="C28" s="23">
        <v>-0.0122</v>
      </c>
    </row>
    <row r="29" s="110" customFormat="1" customHeight="1" spans="1:3">
      <c r="A29" s="105">
        <v>44652</v>
      </c>
      <c r="B29" s="116">
        <v>1762794</v>
      </c>
      <c r="C29" s="117">
        <v>-0.0211</v>
      </c>
    </row>
    <row r="30" s="110" customFormat="1" customHeight="1" spans="1:3">
      <c r="A30" s="105">
        <v>44682</v>
      </c>
      <c r="B30" s="116">
        <v>1724528</v>
      </c>
      <c r="C30" s="117">
        <v>-0.0217</v>
      </c>
    </row>
    <row r="31" s="91" customFormat="1" customHeight="1" spans="1:3">
      <c r="A31" s="105">
        <v>44713</v>
      </c>
      <c r="B31" s="116">
        <v>1678163</v>
      </c>
      <c r="C31" s="117">
        <v>-0.0269</v>
      </c>
    </row>
    <row r="32" s="8" customFormat="1" customHeight="1" spans="1:3">
      <c r="A32" s="105">
        <v>44743</v>
      </c>
      <c r="B32" s="116">
        <v>1687480</v>
      </c>
      <c r="C32" s="117">
        <v>0.0056</v>
      </c>
    </row>
    <row r="33" customHeight="1" spans="1:3">
      <c r="A33" s="105">
        <v>44774</v>
      </c>
      <c r="B33" s="116">
        <v>1699637</v>
      </c>
      <c r="C33" s="117">
        <v>0.0072</v>
      </c>
    </row>
    <row r="34" customHeight="1" spans="1:3">
      <c r="A34" s="105">
        <v>44805</v>
      </c>
      <c r="B34" s="116">
        <v>1718425</v>
      </c>
      <c r="C34" s="117">
        <v>0.0111</v>
      </c>
    </row>
    <row r="35" customHeight="1" spans="1:3">
      <c r="A35" s="105">
        <v>44835</v>
      </c>
      <c r="B35" s="116">
        <v>1777948</v>
      </c>
      <c r="C35" s="117">
        <v>0.0346</v>
      </c>
    </row>
    <row r="36" customHeight="1" spans="1:3">
      <c r="A36" s="105">
        <v>44866</v>
      </c>
      <c r="B36" s="116">
        <v>1832146</v>
      </c>
      <c r="C36" s="117">
        <v>0.0305</v>
      </c>
    </row>
    <row r="37" customHeight="1" spans="1:3">
      <c r="A37" s="105">
        <v>44896</v>
      </c>
      <c r="B37" s="103">
        <v>1739018</v>
      </c>
      <c r="C37" s="104">
        <v>-0.0508</v>
      </c>
    </row>
    <row r="38" customHeight="1" spans="1:3">
      <c r="A38" s="105">
        <v>44927</v>
      </c>
      <c r="B38" s="103">
        <v>1505788</v>
      </c>
      <c r="C38" s="104">
        <v>-0.1341</v>
      </c>
    </row>
    <row r="39" customHeight="1" spans="1:3">
      <c r="A39" s="105">
        <v>44958</v>
      </c>
      <c r="B39" s="103">
        <v>1425860</v>
      </c>
      <c r="C39" s="104">
        <v>-0.0531</v>
      </c>
    </row>
    <row r="40" customHeight="1" spans="1:3">
      <c r="A40" s="105">
        <v>44986</v>
      </c>
      <c r="B40" s="103">
        <v>1372690</v>
      </c>
      <c r="C40" s="104">
        <v>-0.0373</v>
      </c>
    </row>
    <row r="41" customHeight="1" spans="1:3">
      <c r="A41" s="105">
        <v>45017</v>
      </c>
      <c r="B41" s="103">
        <v>1365689</v>
      </c>
      <c r="C41" s="104">
        <v>-0.0051</v>
      </c>
    </row>
    <row r="42" customHeight="1" spans="1:3">
      <c r="A42" s="105">
        <v>45047</v>
      </c>
      <c r="B42" s="116">
        <v>1372408</v>
      </c>
      <c r="C42" s="117">
        <v>0.0049</v>
      </c>
    </row>
    <row r="43" customHeight="1" spans="1:3">
      <c r="A43" s="105">
        <v>45078</v>
      </c>
      <c r="B43" s="103">
        <v>1342590</v>
      </c>
      <c r="C43" s="104">
        <v>-0.0217</v>
      </c>
    </row>
    <row r="44" customHeight="1" spans="1:3">
      <c r="A44" s="105">
        <v>45108</v>
      </c>
      <c r="B44" s="116">
        <v>1348726</v>
      </c>
      <c r="C44" s="117">
        <v>0.0046</v>
      </c>
    </row>
    <row r="45" customHeight="1" spans="1:3">
      <c r="A45" s="105">
        <v>45139</v>
      </c>
      <c r="B45" s="103">
        <v>1358218</v>
      </c>
      <c r="C45" s="104">
        <v>0.007</v>
      </c>
    </row>
    <row r="46" customHeight="1" spans="1:3">
      <c r="A46" s="105">
        <v>45170</v>
      </c>
      <c r="B46" s="116">
        <v>1364853</v>
      </c>
      <c r="C46" s="117">
        <v>0.0049</v>
      </c>
    </row>
    <row r="47" customHeight="1" spans="1:3">
      <c r="A47" s="105">
        <v>45200</v>
      </c>
      <c r="B47" s="103">
        <v>1358498</v>
      </c>
      <c r="C47" s="104">
        <v>-0.0047</v>
      </c>
    </row>
    <row r="48" customHeight="1" spans="1:3">
      <c r="A48" s="105">
        <v>45231</v>
      </c>
      <c r="B48" s="116">
        <v>1335649</v>
      </c>
      <c r="C48" s="117">
        <v>-0.0168</v>
      </c>
    </row>
    <row r="49" customHeight="1" spans="1:3">
      <c r="A49" s="105">
        <v>45261</v>
      </c>
      <c r="B49" s="103">
        <v>1253256</v>
      </c>
      <c r="C49" s="104">
        <v>-0.0617</v>
      </c>
    </row>
    <row r="50" customHeight="1" spans="1:3">
      <c r="A50" s="105">
        <v>45292</v>
      </c>
      <c r="B50" s="103">
        <v>1214003</v>
      </c>
      <c r="C50" s="104">
        <v>-0.0313</v>
      </c>
    </row>
    <row r="51" customHeight="1" spans="1:3">
      <c r="A51" s="105">
        <v>45323</v>
      </c>
      <c r="B51" s="103">
        <v>1258228</v>
      </c>
      <c r="C51" s="104">
        <v>0.0364</v>
      </c>
    </row>
    <row r="52" customHeight="1" spans="1:3">
      <c r="A52" s="105">
        <v>45352</v>
      </c>
      <c r="B52" s="103">
        <v>1312500</v>
      </c>
      <c r="C52" s="104">
        <v>0.0431</v>
      </c>
    </row>
    <row r="53" customHeight="1" spans="1:3">
      <c r="A53" s="105">
        <v>45383</v>
      </c>
      <c r="B53" s="103">
        <v>1270653</v>
      </c>
      <c r="C53" s="104">
        <v>-0.0319</v>
      </c>
    </row>
    <row r="54" customHeight="1" spans="1:3">
      <c r="A54" s="105">
        <v>45413</v>
      </c>
      <c r="B54" s="103">
        <v>1247680</v>
      </c>
      <c r="C54" s="104">
        <v>-0.0181</v>
      </c>
    </row>
    <row r="55" customHeight="1" spans="1:3">
      <c r="A55" s="105">
        <v>45444</v>
      </c>
      <c r="B55" s="103">
        <v>1209693</v>
      </c>
      <c r="C55" s="104">
        <v>-0.0304</v>
      </c>
    </row>
    <row r="56" customHeight="1" spans="1:3">
      <c r="A56" s="105">
        <v>45474</v>
      </c>
      <c r="B56" s="103">
        <v>1259773</v>
      </c>
      <c r="C56" s="104">
        <v>0.0414</v>
      </c>
    </row>
    <row r="57" customHeight="1" spans="1:3">
      <c r="A57" s="105">
        <v>45505</v>
      </c>
      <c r="B57" s="103">
        <v>1210269</v>
      </c>
      <c r="C57" s="104">
        <v>-0.0393</v>
      </c>
    </row>
    <row r="58" customHeight="1" spans="1:3">
      <c r="A58" s="105">
        <v>45536</v>
      </c>
      <c r="B58" s="103">
        <v>1179334</v>
      </c>
      <c r="C58" s="104">
        <v>-0.0256</v>
      </c>
    </row>
    <row r="59" customHeight="1" spans="1:3">
      <c r="A59" s="105">
        <v>45566</v>
      </c>
      <c r="B59" s="103">
        <v>1200603</v>
      </c>
      <c r="C59" s="104">
        <v>0.018</v>
      </c>
    </row>
    <row r="60" customHeight="1" spans="1:3">
      <c r="A60" s="105">
        <v>45597</v>
      </c>
      <c r="B60" s="103">
        <v>1229067</v>
      </c>
      <c r="C60" s="104">
        <v>0.0237</v>
      </c>
    </row>
    <row r="61" customHeight="1" spans="1:3">
      <c r="A61" s="105">
        <v>45627</v>
      </c>
      <c r="B61" s="103">
        <v>1189766</v>
      </c>
      <c r="C61" s="104">
        <v>-0.032</v>
      </c>
    </row>
    <row r="62" customHeight="1" spans="1:3">
      <c r="A62" s="105">
        <v>45658</v>
      </c>
      <c r="B62" s="116">
        <v>1156349</v>
      </c>
      <c r="C62" s="117">
        <v>-0.0281</v>
      </c>
    </row>
    <row r="63" customHeight="1" spans="1:3">
      <c r="A63" s="105">
        <v>45689</v>
      </c>
      <c r="B63" s="103">
        <v>1185036</v>
      </c>
      <c r="C63" s="104">
        <v>0.0248</v>
      </c>
    </row>
    <row r="64" customHeight="1" spans="1:3">
      <c r="A64" s="105">
        <v>45717</v>
      </c>
      <c r="B64" s="103">
        <v>1203986</v>
      </c>
      <c r="C64" s="104">
        <v>0.016</v>
      </c>
    </row>
    <row r="65" customHeight="1" spans="1:3">
      <c r="A65" s="105">
        <v>45748</v>
      </c>
      <c r="B65" s="103">
        <v>1237240</v>
      </c>
      <c r="C65" s="104">
        <v>0.0276</v>
      </c>
    </row>
    <row r="66" customHeight="1" spans="1:3">
      <c r="A66" s="105">
        <v>45778</v>
      </c>
      <c r="B66" s="103">
        <v>1228746</v>
      </c>
      <c r="C66" s="104">
        <v>-0.0069</v>
      </c>
    </row>
    <row r="67" customHeight="1" spans="1:3">
      <c r="A67" s="105">
        <v>45809</v>
      </c>
      <c r="B67" s="103">
        <v>1258786</v>
      </c>
      <c r="C67" s="104">
        <v>0.0244</v>
      </c>
    </row>
    <row r="68" customHeight="1" spans="1:3">
      <c r="A68" s="105">
        <v>45839</v>
      </c>
      <c r="B68" s="103">
        <v>1285454</v>
      </c>
      <c r="C68" s="104">
        <v>0.0212</v>
      </c>
    </row>
    <row r="69" customHeight="1" spans="1:3">
      <c r="A69" s="105">
        <v>45870</v>
      </c>
      <c r="B69" s="103">
        <v>1319259</v>
      </c>
      <c r="C69" s="104">
        <v>0.0263</v>
      </c>
    </row>
    <row r="70" customHeight="1" spans="1:3">
      <c r="A70" s="105">
        <v>45901</v>
      </c>
      <c r="B70" s="103">
        <v>1342655</v>
      </c>
      <c r="C70" s="104">
        <v>0.0177</v>
      </c>
    </row>
    <row r="71" customHeight="1" spans="1:3">
      <c r="A71" s="105">
        <v>45931</v>
      </c>
      <c r="B71" s="103">
        <v>1389329</v>
      </c>
      <c r="C71" s="104">
        <v>0.0348</v>
      </c>
    </row>
    <row r="72" customHeight="1" spans="1:3">
      <c r="A72" s="105">
        <v>45962</v>
      </c>
      <c r="B72" s="103">
        <v>1364478</v>
      </c>
      <c r="C72" s="104">
        <v>-0.0179</v>
      </c>
    </row>
    <row r="73" customHeight="1" spans="1:3">
      <c r="A73" s="105">
        <v>45992</v>
      </c>
      <c r="B73" s="103">
        <v>1310894</v>
      </c>
      <c r="C73" s="104">
        <v>-0.0393</v>
      </c>
    </row>
    <row r="74" customHeight="1" spans="1:3">
      <c r="A74" s="105">
        <v>46023</v>
      </c>
      <c r="B74" s="103">
        <v>1282459</v>
      </c>
      <c r="C74" s="104">
        <v>-0.0217</v>
      </c>
    </row>
    <row r="75" customHeight="1" spans="1:3">
      <c r="A75" s="105">
        <v>46054</v>
      </c>
      <c r="B75" s="103">
        <v>1327797</v>
      </c>
      <c r="C75" s="104">
        <v>0.0354</v>
      </c>
    </row>
    <row r="76" customHeight="1" spans="1:3">
      <c r="A76" s="105">
        <v>46082</v>
      </c>
      <c r="B76" s="103">
        <v>1294682</v>
      </c>
      <c r="C76" s="104">
        <v>-0.0249</v>
      </c>
    </row>
    <row r="77" customHeight="1" spans="1:3">
      <c r="A77" s="105">
        <v>46113</v>
      </c>
      <c r="B77" s="103">
        <v>1275659</v>
      </c>
      <c r="C77" s="104">
        <v>-0.0147</v>
      </c>
    </row>
    <row r="78" customHeight="1" spans="1:3">
      <c r="A78" s="105">
        <v>46143</v>
      </c>
      <c r="B78" s="103">
        <v>1274552</v>
      </c>
      <c r="C78" s="104">
        <v>-0.0009</v>
      </c>
    </row>
    <row r="79" customHeight="1" spans="1:3">
      <c r="A79" s="105">
        <v>46174</v>
      </c>
      <c r="B79" s="103">
        <v>1267859</v>
      </c>
      <c r="C79" s="104">
        <v>-0.0053</v>
      </c>
    </row>
    <row r="80" customHeight="1" spans="1:3">
      <c r="A80" s="109">
        <v>46204</v>
      </c>
      <c r="B80" s="103">
        <v>1302325</v>
      </c>
      <c r="C80" s="104">
        <v>0.0272</v>
      </c>
    </row>
    <row r="81" customHeight="1" spans="1:3">
      <c r="A81" s="105">
        <v>46235</v>
      </c>
      <c r="B81" s="103">
        <v>1295321</v>
      </c>
      <c r="C81" s="104">
        <v>-0.0054</v>
      </c>
    </row>
  </sheetData>
  <mergeCells count="2">
    <mergeCell ref="A2:C2"/>
    <mergeCell ref="B3:C3"/>
  </mergeCells>
  <pageMargins left="0.75" right="0.75" top="1" bottom="1" header="0.5" footer="0.5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24"/>
  <sheetViews>
    <sheetView workbookViewId="0">
      <pane xSplit="1" ySplit="3" topLeftCell="B100" activePane="bottomRight" state="frozen"/>
      <selection/>
      <selection pane="topRight"/>
      <selection pane="bottomLeft"/>
      <selection pane="bottomRight" activeCell="B124" sqref="B124:C124"/>
    </sheetView>
  </sheetViews>
  <sheetFormatPr defaultColWidth="13.125" defaultRowHeight="20" customHeight="1" outlineLevelCol="2"/>
  <cols>
    <col min="1" max="1" width="13.125" style="92" customWidth="1"/>
    <col min="2" max="16347" width="13.125" customWidth="1"/>
  </cols>
  <sheetData>
    <row r="2" s="8" customFormat="1" ht="30" customHeight="1" spans="1:3">
      <c r="A2" s="93" t="s">
        <v>103</v>
      </c>
      <c r="B2" s="94"/>
      <c r="C2" s="94"/>
    </row>
    <row r="3" s="8" customFormat="1" ht="30" customHeight="1" spans="1:3">
      <c r="A3" s="95" t="s">
        <v>29</v>
      </c>
      <c r="B3" s="96" t="s">
        <v>58</v>
      </c>
      <c r="C3" s="96" t="s">
        <v>95</v>
      </c>
    </row>
    <row r="4" customHeight="1" spans="1:3">
      <c r="A4" s="97">
        <v>42583</v>
      </c>
      <c r="B4" s="98">
        <v>1442450</v>
      </c>
      <c r="C4" s="98"/>
    </row>
    <row r="5" customHeight="1" spans="1:3">
      <c r="A5" s="97">
        <v>42614</v>
      </c>
      <c r="B5" s="98">
        <v>1358200</v>
      </c>
      <c r="C5" s="99">
        <v>-0.0584075704530486</v>
      </c>
    </row>
    <row r="6" customHeight="1" spans="1:3">
      <c r="A6" s="97">
        <v>42644</v>
      </c>
      <c r="B6" s="98">
        <v>1409770</v>
      </c>
      <c r="C6" s="99">
        <v>0.0379693712266235</v>
      </c>
    </row>
    <row r="7" customHeight="1" spans="1:3">
      <c r="A7" s="97">
        <v>42675</v>
      </c>
      <c r="B7" s="98">
        <v>1510030</v>
      </c>
      <c r="C7" s="99">
        <v>0.071117983784589</v>
      </c>
    </row>
    <row r="8" customHeight="1" spans="1:3">
      <c r="A8" s="97">
        <v>42705</v>
      </c>
      <c r="B8" s="98">
        <v>1581470</v>
      </c>
      <c r="C8" s="99">
        <v>0.0473103183380463</v>
      </c>
    </row>
    <row r="9" customHeight="1" spans="1:3">
      <c r="A9" s="97">
        <v>42736</v>
      </c>
      <c r="B9" s="98">
        <v>1704231</v>
      </c>
      <c r="C9" s="99">
        <v>0.0776246150733179</v>
      </c>
    </row>
    <row r="10" customHeight="1" spans="1:3">
      <c r="A10" s="97">
        <v>42767</v>
      </c>
      <c r="B10" s="98">
        <v>1478560</v>
      </c>
      <c r="C10" s="99">
        <v>-0.132418081821068</v>
      </c>
    </row>
    <row r="11" customHeight="1" spans="1:3">
      <c r="A11" s="97">
        <v>42795</v>
      </c>
      <c r="B11" s="98">
        <v>1557300</v>
      </c>
      <c r="C11" s="99">
        <v>0.0532545179093172</v>
      </c>
    </row>
    <row r="12" customHeight="1" spans="1:3">
      <c r="A12" s="97">
        <v>42826</v>
      </c>
      <c r="B12" s="98">
        <v>1599495</v>
      </c>
      <c r="C12" s="99">
        <v>0.0270949720670391</v>
      </c>
    </row>
    <row r="13" customHeight="1" spans="1:3">
      <c r="A13" s="97">
        <v>42856</v>
      </c>
      <c r="B13" s="98">
        <v>1664690</v>
      </c>
      <c r="C13" s="99">
        <v>0.0407597397928721</v>
      </c>
    </row>
    <row r="14" customHeight="1" spans="1:3">
      <c r="A14" s="97">
        <v>42887</v>
      </c>
      <c r="B14" s="98">
        <v>1645749</v>
      </c>
      <c r="C14" s="99">
        <v>-0.0113780944199821</v>
      </c>
    </row>
    <row r="15" customHeight="1" spans="1:3">
      <c r="A15" s="97">
        <v>42917</v>
      </c>
      <c r="B15" s="98">
        <v>1607200</v>
      </c>
      <c r="C15" s="99">
        <v>-0.0234233774409099</v>
      </c>
    </row>
    <row r="16" customHeight="1" spans="1:3">
      <c r="A16" s="97">
        <v>42948</v>
      </c>
      <c r="B16" s="98">
        <v>1598800</v>
      </c>
      <c r="C16" s="99">
        <v>-0.00522648083623693</v>
      </c>
    </row>
    <row r="17" customHeight="1" spans="1:3">
      <c r="A17" s="97">
        <v>42979</v>
      </c>
      <c r="B17" s="98">
        <v>1775328</v>
      </c>
      <c r="C17" s="99">
        <v>0.110412809607205</v>
      </c>
    </row>
    <row r="18" customHeight="1" spans="1:3">
      <c r="A18" s="97">
        <v>43009</v>
      </c>
      <c r="B18" s="98">
        <v>1838502</v>
      </c>
      <c r="C18" s="99">
        <v>0.0355844103174174</v>
      </c>
    </row>
    <row r="19" customHeight="1" spans="1:3">
      <c r="A19" s="97">
        <v>43040</v>
      </c>
      <c r="B19" s="98">
        <v>1850921</v>
      </c>
      <c r="C19" s="99">
        <f>(B19-B20)/B20</f>
        <v>-0.0439902070668202</v>
      </c>
    </row>
    <row r="20" customHeight="1" spans="1:3">
      <c r="A20" s="97">
        <v>43070</v>
      </c>
      <c r="B20" s="98">
        <v>1936090</v>
      </c>
      <c r="C20" s="99">
        <v>0.046</v>
      </c>
    </row>
    <row r="21" customHeight="1" spans="1:3">
      <c r="A21" s="97">
        <v>43101</v>
      </c>
      <c r="B21" s="98">
        <v>2253988</v>
      </c>
      <c r="C21" s="99">
        <v>0.1642</v>
      </c>
    </row>
    <row r="22" customHeight="1" spans="1:3">
      <c r="A22" s="97">
        <v>43132</v>
      </c>
      <c r="B22" s="98">
        <v>1827261</v>
      </c>
      <c r="C22" s="99">
        <v>-0.1893</v>
      </c>
    </row>
    <row r="23" customHeight="1" spans="1:3">
      <c r="A23" s="97">
        <v>43160</v>
      </c>
      <c r="B23" s="98">
        <v>1960280</v>
      </c>
      <c r="C23" s="99">
        <v>0.0728</v>
      </c>
    </row>
    <row r="24" customHeight="1" spans="1:3">
      <c r="A24" s="97">
        <v>43191</v>
      </c>
      <c r="B24" s="98">
        <v>2075270</v>
      </c>
      <c r="C24" s="99">
        <v>0.0586599873487461</v>
      </c>
    </row>
    <row r="25" customHeight="1" spans="1:3">
      <c r="A25" s="97">
        <v>43221</v>
      </c>
      <c r="B25" s="98">
        <v>2107935</v>
      </c>
      <c r="C25" s="100">
        <v>0.0157401205626256</v>
      </c>
    </row>
    <row r="26" customHeight="1" spans="1:3">
      <c r="A26" s="97">
        <v>43252</v>
      </c>
      <c r="B26" s="98">
        <v>2179458</v>
      </c>
      <c r="C26" s="99">
        <v>0.0339303631278953</v>
      </c>
    </row>
    <row r="27" s="89" customFormat="1" customHeight="1" spans="1:3">
      <c r="A27" s="97">
        <v>43282</v>
      </c>
      <c r="B27" s="98">
        <v>1986700</v>
      </c>
      <c r="C27" s="99">
        <v>-0.0884430899792517</v>
      </c>
    </row>
    <row r="28" customHeight="1" spans="1:3">
      <c r="A28" s="97">
        <v>43313</v>
      </c>
      <c r="B28" s="98">
        <v>1873270</v>
      </c>
      <c r="C28" s="99">
        <v>-0.0570946796194695</v>
      </c>
    </row>
    <row r="29" customHeight="1" spans="1:3">
      <c r="A29" s="97">
        <v>43344</v>
      </c>
      <c r="B29" s="98">
        <v>2008227</v>
      </c>
      <c r="C29" s="99">
        <v>0.072</v>
      </c>
    </row>
    <row r="30" customHeight="1" spans="1:3">
      <c r="A30" s="97">
        <v>43374</v>
      </c>
      <c r="B30" s="98">
        <v>2017907</v>
      </c>
      <c r="C30" s="99">
        <v>0.0048</v>
      </c>
    </row>
    <row r="31" customHeight="1" spans="1:3">
      <c r="A31" s="97">
        <v>43405</v>
      </c>
      <c r="B31" s="98">
        <v>2063249</v>
      </c>
      <c r="C31" s="99">
        <v>0.0225</v>
      </c>
    </row>
    <row r="32" customHeight="1" spans="1:3">
      <c r="A32" s="97">
        <v>43435</v>
      </c>
      <c r="B32" s="98">
        <v>1985790</v>
      </c>
      <c r="C32" s="99">
        <v>-0.0375</v>
      </c>
    </row>
    <row r="33" customHeight="1" spans="1:3">
      <c r="A33" s="97">
        <v>43466</v>
      </c>
      <c r="B33" s="98">
        <v>2048689</v>
      </c>
      <c r="C33" s="99">
        <v>0.0317</v>
      </c>
    </row>
    <row r="34" customHeight="1" spans="1:3">
      <c r="A34" s="97">
        <v>43497</v>
      </c>
      <c r="B34" s="98">
        <v>1941030</v>
      </c>
      <c r="C34" s="99">
        <v>-0.0526</v>
      </c>
    </row>
    <row r="35" customHeight="1" spans="1:3">
      <c r="A35" s="97">
        <v>43525</v>
      </c>
      <c r="B35" s="98">
        <v>1876700</v>
      </c>
      <c r="C35" s="99">
        <v>-0.0331</v>
      </c>
    </row>
    <row r="36" customHeight="1" spans="1:3">
      <c r="A36" s="97">
        <v>43556</v>
      </c>
      <c r="B36" s="98">
        <v>1996530</v>
      </c>
      <c r="C36" s="99">
        <v>0.0639</v>
      </c>
    </row>
    <row r="37" customHeight="1" spans="1:3">
      <c r="A37" s="97">
        <v>43586</v>
      </c>
      <c r="B37" s="101">
        <v>2070848</v>
      </c>
      <c r="C37" s="99">
        <v>0.0372</v>
      </c>
    </row>
    <row r="38" customHeight="1" spans="1:3">
      <c r="A38" s="97">
        <v>43617</v>
      </c>
      <c r="B38" s="98">
        <v>2182610</v>
      </c>
      <c r="C38" s="99">
        <v>0.054</v>
      </c>
    </row>
    <row r="39" customHeight="1" spans="1:3">
      <c r="A39" s="97">
        <v>43647</v>
      </c>
      <c r="B39" s="98">
        <v>2144090</v>
      </c>
      <c r="C39" s="99">
        <v>-0.0176</v>
      </c>
    </row>
    <row r="40" customHeight="1" spans="1:3">
      <c r="A40" s="97">
        <v>43678</v>
      </c>
      <c r="B40" s="98">
        <v>2044998</v>
      </c>
      <c r="C40" s="99">
        <v>-0.0462</v>
      </c>
    </row>
    <row r="41" customHeight="1" spans="1:3">
      <c r="A41" s="97">
        <v>43709</v>
      </c>
      <c r="B41" s="98">
        <v>1801025</v>
      </c>
      <c r="C41" s="99">
        <v>-0.1193</v>
      </c>
    </row>
    <row r="42" customHeight="1" spans="1:3">
      <c r="A42" s="97">
        <v>43739</v>
      </c>
      <c r="B42" s="98">
        <v>1749333</v>
      </c>
      <c r="C42" s="99">
        <v>-0.0287</v>
      </c>
    </row>
    <row r="43" customHeight="1" spans="1:3">
      <c r="A43" s="97">
        <v>43770</v>
      </c>
      <c r="B43" s="98">
        <v>1696635</v>
      </c>
      <c r="C43" s="99">
        <v>-0.0301</v>
      </c>
    </row>
    <row r="44" customHeight="1" spans="1:3">
      <c r="A44" s="97">
        <v>43800</v>
      </c>
      <c r="B44" s="98">
        <v>1960410</v>
      </c>
      <c r="C44" s="99">
        <v>0.1555</v>
      </c>
    </row>
    <row r="45" customHeight="1" spans="1:3">
      <c r="A45" s="97">
        <v>43831</v>
      </c>
      <c r="B45" s="98">
        <v>1795955</v>
      </c>
      <c r="C45" s="99">
        <v>-0.0839</v>
      </c>
    </row>
    <row r="46" customHeight="1" spans="1:3">
      <c r="A46" s="97">
        <v>43862</v>
      </c>
      <c r="B46" s="98">
        <v>992753</v>
      </c>
      <c r="C46" s="99">
        <v>-0.4472</v>
      </c>
    </row>
    <row r="47" customHeight="1" spans="1:3">
      <c r="A47" s="97">
        <v>43891</v>
      </c>
      <c r="B47" s="98">
        <v>1033622</v>
      </c>
      <c r="C47" s="99">
        <v>0.0412</v>
      </c>
    </row>
    <row r="48" customHeight="1" spans="1:3">
      <c r="A48" s="97">
        <v>43922</v>
      </c>
      <c r="B48" s="98">
        <v>1076811</v>
      </c>
      <c r="C48" s="99">
        <v>0.0418</v>
      </c>
    </row>
    <row r="49" customHeight="1" spans="1:3">
      <c r="A49" s="97">
        <v>43952</v>
      </c>
      <c r="B49" s="98">
        <v>1146288</v>
      </c>
      <c r="C49" s="99">
        <v>0.0645</v>
      </c>
    </row>
    <row r="50" customHeight="1" spans="1:3">
      <c r="A50" s="97">
        <v>43983</v>
      </c>
      <c r="B50" s="98">
        <v>1084515</v>
      </c>
      <c r="C50" s="99">
        <v>-0.0539</v>
      </c>
    </row>
    <row r="51" customHeight="1" spans="1:3">
      <c r="A51" s="97">
        <v>44013</v>
      </c>
      <c r="B51" s="98">
        <v>1109368</v>
      </c>
      <c r="C51" s="99">
        <v>0.0229</v>
      </c>
    </row>
    <row r="52" customHeight="1" spans="1:3">
      <c r="A52" s="97">
        <v>44044</v>
      </c>
      <c r="B52" s="98">
        <v>1135705</v>
      </c>
      <c r="C52" s="99">
        <v>0.0237</v>
      </c>
    </row>
    <row r="53" customHeight="1" spans="1:3">
      <c r="A53" s="97">
        <v>44075</v>
      </c>
      <c r="B53" s="98">
        <v>1200743</v>
      </c>
      <c r="C53" s="99">
        <v>0.0573</v>
      </c>
    </row>
    <row r="54" customHeight="1" spans="1:3">
      <c r="A54" s="97">
        <v>44105</v>
      </c>
      <c r="B54" s="98">
        <v>1223783</v>
      </c>
      <c r="C54" s="100">
        <v>0.0192</v>
      </c>
    </row>
    <row r="55" customHeight="1" spans="1:3">
      <c r="A55" s="97">
        <v>44136</v>
      </c>
      <c r="B55" s="98">
        <v>1312585</v>
      </c>
      <c r="C55" s="100">
        <v>0.0726</v>
      </c>
    </row>
    <row r="56" customHeight="1" spans="1:3">
      <c r="A56" s="97">
        <v>44166</v>
      </c>
      <c r="B56" s="98">
        <v>1318277</v>
      </c>
      <c r="C56" s="99">
        <v>0.0043</v>
      </c>
    </row>
    <row r="57" customHeight="1" spans="1:3">
      <c r="A57" s="97">
        <v>44197</v>
      </c>
      <c r="B57" s="98">
        <v>1438741</v>
      </c>
      <c r="C57" s="100">
        <v>0.0914</v>
      </c>
    </row>
    <row r="58" customHeight="1" spans="1:3">
      <c r="A58" s="97">
        <v>44228</v>
      </c>
      <c r="B58" s="98">
        <v>1331590</v>
      </c>
      <c r="C58" s="100">
        <v>-0.0745</v>
      </c>
    </row>
    <row r="59" customHeight="1" spans="1:3">
      <c r="A59" s="97">
        <v>44256</v>
      </c>
      <c r="B59" s="98">
        <v>1392874</v>
      </c>
      <c r="C59" s="99">
        <v>0.046</v>
      </c>
    </row>
    <row r="60" customHeight="1" spans="1:3">
      <c r="A60" s="97">
        <v>44287</v>
      </c>
      <c r="B60" s="98">
        <v>1510480</v>
      </c>
      <c r="C60" s="100">
        <v>0.0844</v>
      </c>
    </row>
    <row r="61" s="89" customFormat="1" customHeight="1" spans="1:3">
      <c r="A61" s="97">
        <v>44317</v>
      </c>
      <c r="B61" s="98">
        <v>1611855</v>
      </c>
      <c r="C61" s="100">
        <v>0.0671</v>
      </c>
    </row>
    <row r="62" customHeight="1" spans="1:3">
      <c r="A62" s="97">
        <v>44348</v>
      </c>
      <c r="B62" s="98">
        <v>1828788</v>
      </c>
      <c r="C62" s="99">
        <v>0.1346</v>
      </c>
    </row>
    <row r="63" customHeight="1" spans="1:3">
      <c r="A63" s="97">
        <v>44378</v>
      </c>
      <c r="B63" s="98">
        <v>1882441</v>
      </c>
      <c r="C63" s="100">
        <v>0.0293</v>
      </c>
    </row>
    <row r="64" customHeight="1" spans="1:3">
      <c r="A64" s="97">
        <v>44409</v>
      </c>
      <c r="B64" s="98">
        <v>1984533</v>
      </c>
      <c r="C64" s="100">
        <v>0.0542</v>
      </c>
    </row>
    <row r="65" customHeight="1" spans="1:3">
      <c r="A65" s="97">
        <v>44440</v>
      </c>
      <c r="B65" s="98">
        <v>2057111</v>
      </c>
      <c r="C65" s="99">
        <v>0.0366</v>
      </c>
    </row>
    <row r="66" customHeight="1" spans="1:3">
      <c r="A66" s="97">
        <v>44470</v>
      </c>
      <c r="B66" s="98">
        <v>2164372</v>
      </c>
      <c r="C66" s="100">
        <v>0.0521</v>
      </c>
    </row>
    <row r="67" customHeight="1" spans="1:3">
      <c r="A67" s="97">
        <v>44501</v>
      </c>
      <c r="B67" s="98">
        <v>2082391</v>
      </c>
      <c r="C67" s="100">
        <v>-0.0379</v>
      </c>
    </row>
    <row r="68" s="8" customFormat="1" customHeight="1" spans="1:3">
      <c r="A68" s="97">
        <v>44531</v>
      </c>
      <c r="B68" s="98">
        <v>2287465</v>
      </c>
      <c r="C68" s="99">
        <v>0.0985</v>
      </c>
    </row>
    <row r="69" s="90" customFormat="1" customHeight="1" spans="1:3">
      <c r="A69" s="97">
        <v>44562</v>
      </c>
      <c r="B69" s="98">
        <v>2392538</v>
      </c>
      <c r="C69" s="100">
        <v>0.0459</v>
      </c>
    </row>
    <row r="70" s="91" customFormat="1" customHeight="1" spans="1:3">
      <c r="A70" s="97">
        <v>44593</v>
      </c>
      <c r="B70" s="98">
        <v>1858347</v>
      </c>
      <c r="C70" s="100">
        <v>-0.2233</v>
      </c>
    </row>
    <row r="71" s="91" customFormat="1" customHeight="1" spans="1:3">
      <c r="A71" s="97">
        <v>44621</v>
      </c>
      <c r="B71" s="98">
        <v>2193343</v>
      </c>
      <c r="C71" s="99">
        <v>0.1803</v>
      </c>
    </row>
    <row r="72" s="91" customFormat="1" customHeight="1" spans="1:3">
      <c r="A72" s="102">
        <v>44652</v>
      </c>
      <c r="B72" s="103">
        <v>2157598</v>
      </c>
      <c r="C72" s="104">
        <v>-0.0163</v>
      </c>
    </row>
    <row r="73" s="91" customFormat="1" customHeight="1" spans="1:3">
      <c r="A73" s="102">
        <v>44682</v>
      </c>
      <c r="B73" s="103">
        <v>2126087</v>
      </c>
      <c r="C73" s="104">
        <v>-0.0146</v>
      </c>
    </row>
    <row r="74" s="91" customFormat="1" customHeight="1" spans="1:3">
      <c r="A74" s="102">
        <v>44713</v>
      </c>
      <c r="B74" s="103">
        <v>2079172</v>
      </c>
      <c r="C74" s="104">
        <v>-0.0221</v>
      </c>
    </row>
    <row r="75" s="8" customFormat="1" customHeight="1" spans="1:3">
      <c r="A75" s="102">
        <v>44743</v>
      </c>
      <c r="B75" s="103">
        <v>2024361</v>
      </c>
      <c r="C75" s="104">
        <v>-0.0264</v>
      </c>
    </row>
    <row r="76" customHeight="1" spans="1:3">
      <c r="A76" s="102">
        <v>44774</v>
      </c>
      <c r="B76" s="103">
        <v>2058377</v>
      </c>
      <c r="C76" s="104">
        <v>0.0168</v>
      </c>
    </row>
    <row r="77" customHeight="1" spans="1:3">
      <c r="A77" s="102">
        <v>44805</v>
      </c>
      <c r="B77" s="103">
        <v>2090067</v>
      </c>
      <c r="C77" s="104">
        <v>0.0154</v>
      </c>
    </row>
    <row r="78" customHeight="1" spans="1:3">
      <c r="A78" s="102">
        <v>44835</v>
      </c>
      <c r="B78" s="103">
        <v>2043257</v>
      </c>
      <c r="C78" s="104">
        <v>-0.0224</v>
      </c>
    </row>
    <row r="79" customHeight="1" spans="1:3">
      <c r="A79" s="102">
        <v>44866</v>
      </c>
      <c r="B79" s="103">
        <v>2082079</v>
      </c>
      <c r="C79" s="104">
        <v>0.019</v>
      </c>
    </row>
    <row r="80" customHeight="1" spans="1:3">
      <c r="A80" s="102">
        <v>44896</v>
      </c>
      <c r="B80" s="103">
        <v>2358135</v>
      </c>
      <c r="C80" s="104">
        <v>0.1326</v>
      </c>
    </row>
    <row r="81" customHeight="1" spans="1:3">
      <c r="A81" s="105">
        <v>44927</v>
      </c>
      <c r="B81" s="103">
        <v>2055819</v>
      </c>
      <c r="C81" s="104">
        <v>-0.1282</v>
      </c>
    </row>
    <row r="82" customHeight="1" spans="1:3">
      <c r="A82" s="105">
        <v>44958</v>
      </c>
      <c r="B82" s="103">
        <v>2188285</v>
      </c>
      <c r="C82" s="104">
        <v>0.0644</v>
      </c>
    </row>
    <row r="83" customHeight="1" spans="1:3">
      <c r="A83" s="105">
        <v>44986</v>
      </c>
      <c r="B83" s="103">
        <v>2273328</v>
      </c>
      <c r="C83" s="104">
        <v>0.0389</v>
      </c>
    </row>
    <row r="84" customHeight="1" spans="1:3">
      <c r="A84" s="105">
        <v>45017</v>
      </c>
      <c r="B84" s="103">
        <v>2272327</v>
      </c>
      <c r="C84" s="104">
        <v>-0.0004</v>
      </c>
    </row>
    <row r="85" customHeight="1" spans="1:3">
      <c r="A85" s="105">
        <v>45047</v>
      </c>
      <c r="B85" s="98">
        <v>2259997</v>
      </c>
      <c r="C85" s="100">
        <v>-0.0054</v>
      </c>
    </row>
    <row r="86" customHeight="1" spans="1:3">
      <c r="A86" s="105">
        <v>45078</v>
      </c>
      <c r="B86" s="103">
        <v>2232557</v>
      </c>
      <c r="C86" s="104">
        <v>-0.0121</v>
      </c>
    </row>
    <row r="87" customHeight="1" spans="1:3">
      <c r="A87" s="105">
        <v>45108</v>
      </c>
      <c r="B87" s="98">
        <v>2205330</v>
      </c>
      <c r="C87" s="100">
        <v>-0.0122</v>
      </c>
    </row>
    <row r="88" customHeight="1" spans="1:3">
      <c r="A88" s="105">
        <v>45139</v>
      </c>
      <c r="B88" s="103">
        <v>2252582</v>
      </c>
      <c r="C88" s="104">
        <v>0.0214</v>
      </c>
    </row>
    <row r="89" customHeight="1" spans="1:3">
      <c r="A89" s="105">
        <v>45170</v>
      </c>
      <c r="B89" s="98">
        <v>2293681</v>
      </c>
      <c r="C89" s="100">
        <v>0.0182</v>
      </c>
    </row>
    <row r="90" customHeight="1" spans="1:3">
      <c r="A90" s="105">
        <v>45200</v>
      </c>
      <c r="B90" s="103">
        <v>2391389</v>
      </c>
      <c r="C90" s="104">
        <v>0.0426</v>
      </c>
    </row>
    <row r="91" customHeight="1" spans="1:3">
      <c r="A91" s="105">
        <v>45231</v>
      </c>
      <c r="B91" s="103">
        <v>2568508</v>
      </c>
      <c r="C91" s="104">
        <v>0.0741</v>
      </c>
    </row>
    <row r="92" customHeight="1" spans="1:3">
      <c r="A92" s="105">
        <v>45261</v>
      </c>
      <c r="B92" s="106">
        <v>2695729</v>
      </c>
      <c r="C92" s="107">
        <v>0.0495</v>
      </c>
    </row>
    <row r="93" customHeight="1" spans="1:3">
      <c r="A93" s="105">
        <v>45292</v>
      </c>
      <c r="B93" s="106">
        <v>2843053</v>
      </c>
      <c r="C93" s="107">
        <v>0.0547</v>
      </c>
    </row>
    <row r="94" customHeight="1" spans="1:3">
      <c r="A94" s="105">
        <v>45323</v>
      </c>
      <c r="B94" s="106">
        <v>2355392</v>
      </c>
      <c r="C94" s="107">
        <v>-0.1715</v>
      </c>
    </row>
    <row r="95" customHeight="1" spans="1:3">
      <c r="A95" s="105">
        <v>45352</v>
      </c>
      <c r="B95" s="106">
        <v>2818558</v>
      </c>
      <c r="C95" s="107">
        <v>0.1966</v>
      </c>
    </row>
    <row r="96" customHeight="1" spans="1:3">
      <c r="A96" s="105">
        <v>45383</v>
      </c>
      <c r="B96" s="106">
        <v>2878144</v>
      </c>
      <c r="C96" s="107">
        <v>0.0211</v>
      </c>
    </row>
    <row r="97" customHeight="1" spans="1:3">
      <c r="A97" s="105">
        <v>45413</v>
      </c>
      <c r="B97" s="106">
        <v>2974978</v>
      </c>
      <c r="C97" s="107">
        <v>0.0336</v>
      </c>
    </row>
    <row r="98" customHeight="1" spans="1:3">
      <c r="A98" s="105">
        <v>45444</v>
      </c>
      <c r="B98" s="106">
        <v>2869503</v>
      </c>
      <c r="C98" s="107">
        <v>-0.0355</v>
      </c>
    </row>
    <row r="99" customHeight="1" spans="1:3">
      <c r="A99" s="105">
        <v>45474</v>
      </c>
      <c r="B99" s="106">
        <v>2779790</v>
      </c>
      <c r="C99" s="107">
        <v>-0.0313</v>
      </c>
    </row>
    <row r="100" customHeight="1" spans="1:3">
      <c r="A100" s="105">
        <v>45505</v>
      </c>
      <c r="B100" s="106">
        <v>2691874</v>
      </c>
      <c r="C100" s="107">
        <v>-0.0316</v>
      </c>
    </row>
    <row r="101" customHeight="1" spans="1:3">
      <c r="A101" s="105">
        <v>45536</v>
      </c>
      <c r="B101" s="106">
        <v>2692364</v>
      </c>
      <c r="C101" s="107">
        <v>0.0002</v>
      </c>
    </row>
    <row r="102" customHeight="1" spans="1:3">
      <c r="A102" s="105">
        <v>45566</v>
      </c>
      <c r="B102" s="106">
        <v>2837430</v>
      </c>
      <c r="C102" s="107">
        <v>0.0539</v>
      </c>
    </row>
    <row r="103" customHeight="1" spans="1:3">
      <c r="A103" s="105">
        <v>45597</v>
      </c>
      <c r="B103" s="108">
        <v>2957266</v>
      </c>
      <c r="C103" s="23">
        <v>0.0422</v>
      </c>
    </row>
    <row r="104" customHeight="1" spans="1:3">
      <c r="A104" s="105">
        <v>45627</v>
      </c>
      <c r="B104" s="108">
        <v>3162898</v>
      </c>
      <c r="C104" s="23">
        <v>0.0695</v>
      </c>
    </row>
    <row r="105" customHeight="1" spans="1:3">
      <c r="A105" s="105">
        <v>45658</v>
      </c>
      <c r="B105" s="108">
        <v>3128887</v>
      </c>
      <c r="C105" s="23">
        <v>-0.0108</v>
      </c>
    </row>
    <row r="106" customHeight="1" spans="1:3">
      <c r="A106" s="105">
        <v>45689</v>
      </c>
      <c r="B106" s="108">
        <v>2946726</v>
      </c>
      <c r="C106" s="23">
        <v>-0.0582</v>
      </c>
    </row>
    <row r="107" customHeight="1" spans="1:3">
      <c r="A107" s="105">
        <v>45717</v>
      </c>
      <c r="B107" s="108">
        <v>3084961</v>
      </c>
      <c r="C107" s="23">
        <v>0.0469</v>
      </c>
    </row>
    <row r="108" customHeight="1" spans="1:3">
      <c r="A108" s="105">
        <v>45748</v>
      </c>
      <c r="B108" s="108">
        <v>3072489</v>
      </c>
      <c r="C108" s="23">
        <v>-0.004</v>
      </c>
    </row>
    <row r="109" customHeight="1" spans="1:3">
      <c r="A109" s="105">
        <v>45778</v>
      </c>
      <c r="B109" s="108">
        <v>3070714</v>
      </c>
      <c r="C109" s="23">
        <v>-0.0006</v>
      </c>
    </row>
    <row r="110" customHeight="1" spans="1:3">
      <c r="A110" s="105">
        <v>45809</v>
      </c>
      <c r="B110" s="108">
        <v>3166227</v>
      </c>
      <c r="C110" s="23">
        <v>0.0311</v>
      </c>
    </row>
    <row r="111" customHeight="1" spans="1:3">
      <c r="A111" s="105">
        <v>45839</v>
      </c>
      <c r="B111" s="98">
        <v>3078665</v>
      </c>
      <c r="C111" s="99">
        <v>-0.0277</v>
      </c>
    </row>
    <row r="112" customHeight="1" spans="1:3">
      <c r="A112" s="105">
        <v>45870</v>
      </c>
      <c r="B112" s="98">
        <v>3246627</v>
      </c>
      <c r="C112" s="99">
        <v>0.0546</v>
      </c>
    </row>
    <row r="113" customHeight="1" spans="1:3">
      <c r="A113" s="105">
        <v>45901</v>
      </c>
      <c r="B113" s="98">
        <v>3354358</v>
      </c>
      <c r="C113" s="99">
        <v>0.0332</v>
      </c>
    </row>
    <row r="114" customHeight="1" spans="1:3">
      <c r="A114" s="105">
        <v>45931</v>
      </c>
      <c r="B114" s="98">
        <v>3533914</v>
      </c>
      <c r="C114" s="99">
        <v>0.0535</v>
      </c>
    </row>
    <row r="115" customHeight="1" spans="1:3">
      <c r="A115" s="105">
        <v>45962</v>
      </c>
      <c r="B115" s="98">
        <v>3415158</v>
      </c>
      <c r="C115" s="99">
        <v>-0.0336</v>
      </c>
    </row>
    <row r="116" customHeight="1" spans="1:3">
      <c r="A116" s="105">
        <v>45992</v>
      </c>
      <c r="B116" s="98">
        <v>3676055</v>
      </c>
      <c r="C116" s="99">
        <v>0.0764</v>
      </c>
    </row>
    <row r="117" customHeight="1" spans="1:3">
      <c r="A117" s="105">
        <v>46023</v>
      </c>
      <c r="B117" s="98">
        <v>3552064</v>
      </c>
      <c r="C117" s="99">
        <v>-0.0337</v>
      </c>
    </row>
    <row r="118" customHeight="1" spans="1:3">
      <c r="A118" s="105">
        <v>46054</v>
      </c>
      <c r="B118" s="98">
        <v>2797598</v>
      </c>
      <c r="C118" s="99">
        <v>-0.2124</v>
      </c>
    </row>
    <row r="119" customHeight="1" spans="1:3">
      <c r="A119" s="105">
        <v>46082</v>
      </c>
      <c r="B119" s="98">
        <v>3659795</v>
      </c>
      <c r="C119" s="99">
        <v>0.3082</v>
      </c>
    </row>
    <row r="120" customHeight="1" spans="1:3">
      <c r="A120" s="105">
        <v>46113</v>
      </c>
      <c r="B120" s="98">
        <v>3774067</v>
      </c>
      <c r="C120" s="99">
        <v>0.0312</v>
      </c>
    </row>
    <row r="121" customHeight="1" spans="1:3">
      <c r="A121" s="105">
        <v>46143</v>
      </c>
      <c r="B121" s="98">
        <v>3644407</v>
      </c>
      <c r="C121" s="99">
        <v>-0.0344</v>
      </c>
    </row>
    <row r="122" customHeight="1" spans="1:3">
      <c r="A122" s="105">
        <v>46174</v>
      </c>
      <c r="B122" s="98">
        <v>3583194</v>
      </c>
      <c r="C122" s="99">
        <v>-0.0168</v>
      </c>
    </row>
    <row r="123" customHeight="1" spans="1:3">
      <c r="A123" s="109">
        <v>46204</v>
      </c>
      <c r="B123" s="98">
        <v>3507543</v>
      </c>
      <c r="C123" s="99">
        <v>-0.0211</v>
      </c>
    </row>
    <row r="124" customHeight="1" spans="1:3">
      <c r="A124" s="105">
        <v>46235</v>
      </c>
      <c r="B124" s="98">
        <v>3695349</v>
      </c>
      <c r="C124" s="99">
        <v>0.0535</v>
      </c>
    </row>
  </sheetData>
  <mergeCells count="1">
    <mergeCell ref="A2:C2"/>
  </mergeCells>
  <pageMargins left="0.75" right="0.75" top="1" bottom="1" header="0.5" footer="0.5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63"/>
  <sheetViews>
    <sheetView workbookViewId="0">
      <pane ySplit="1" topLeftCell="A32" activePane="bottomLeft" state="frozen"/>
      <selection/>
      <selection pane="bottomLeft" activeCell="Q49" sqref="Q49"/>
    </sheetView>
  </sheetViews>
  <sheetFormatPr defaultColWidth="12.0416666666667" defaultRowHeight="20.1" customHeight="1"/>
  <cols>
    <col min="1" max="1" width="12.0416666666667" style="9" customWidth="1"/>
    <col min="2" max="2" width="13.6416666666667" style="2" customWidth="1"/>
    <col min="3" max="3" width="12.0416666666667" style="2" customWidth="1"/>
    <col min="4" max="4" width="14.5583333333333" style="2" customWidth="1"/>
    <col min="5" max="5" width="15.1833333333333" style="2" customWidth="1"/>
    <col min="6" max="6" width="17.8166666666667" style="2" customWidth="1"/>
    <col min="7" max="7" width="12.0416666666667" style="2" customWidth="1"/>
    <col min="8" max="8" width="19.1416666666667" style="2" customWidth="1"/>
    <col min="9" max="9" width="18.275" style="2" customWidth="1"/>
    <col min="10" max="14" width="14.2083333333333" style="2" customWidth="1"/>
    <col min="15" max="15" width="17.5416666666667" style="2" customWidth="1"/>
    <col min="16" max="16" width="13.275" style="2" customWidth="1"/>
    <col min="17" max="17" width="23.725" style="2" customWidth="1"/>
    <col min="18" max="18" width="13.1833333333333" style="2" customWidth="1"/>
    <col min="19" max="19" width="24.3666666666667" style="2" customWidth="1"/>
    <col min="20" max="140" width="12.0416666666667" style="2" customWidth="1"/>
    <col min="141" max="16383" width="12.0416666666667" style="2"/>
  </cols>
  <sheetData>
    <row r="1" s="1" customFormat="1" customHeight="1" spans="1:19">
      <c r="A1" s="10" t="s">
        <v>29</v>
      </c>
      <c r="B1" s="11" t="s">
        <v>104</v>
      </c>
      <c r="C1" s="11" t="s">
        <v>93</v>
      </c>
      <c r="D1" s="11"/>
      <c r="E1" s="11"/>
      <c r="F1" s="11" t="s">
        <v>105</v>
      </c>
      <c r="G1" s="10" t="s">
        <v>29</v>
      </c>
      <c r="H1" s="11" t="s">
        <v>106</v>
      </c>
      <c r="I1" s="12" t="s">
        <v>107</v>
      </c>
      <c r="J1" s="12"/>
      <c r="K1" s="12"/>
      <c r="L1" s="12"/>
      <c r="M1" s="12"/>
      <c r="N1" s="12"/>
      <c r="O1" s="12" t="s">
        <v>108</v>
      </c>
      <c r="P1" s="12" t="s">
        <v>109</v>
      </c>
      <c r="Q1" s="13" t="s">
        <v>110</v>
      </c>
      <c r="R1" s="14" t="s">
        <v>75</v>
      </c>
      <c r="S1" s="15" t="s">
        <v>111</v>
      </c>
    </row>
    <row r="2" s="2" customFormat="1" customHeight="1" spans="1:19">
      <c r="A2" s="16">
        <v>44927</v>
      </c>
      <c r="B2" s="17">
        <v>1545554</v>
      </c>
      <c r="C2" s="18">
        <v>10.61</v>
      </c>
      <c r="D2" s="18">
        <f t="shared" ref="D2:D44" si="0">B2*C2</f>
        <v>16398327.94</v>
      </c>
      <c r="E2" s="18"/>
      <c r="F2" s="18"/>
      <c r="G2" s="16">
        <v>44927</v>
      </c>
      <c r="H2" s="18"/>
      <c r="I2" s="19">
        <v>0.8601</v>
      </c>
      <c r="J2" s="16">
        <v>44958</v>
      </c>
      <c r="K2" s="20"/>
      <c r="L2" s="20"/>
      <c r="M2" s="20"/>
      <c r="N2" s="16">
        <v>44958</v>
      </c>
      <c r="O2" s="21"/>
      <c r="P2" s="22">
        <v>45108</v>
      </c>
      <c r="Q2" s="23">
        <v>0.8935</v>
      </c>
      <c r="R2" s="24">
        <v>45108</v>
      </c>
      <c r="S2" s="25">
        <f t="shared" ref="S2:S42" si="1">B2*C2*I2*Q2</f>
        <v>12602104.3629768</v>
      </c>
    </row>
    <row r="3" s="3" customFormat="1" ht="20" customHeight="1" spans="1:19">
      <c r="A3" s="24">
        <v>44958</v>
      </c>
      <c r="B3" s="26">
        <v>1578440</v>
      </c>
      <c r="C3" s="27">
        <v>10.82</v>
      </c>
      <c r="D3" s="18">
        <f t="shared" si="0"/>
        <v>17078720.8</v>
      </c>
      <c r="E3" s="27">
        <f t="shared" ref="E3:E45" si="2">D3-D2</f>
        <v>680392.860000001</v>
      </c>
      <c r="F3" s="28">
        <f t="shared" ref="F3:F45" si="3">E3/D2</f>
        <v>0.0414915997831911</v>
      </c>
      <c r="G3" s="24">
        <v>44958</v>
      </c>
      <c r="H3" s="28">
        <v>0.0414915997831911</v>
      </c>
      <c r="I3" s="29">
        <v>0.8628</v>
      </c>
      <c r="J3" s="24">
        <v>44986</v>
      </c>
      <c r="K3" s="30"/>
      <c r="L3" s="30"/>
      <c r="M3" s="30"/>
      <c r="N3" s="24">
        <v>44986</v>
      </c>
      <c r="O3" s="31"/>
      <c r="P3" s="22">
        <v>45139</v>
      </c>
      <c r="Q3" s="23">
        <v>0.916</v>
      </c>
      <c r="R3" s="24">
        <v>45139</v>
      </c>
      <c r="S3" s="25">
        <f t="shared" si="1"/>
        <v>13497736.6005158</v>
      </c>
    </row>
    <row r="4" s="2" customFormat="1" customHeight="1" spans="1:19">
      <c r="A4" s="24">
        <v>44986</v>
      </c>
      <c r="B4" s="32">
        <v>1605999</v>
      </c>
      <c r="C4" s="27">
        <v>10.89</v>
      </c>
      <c r="D4" s="18">
        <f t="shared" si="0"/>
        <v>17489329.11</v>
      </c>
      <c r="E4" s="33">
        <f t="shared" si="2"/>
        <v>410608.309999999</v>
      </c>
      <c r="F4" s="34">
        <f t="shared" si="3"/>
        <v>0.0240420998041023</v>
      </c>
      <c r="G4" s="35">
        <v>44986</v>
      </c>
      <c r="H4" s="34">
        <v>0.0240420998041023</v>
      </c>
      <c r="I4" s="34">
        <v>0.8771</v>
      </c>
      <c r="J4" s="35">
        <v>45017</v>
      </c>
      <c r="K4" s="36"/>
      <c r="L4" s="30"/>
      <c r="M4" s="30"/>
      <c r="N4" s="24">
        <v>45017</v>
      </c>
      <c r="O4" s="31"/>
      <c r="P4" s="22">
        <v>45170</v>
      </c>
      <c r="Q4" s="23">
        <v>0.9137</v>
      </c>
      <c r="R4" s="24">
        <v>45170</v>
      </c>
      <c r="S4" s="25">
        <f t="shared" si="1"/>
        <v>14016058.0068475</v>
      </c>
    </row>
    <row r="5" s="2" customFormat="1" ht="20" customHeight="1" spans="1:19">
      <c r="A5" s="24">
        <v>45017</v>
      </c>
      <c r="B5" s="32">
        <v>1600580</v>
      </c>
      <c r="C5" s="27">
        <v>10.89</v>
      </c>
      <c r="D5" s="18">
        <f t="shared" si="0"/>
        <v>17430316.2</v>
      </c>
      <c r="E5" s="33">
        <f t="shared" si="2"/>
        <v>-59012.9100000001</v>
      </c>
      <c r="F5" s="34">
        <f t="shared" si="3"/>
        <v>-0.00337422376975329</v>
      </c>
      <c r="G5" s="35">
        <v>45017</v>
      </c>
      <c r="H5" s="34">
        <v>-0.00337422376975329</v>
      </c>
      <c r="I5" s="34">
        <v>0.9098</v>
      </c>
      <c r="J5" s="35">
        <v>45047</v>
      </c>
      <c r="K5" s="36"/>
      <c r="L5" s="30"/>
      <c r="M5" s="30"/>
      <c r="N5" s="24">
        <v>45047</v>
      </c>
      <c r="O5" s="31"/>
      <c r="P5" s="22">
        <v>45200</v>
      </c>
      <c r="Q5" s="23">
        <v>0.9028</v>
      </c>
      <c r="R5" s="24">
        <v>45200</v>
      </c>
      <c r="S5" s="25">
        <f t="shared" si="1"/>
        <v>14316694.1955845</v>
      </c>
    </row>
    <row r="6" s="2" customFormat="1" ht="20" customHeight="1" spans="1:19">
      <c r="A6" s="24">
        <v>45047</v>
      </c>
      <c r="B6" s="26">
        <v>1600010</v>
      </c>
      <c r="C6" s="27">
        <v>10.92</v>
      </c>
      <c r="D6" s="18">
        <f t="shared" si="0"/>
        <v>17472109.2</v>
      </c>
      <c r="E6" s="33">
        <f t="shared" si="2"/>
        <v>41793</v>
      </c>
      <c r="F6" s="34">
        <f t="shared" si="3"/>
        <v>0.00239771898113931</v>
      </c>
      <c r="G6" s="35">
        <v>45047</v>
      </c>
      <c r="H6" s="34">
        <v>0.00239771898113931</v>
      </c>
      <c r="I6" s="34">
        <v>0.8957</v>
      </c>
      <c r="J6" s="35">
        <v>45078</v>
      </c>
      <c r="K6" s="36"/>
      <c r="L6" s="30"/>
      <c r="M6" s="30"/>
      <c r="N6" s="24">
        <v>45078</v>
      </c>
      <c r="O6" s="31"/>
      <c r="P6" s="22">
        <v>45231</v>
      </c>
      <c r="Q6" s="23">
        <v>0.8903</v>
      </c>
      <c r="R6" s="24">
        <v>45231</v>
      </c>
      <c r="S6" s="25">
        <f t="shared" si="1"/>
        <v>13932988.6377547</v>
      </c>
    </row>
    <row r="7" s="2" customFormat="1" ht="20" customHeight="1" spans="1:19">
      <c r="A7" s="24">
        <v>45078</v>
      </c>
      <c r="B7" s="26">
        <v>1583785</v>
      </c>
      <c r="C7" s="27">
        <v>11.18</v>
      </c>
      <c r="D7" s="18">
        <f t="shared" si="0"/>
        <v>17706716.3</v>
      </c>
      <c r="E7" s="33">
        <f t="shared" si="2"/>
        <v>234607.100000001</v>
      </c>
      <c r="F7" s="34">
        <f t="shared" si="3"/>
        <v>0.0134275202446652</v>
      </c>
      <c r="G7" s="35">
        <v>45078</v>
      </c>
      <c r="H7" s="34">
        <v>0.0134275202446652</v>
      </c>
      <c r="I7" s="34">
        <v>0.8898</v>
      </c>
      <c r="J7" s="35">
        <v>45108</v>
      </c>
      <c r="K7" s="36"/>
      <c r="L7" s="30"/>
      <c r="M7" s="30"/>
      <c r="N7" s="24">
        <v>45108</v>
      </c>
      <c r="O7" s="31"/>
      <c r="P7" s="22">
        <v>45261</v>
      </c>
      <c r="Q7" s="23">
        <v>0.9058</v>
      </c>
      <c r="R7" s="37">
        <v>45261</v>
      </c>
      <c r="S7" s="38">
        <f t="shared" si="1"/>
        <v>14271274.0771157</v>
      </c>
    </row>
    <row r="8" s="4" customFormat="1" ht="20" customHeight="1" spans="1:19">
      <c r="A8" s="24">
        <v>45108</v>
      </c>
      <c r="B8" s="26">
        <v>1593477</v>
      </c>
      <c r="C8" s="27">
        <v>11.15</v>
      </c>
      <c r="D8" s="18">
        <f t="shared" si="0"/>
        <v>17767268.55</v>
      </c>
      <c r="E8" s="33">
        <f t="shared" si="2"/>
        <v>60552.25</v>
      </c>
      <c r="F8" s="34">
        <f t="shared" si="3"/>
        <v>0.00341973344882699</v>
      </c>
      <c r="G8" s="35">
        <v>45108</v>
      </c>
      <c r="H8" s="34">
        <v>0.00341973344882699</v>
      </c>
      <c r="I8" s="34">
        <v>0.8856</v>
      </c>
      <c r="J8" s="35">
        <v>45139</v>
      </c>
      <c r="K8" s="36"/>
      <c r="L8" s="30"/>
      <c r="M8" s="30"/>
      <c r="N8" s="24">
        <v>45139</v>
      </c>
      <c r="O8" s="31"/>
      <c r="P8" s="22">
        <v>45292</v>
      </c>
      <c r="Q8" s="23">
        <v>0.893</v>
      </c>
      <c r="R8" s="35">
        <v>45292</v>
      </c>
      <c r="S8" s="38">
        <f t="shared" si="1"/>
        <v>14051080.8738968</v>
      </c>
    </row>
    <row r="9" s="4" customFormat="1" ht="20" customHeight="1" spans="1:19">
      <c r="A9" s="24">
        <v>45139</v>
      </c>
      <c r="B9" s="26">
        <v>1593655</v>
      </c>
      <c r="C9" s="27">
        <v>11.18</v>
      </c>
      <c r="D9" s="18">
        <f t="shared" si="0"/>
        <v>17817062.9</v>
      </c>
      <c r="E9" s="33">
        <f t="shared" si="2"/>
        <v>49794.3499999978</v>
      </c>
      <c r="F9" s="34">
        <f t="shared" si="3"/>
        <v>0.00280258892130033</v>
      </c>
      <c r="G9" s="35">
        <v>45139</v>
      </c>
      <c r="H9" s="34">
        <v>0.00280258892130033</v>
      </c>
      <c r="I9" s="34">
        <v>0.8892</v>
      </c>
      <c r="J9" s="35">
        <v>45170</v>
      </c>
      <c r="K9" s="36"/>
      <c r="L9" s="30"/>
      <c r="M9" s="30"/>
      <c r="N9" s="24">
        <v>45170</v>
      </c>
      <c r="O9" s="31"/>
      <c r="P9" s="22">
        <v>45323</v>
      </c>
      <c r="Q9" s="23">
        <v>0.917</v>
      </c>
      <c r="R9" s="35">
        <v>45323</v>
      </c>
      <c r="S9" s="38">
        <f t="shared" si="1"/>
        <v>14527968.9472336</v>
      </c>
    </row>
    <row r="10" s="5" customFormat="1" ht="20" customHeight="1" spans="1:19">
      <c r="A10" s="24">
        <v>45170</v>
      </c>
      <c r="B10" s="26">
        <v>1600849</v>
      </c>
      <c r="C10" s="27">
        <v>11.18</v>
      </c>
      <c r="D10" s="18">
        <f t="shared" si="0"/>
        <v>17897491.82</v>
      </c>
      <c r="E10" s="33">
        <f t="shared" si="2"/>
        <v>80428.9200000018</v>
      </c>
      <c r="F10" s="34">
        <f t="shared" si="3"/>
        <v>0.00451415143177172</v>
      </c>
      <c r="G10" s="35">
        <v>45170</v>
      </c>
      <c r="H10" s="34">
        <v>0.0045141514317717</v>
      </c>
      <c r="I10" s="34">
        <v>0.8867</v>
      </c>
      <c r="J10" s="35">
        <v>45200</v>
      </c>
      <c r="K10" s="36"/>
      <c r="L10" s="30"/>
      <c r="M10" s="30"/>
      <c r="N10" s="24">
        <v>45200</v>
      </c>
      <c r="O10" s="31"/>
      <c r="P10" s="22">
        <v>45352</v>
      </c>
      <c r="Q10" s="23">
        <v>0.9171</v>
      </c>
      <c r="R10" s="35">
        <v>45352</v>
      </c>
      <c r="S10" s="38">
        <f t="shared" si="1"/>
        <v>14554107.3696598</v>
      </c>
    </row>
    <row r="11" s="4" customFormat="1" ht="20" customHeight="1" spans="1:19">
      <c r="A11" s="24">
        <v>45200</v>
      </c>
      <c r="B11" s="39">
        <v>1592724</v>
      </c>
      <c r="C11" s="27">
        <v>11.2</v>
      </c>
      <c r="D11" s="18">
        <f t="shared" si="0"/>
        <v>17838508.8</v>
      </c>
      <c r="E11" s="33">
        <f t="shared" si="2"/>
        <v>-58983.0199999996</v>
      </c>
      <c r="F11" s="34">
        <f t="shared" si="3"/>
        <v>-0.00329560256784627</v>
      </c>
      <c r="G11" s="35">
        <v>45200</v>
      </c>
      <c r="H11" s="34">
        <v>-0.00329560256784647</v>
      </c>
      <c r="I11" s="34">
        <v>0.8781</v>
      </c>
      <c r="J11" s="35">
        <v>45231</v>
      </c>
      <c r="K11" s="36"/>
      <c r="L11" s="30"/>
      <c r="M11" s="30"/>
      <c r="N11" s="24">
        <v>45231</v>
      </c>
      <c r="O11" s="31"/>
      <c r="P11" s="22">
        <v>45383</v>
      </c>
      <c r="Q11" s="23">
        <v>0.9176</v>
      </c>
      <c r="R11" s="35">
        <v>45383</v>
      </c>
      <c r="S11" s="38">
        <f t="shared" si="1"/>
        <v>14373281.4241121</v>
      </c>
    </row>
    <row r="12" s="4" customFormat="1" ht="20" customHeight="1" spans="1:19">
      <c r="A12" s="24">
        <v>45231</v>
      </c>
      <c r="B12" s="39">
        <v>1549618</v>
      </c>
      <c r="C12" s="27">
        <v>11.17</v>
      </c>
      <c r="D12" s="18">
        <f t="shared" si="0"/>
        <v>17309233.06</v>
      </c>
      <c r="E12" s="33">
        <f t="shared" si="2"/>
        <v>-529275.740000002</v>
      </c>
      <c r="F12" s="34">
        <f t="shared" si="3"/>
        <v>-0.0296704027188642</v>
      </c>
      <c r="G12" s="35">
        <v>45231</v>
      </c>
      <c r="H12" s="34">
        <v>-0.0296704027188639</v>
      </c>
      <c r="I12" s="34">
        <v>0.8757</v>
      </c>
      <c r="J12" s="35">
        <v>45261</v>
      </c>
      <c r="K12" s="36"/>
      <c r="L12" s="30"/>
      <c r="M12" s="30"/>
      <c r="N12" s="24">
        <v>45261</v>
      </c>
      <c r="O12" s="31"/>
      <c r="P12" s="20">
        <v>45413</v>
      </c>
      <c r="Q12" s="23">
        <v>0.9138</v>
      </c>
      <c r="R12" s="35">
        <v>45413</v>
      </c>
      <c r="S12" s="38">
        <f t="shared" si="1"/>
        <v>13851102.0479687</v>
      </c>
    </row>
    <row r="13" s="4" customFormat="1" ht="21" customHeight="1" spans="1:19">
      <c r="A13" s="24">
        <v>45261</v>
      </c>
      <c r="B13" s="39">
        <v>1540120</v>
      </c>
      <c r="C13" s="27">
        <v>11.06</v>
      </c>
      <c r="D13" s="18">
        <f t="shared" si="0"/>
        <v>17033727.2</v>
      </c>
      <c r="E13" s="33">
        <f t="shared" si="2"/>
        <v>-275505.859999999</v>
      </c>
      <c r="F13" s="34">
        <f t="shared" si="3"/>
        <v>-0.0159166994311647</v>
      </c>
      <c r="G13" s="35">
        <v>45261</v>
      </c>
      <c r="H13" s="34">
        <v>-0.0159166994311647</v>
      </c>
      <c r="I13" s="34">
        <v>0.8725</v>
      </c>
      <c r="J13" s="35">
        <v>45292</v>
      </c>
      <c r="K13" s="36"/>
      <c r="L13" s="30"/>
      <c r="M13" s="30"/>
      <c r="N13" s="24">
        <v>45292</v>
      </c>
      <c r="O13" s="31"/>
      <c r="P13" s="30">
        <v>45444</v>
      </c>
      <c r="Q13" s="23">
        <v>0.911</v>
      </c>
      <c r="R13" s="35">
        <v>45444</v>
      </c>
      <c r="S13" s="38">
        <f t="shared" si="1"/>
        <v>13539215.480602</v>
      </c>
    </row>
    <row r="14" s="4" customFormat="1" ht="20" customHeight="1" spans="1:19">
      <c r="A14" s="40">
        <v>45292</v>
      </c>
      <c r="B14" s="26">
        <v>1544405</v>
      </c>
      <c r="C14" s="33">
        <v>10.95</v>
      </c>
      <c r="D14" s="18">
        <f t="shared" si="0"/>
        <v>16911234.75</v>
      </c>
      <c r="E14" s="33">
        <f t="shared" si="2"/>
        <v>-122492.449999999</v>
      </c>
      <c r="F14" s="34">
        <f t="shared" si="3"/>
        <v>-0.00719117128986305</v>
      </c>
      <c r="G14" s="35">
        <v>45292</v>
      </c>
      <c r="H14" s="34">
        <v>-0.00719117128986305</v>
      </c>
      <c r="I14" s="34">
        <v>0.8741</v>
      </c>
      <c r="J14" s="35">
        <v>45323</v>
      </c>
      <c r="K14" s="35"/>
      <c r="L14" s="35"/>
      <c r="M14" s="35"/>
      <c r="N14" s="35">
        <v>45323</v>
      </c>
      <c r="O14" s="41"/>
      <c r="P14" s="36">
        <v>45474</v>
      </c>
      <c r="Q14" s="42">
        <v>0.906</v>
      </c>
      <c r="R14" s="35">
        <v>45474</v>
      </c>
      <c r="S14" s="38">
        <f t="shared" si="1"/>
        <v>13392591.9272473</v>
      </c>
    </row>
    <row r="15" s="4" customFormat="1" ht="20" customHeight="1" spans="1:19">
      <c r="A15" s="40">
        <v>45323</v>
      </c>
      <c r="B15" s="26">
        <v>1558740</v>
      </c>
      <c r="C15" s="33">
        <v>11.19</v>
      </c>
      <c r="D15" s="18">
        <f t="shared" si="0"/>
        <v>17442300.6</v>
      </c>
      <c r="E15" s="33">
        <f t="shared" si="2"/>
        <v>531065.850000001</v>
      </c>
      <c r="F15" s="34">
        <f t="shared" si="3"/>
        <v>0.0314031386738335</v>
      </c>
      <c r="G15" s="35">
        <v>45323</v>
      </c>
      <c r="H15" s="34">
        <v>0.0314031386738333</v>
      </c>
      <c r="I15" s="34">
        <v>0.8743</v>
      </c>
      <c r="J15" s="35">
        <v>45352</v>
      </c>
      <c r="K15" s="35"/>
      <c r="L15" s="35"/>
      <c r="M15" s="35"/>
      <c r="N15" s="35">
        <v>45352</v>
      </c>
      <c r="O15" s="34">
        <v>0.0316391306973257</v>
      </c>
      <c r="P15" s="36">
        <v>45505</v>
      </c>
      <c r="Q15" s="42">
        <v>0.9107</v>
      </c>
      <c r="R15" s="35">
        <v>45505</v>
      </c>
      <c r="S15" s="38">
        <f t="shared" si="1"/>
        <v>13887995.969658</v>
      </c>
    </row>
    <row r="16" s="4" customFormat="1" ht="20" customHeight="1" spans="1:19">
      <c r="A16" s="40">
        <v>45352</v>
      </c>
      <c r="B16" s="26">
        <v>1569775</v>
      </c>
      <c r="C16" s="33">
        <v>11.2</v>
      </c>
      <c r="D16" s="18">
        <f t="shared" si="0"/>
        <v>17581480</v>
      </c>
      <c r="E16" s="33">
        <f t="shared" si="2"/>
        <v>139179.399999999</v>
      </c>
      <c r="F16" s="34">
        <f t="shared" si="3"/>
        <v>0.00797941757751833</v>
      </c>
      <c r="G16" s="35">
        <v>45352</v>
      </c>
      <c r="H16" s="34">
        <v>0.00797941757751854</v>
      </c>
      <c r="I16" s="34">
        <v>0.8758</v>
      </c>
      <c r="J16" s="35">
        <v>45383</v>
      </c>
      <c r="K16" s="35"/>
      <c r="L16" s="35"/>
      <c r="M16" s="35"/>
      <c r="N16" s="35">
        <v>45383</v>
      </c>
      <c r="O16" s="34">
        <v>0.00970876577192134</v>
      </c>
      <c r="P16" s="43">
        <v>45536</v>
      </c>
      <c r="Q16" s="42">
        <v>0.9129</v>
      </c>
      <c r="R16" s="37">
        <v>45536</v>
      </c>
      <c r="S16" s="44">
        <f t="shared" si="1"/>
        <v>14056706.5619736</v>
      </c>
    </row>
    <row r="17" s="4" customFormat="1" ht="18" customHeight="1" spans="1:21">
      <c r="A17" s="40">
        <v>45383</v>
      </c>
      <c r="B17" s="26">
        <v>1569541</v>
      </c>
      <c r="C17" s="33">
        <v>11.24</v>
      </c>
      <c r="D17" s="18">
        <f t="shared" si="0"/>
        <v>17641640.84</v>
      </c>
      <c r="E17" s="33">
        <f t="shared" si="2"/>
        <v>60160.8399999999</v>
      </c>
      <c r="F17" s="34">
        <f t="shared" si="3"/>
        <v>0.00342183024409776</v>
      </c>
      <c r="G17" s="35">
        <v>45383</v>
      </c>
      <c r="H17" s="34">
        <v>0.00342183024409776</v>
      </c>
      <c r="I17" s="34">
        <v>0.891</v>
      </c>
      <c r="J17" s="35">
        <v>45413</v>
      </c>
      <c r="K17" s="35"/>
      <c r="L17" s="35"/>
      <c r="M17" s="35"/>
      <c r="N17" s="35">
        <v>45413</v>
      </c>
      <c r="O17" s="34">
        <v>0.0208367786566466</v>
      </c>
      <c r="P17" s="36">
        <v>45566</v>
      </c>
      <c r="Q17" s="42">
        <v>0.906</v>
      </c>
      <c r="R17" s="37">
        <v>45566</v>
      </c>
      <c r="S17" s="44">
        <f t="shared" si="1"/>
        <v>14241144.0015266</v>
      </c>
    </row>
    <row r="18" s="4" customFormat="1" ht="20" customHeight="1" spans="1:21">
      <c r="A18" s="40">
        <v>45413</v>
      </c>
      <c r="B18" s="26">
        <v>1576021</v>
      </c>
      <c r="C18" s="33">
        <v>11.22</v>
      </c>
      <c r="D18" s="18">
        <f t="shared" si="0"/>
        <v>17682955.62</v>
      </c>
      <c r="E18" s="33">
        <f t="shared" si="2"/>
        <v>41314.7800000012</v>
      </c>
      <c r="F18" s="34">
        <f t="shared" si="3"/>
        <v>0.00234188987150932</v>
      </c>
      <c r="G18" s="35">
        <v>45413</v>
      </c>
      <c r="H18" s="34">
        <v>0.00234188987150932</v>
      </c>
      <c r="I18" s="34">
        <v>0.9</v>
      </c>
      <c r="J18" s="35">
        <v>45444</v>
      </c>
      <c r="K18" s="35"/>
      <c r="L18" s="35"/>
      <c r="M18" s="35"/>
      <c r="N18" s="35">
        <v>45444</v>
      </c>
      <c r="O18" s="34">
        <v>0.0124665554257671</v>
      </c>
      <c r="P18" s="36">
        <v>45597</v>
      </c>
      <c r="Q18" s="42">
        <v>0.9088</v>
      </c>
      <c r="R18" s="45">
        <v>45597</v>
      </c>
      <c r="S18" s="44">
        <f t="shared" si="1"/>
        <v>14463243.0607104</v>
      </c>
    </row>
    <row r="19" s="4" customFormat="1" ht="20" customHeight="1" spans="1:21">
      <c r="A19" s="40">
        <v>45444</v>
      </c>
      <c r="B19" s="26">
        <v>1595025</v>
      </c>
      <c r="C19" s="33">
        <v>11.17</v>
      </c>
      <c r="D19" s="18">
        <f t="shared" si="0"/>
        <v>17816429.25</v>
      </c>
      <c r="E19" s="33">
        <f t="shared" si="2"/>
        <v>133473.629999999</v>
      </c>
      <c r="F19" s="34">
        <f t="shared" si="3"/>
        <v>0.00754815161380804</v>
      </c>
      <c r="G19" s="35">
        <v>45444</v>
      </c>
      <c r="H19" s="34">
        <v>0.00754815161380804</v>
      </c>
      <c r="I19" s="34">
        <v>0.9002</v>
      </c>
      <c r="J19" s="35">
        <v>45474</v>
      </c>
      <c r="K19" s="35"/>
      <c r="L19" s="35"/>
      <c r="M19" s="35"/>
      <c r="N19" s="35">
        <v>45474</v>
      </c>
      <c r="O19" s="34">
        <v>0.00777205120305553</v>
      </c>
      <c r="P19" s="43">
        <v>45627</v>
      </c>
      <c r="Q19" s="46">
        <v>0.8972</v>
      </c>
      <c r="R19" s="47">
        <v>45627</v>
      </c>
      <c r="S19" s="48">
        <f t="shared" si="1"/>
        <v>14389607.2708546</v>
      </c>
    </row>
    <row r="20" s="4" customFormat="1" ht="20" customHeight="1" spans="1:21">
      <c r="A20" s="40">
        <v>45474</v>
      </c>
      <c r="B20" s="26">
        <v>1609282</v>
      </c>
      <c r="C20" s="33">
        <v>11.16</v>
      </c>
      <c r="D20" s="18">
        <f t="shared" si="0"/>
        <v>17959587.12</v>
      </c>
      <c r="E20" s="33">
        <f t="shared" si="2"/>
        <v>143157.870000001</v>
      </c>
      <c r="F20" s="34">
        <f t="shared" si="3"/>
        <v>0.00803516058078815</v>
      </c>
      <c r="G20" s="35">
        <v>45474</v>
      </c>
      <c r="H20" s="34">
        <v>0.00803516058078815</v>
      </c>
      <c r="I20" s="34">
        <v>0.8998</v>
      </c>
      <c r="J20" s="35">
        <v>45505</v>
      </c>
      <c r="K20" s="35"/>
      <c r="L20" s="35"/>
      <c r="M20" s="35"/>
      <c r="N20" s="35">
        <v>45505</v>
      </c>
      <c r="O20" s="34">
        <v>0.0075872444907722</v>
      </c>
      <c r="P20" s="35">
        <v>45658</v>
      </c>
      <c r="Q20" s="49">
        <v>0.899</v>
      </c>
      <c r="R20" s="35">
        <v>45658</v>
      </c>
      <c r="S20" s="44">
        <f t="shared" si="1"/>
        <v>14527872.8050278</v>
      </c>
    </row>
    <row r="21" s="4" customFormat="1" ht="20" customHeight="1" spans="1:21">
      <c r="A21" s="40">
        <v>45505</v>
      </c>
      <c r="B21" s="26">
        <v>1621575</v>
      </c>
      <c r="C21" s="33">
        <v>11.17</v>
      </c>
      <c r="D21" s="18">
        <f t="shared" si="0"/>
        <v>18112992.75</v>
      </c>
      <c r="E21" s="33">
        <f t="shared" si="2"/>
        <v>153405.629999999</v>
      </c>
      <c r="F21" s="34">
        <f t="shared" si="3"/>
        <v>0.00854171251126173</v>
      </c>
      <c r="G21" s="35">
        <v>45505</v>
      </c>
      <c r="H21" s="34">
        <v>0.00854171251126173</v>
      </c>
      <c r="I21" s="34">
        <v>0.9011</v>
      </c>
      <c r="J21" s="35">
        <v>45536</v>
      </c>
      <c r="K21" s="44">
        <f t="shared" ref="K21:K43" si="4">B21*C21*I21</f>
        <v>16321617.767025</v>
      </c>
      <c r="L21" s="44"/>
      <c r="M21" s="44"/>
      <c r="N21" s="35">
        <v>45536</v>
      </c>
      <c r="O21" s="34">
        <v>0.00999881878628352</v>
      </c>
      <c r="P21" s="35">
        <v>45689</v>
      </c>
      <c r="Q21" s="23">
        <v>0.902</v>
      </c>
      <c r="R21" s="35">
        <v>45689</v>
      </c>
      <c r="S21" s="44">
        <f t="shared" si="1"/>
        <v>14722099.2258566</v>
      </c>
    </row>
    <row r="22" s="4" customFormat="1" ht="20" customHeight="1" spans="1:21">
      <c r="A22" s="40">
        <v>45536</v>
      </c>
      <c r="B22" s="26">
        <v>1632445</v>
      </c>
      <c r="C22" s="33">
        <v>11.19</v>
      </c>
      <c r="D22" s="18">
        <f t="shared" si="0"/>
        <v>18267059.55</v>
      </c>
      <c r="E22" s="33">
        <f t="shared" si="2"/>
        <v>154066.800000001</v>
      </c>
      <c r="F22" s="34">
        <f t="shared" si="3"/>
        <v>0.00850587211768197</v>
      </c>
      <c r="G22" s="35">
        <v>45536</v>
      </c>
      <c r="H22" s="34">
        <v>0.00850587211768197</v>
      </c>
      <c r="I22" s="49">
        <v>0.8996</v>
      </c>
      <c r="J22" s="35">
        <v>45566</v>
      </c>
      <c r="K22" s="44">
        <f t="shared" si="4"/>
        <v>16433046.77118</v>
      </c>
      <c r="L22" s="44">
        <f t="shared" ref="L22:L43" si="5">K22-K21</f>
        <v>111429.004155001</v>
      </c>
      <c r="M22" s="34">
        <f t="shared" ref="M22:M43" si="6">L22/K21</f>
        <v>0.00682708085347542</v>
      </c>
      <c r="N22" s="35">
        <v>45566</v>
      </c>
      <c r="O22" s="34">
        <v>0.00682708085347542</v>
      </c>
      <c r="P22" s="35">
        <v>45717</v>
      </c>
      <c r="Q22" s="23">
        <v>0.9169</v>
      </c>
      <c r="R22" s="35">
        <v>45717</v>
      </c>
      <c r="S22" s="44">
        <f t="shared" si="1"/>
        <v>15067460.5844949</v>
      </c>
    </row>
    <row r="23" s="4" customFormat="1" customHeight="1" spans="1:21">
      <c r="A23" s="40">
        <v>45566</v>
      </c>
      <c r="B23" s="26">
        <v>1638403</v>
      </c>
      <c r="C23" s="33">
        <v>11.21</v>
      </c>
      <c r="D23" s="18">
        <f t="shared" si="0"/>
        <v>18366497.63</v>
      </c>
      <c r="E23" s="33">
        <f t="shared" si="2"/>
        <v>99438.0799999982</v>
      </c>
      <c r="F23" s="34">
        <f t="shared" si="3"/>
        <v>0.0054435734294192</v>
      </c>
      <c r="G23" s="35">
        <v>45566</v>
      </c>
      <c r="H23" s="34">
        <v>0.0054435734294194</v>
      </c>
      <c r="I23" s="49">
        <v>0.9001</v>
      </c>
      <c r="J23" s="35">
        <v>45597</v>
      </c>
      <c r="K23" s="44">
        <f t="shared" si="4"/>
        <v>16531684.516763</v>
      </c>
      <c r="L23" s="44">
        <f t="shared" si="5"/>
        <v>98637.7455829997</v>
      </c>
      <c r="M23" s="34">
        <f t="shared" si="6"/>
        <v>0.00600240156049387</v>
      </c>
      <c r="N23" s="35">
        <v>45597</v>
      </c>
      <c r="O23" s="34">
        <v>0.0060024015604941</v>
      </c>
      <c r="P23" s="50">
        <v>45748</v>
      </c>
      <c r="Q23" s="23">
        <v>0.92</v>
      </c>
      <c r="R23" s="50">
        <v>45748</v>
      </c>
      <c r="S23" s="44">
        <f t="shared" si="1"/>
        <v>15209149.755422</v>
      </c>
    </row>
    <row r="24" s="4" customFormat="1" customHeight="1" spans="1:21">
      <c r="A24" s="40">
        <v>45597</v>
      </c>
      <c r="B24" s="26">
        <v>1645215</v>
      </c>
      <c r="C24" s="33">
        <v>11.25</v>
      </c>
      <c r="D24" s="18">
        <f t="shared" si="0"/>
        <v>18508668.75</v>
      </c>
      <c r="E24" s="33">
        <f t="shared" si="2"/>
        <v>142171.120000001</v>
      </c>
      <c r="F24" s="34">
        <f t="shared" si="3"/>
        <v>0.00774078557948781</v>
      </c>
      <c r="G24" s="40">
        <v>45597</v>
      </c>
      <c r="H24" s="34">
        <v>0.0077</v>
      </c>
      <c r="I24" s="49">
        <v>0.898</v>
      </c>
      <c r="J24" s="36">
        <v>45627</v>
      </c>
      <c r="K24" s="44">
        <f t="shared" si="4"/>
        <v>16620784.5375</v>
      </c>
      <c r="L24" s="44">
        <f t="shared" si="5"/>
        <v>89100.0207369998</v>
      </c>
      <c r="M24" s="34">
        <f t="shared" si="6"/>
        <v>0.00538965165023885</v>
      </c>
      <c r="N24" s="35">
        <v>45627</v>
      </c>
      <c r="O24" s="34">
        <v>0.00538965165023863</v>
      </c>
      <c r="P24" s="50">
        <v>45778</v>
      </c>
      <c r="Q24" s="23">
        <v>0.9169</v>
      </c>
      <c r="R24" s="50">
        <v>45778</v>
      </c>
      <c r="S24" s="44">
        <f t="shared" si="1"/>
        <v>15239597.3424338</v>
      </c>
    </row>
    <row r="25" s="4" customFormat="1" customHeight="1" spans="1:21">
      <c r="A25" s="40">
        <v>45627</v>
      </c>
      <c r="B25" s="26">
        <v>1658841</v>
      </c>
      <c r="C25" s="33">
        <v>11.2</v>
      </c>
      <c r="D25" s="18">
        <f t="shared" si="0"/>
        <v>18579019.2</v>
      </c>
      <c r="E25" s="33">
        <f t="shared" si="2"/>
        <v>70350.4499999993</v>
      </c>
      <c r="F25" s="34">
        <f t="shared" si="3"/>
        <v>0.00380094597565258</v>
      </c>
      <c r="G25" s="40">
        <v>45627</v>
      </c>
      <c r="H25" s="34">
        <v>0.0038</v>
      </c>
      <c r="I25" s="49">
        <v>0.8917</v>
      </c>
      <c r="J25" s="36">
        <v>45658</v>
      </c>
      <c r="K25" s="44">
        <f t="shared" si="4"/>
        <v>16566911.42064</v>
      </c>
      <c r="L25" s="44">
        <f t="shared" si="5"/>
        <v>-53873.1168600004</v>
      </c>
      <c r="M25" s="34">
        <f t="shared" si="6"/>
        <v>-0.00324131010413205</v>
      </c>
      <c r="N25" s="35">
        <v>45658</v>
      </c>
      <c r="O25" s="34">
        <v>-0.00324131010413193</v>
      </c>
      <c r="P25" s="50">
        <v>45810</v>
      </c>
      <c r="Q25" s="23">
        <v>0.9163</v>
      </c>
      <c r="R25" s="50">
        <v>45810</v>
      </c>
      <c r="S25" s="44">
        <f t="shared" si="1"/>
        <v>15180260.9347324</v>
      </c>
    </row>
    <row r="26" s="4" customFormat="1" customHeight="1" spans="1:21">
      <c r="A26" s="40">
        <v>45658</v>
      </c>
      <c r="B26" s="26">
        <v>1676580</v>
      </c>
      <c r="C26" s="33">
        <v>11.17</v>
      </c>
      <c r="D26" s="18">
        <f t="shared" si="0"/>
        <v>18727398.6</v>
      </c>
      <c r="E26" s="33">
        <f t="shared" si="2"/>
        <v>148379.400000002</v>
      </c>
      <c r="F26" s="34">
        <f t="shared" si="3"/>
        <v>0.00798639575118165</v>
      </c>
      <c r="G26" s="40">
        <v>45658</v>
      </c>
      <c r="H26" s="34">
        <v>0.008</v>
      </c>
      <c r="I26" s="34">
        <v>0.8886</v>
      </c>
      <c r="J26" s="51">
        <v>45689</v>
      </c>
      <c r="K26" s="44">
        <f t="shared" si="4"/>
        <v>16641166.39596</v>
      </c>
      <c r="L26" s="44">
        <f t="shared" si="5"/>
        <v>74254.9753200002</v>
      </c>
      <c r="M26" s="34">
        <f t="shared" si="6"/>
        <v>0.00448212545082417</v>
      </c>
      <c r="N26" s="50">
        <v>45689</v>
      </c>
      <c r="O26" s="34">
        <v>0.00448212545082406</v>
      </c>
      <c r="P26" s="50">
        <v>45841</v>
      </c>
      <c r="Q26" s="23">
        <v>0.9171</v>
      </c>
      <c r="R26" s="50">
        <v>45841</v>
      </c>
      <c r="S26" s="44">
        <f t="shared" si="1"/>
        <v>15261613.7017349</v>
      </c>
    </row>
    <row r="27" s="4" customFormat="1" customHeight="1" spans="1:21">
      <c r="A27" s="40">
        <v>45689</v>
      </c>
      <c r="B27" s="26">
        <v>1685440</v>
      </c>
      <c r="C27" s="33">
        <v>11.11</v>
      </c>
      <c r="D27" s="18">
        <f t="shared" si="0"/>
        <v>18725238.4</v>
      </c>
      <c r="E27" s="33">
        <f t="shared" si="2"/>
        <v>-2160.20000000298</v>
      </c>
      <c r="F27" s="34">
        <f t="shared" si="3"/>
        <v>-0.000115349710130214</v>
      </c>
      <c r="G27" s="40">
        <v>45689</v>
      </c>
      <c r="H27" s="34">
        <v>-0.0001</v>
      </c>
      <c r="I27" s="34">
        <v>0.8893</v>
      </c>
      <c r="J27" s="51">
        <v>45717</v>
      </c>
      <c r="K27" s="44">
        <f t="shared" si="4"/>
        <v>16652354.50912</v>
      </c>
      <c r="L27" s="44">
        <f t="shared" si="5"/>
        <v>11188.1131600011</v>
      </c>
      <c r="M27" s="34">
        <f t="shared" si="6"/>
        <v>0.0006723154431481</v>
      </c>
      <c r="N27" s="50">
        <v>45717</v>
      </c>
      <c r="O27" s="34">
        <v>0.000672315443147988</v>
      </c>
      <c r="P27" s="50">
        <v>45870</v>
      </c>
      <c r="Q27" s="23">
        <v>0.9188</v>
      </c>
      <c r="R27" s="50">
        <v>45870</v>
      </c>
      <c r="S27" s="44">
        <f t="shared" si="1"/>
        <v>15300183.3229795</v>
      </c>
    </row>
    <row r="28" s="4" customFormat="1" customHeight="1" spans="1:21">
      <c r="A28" s="40">
        <v>45717</v>
      </c>
      <c r="B28" s="26">
        <v>1690713</v>
      </c>
      <c r="C28" s="33">
        <v>11.18</v>
      </c>
      <c r="D28" s="18">
        <f t="shared" si="0"/>
        <v>18902171.34</v>
      </c>
      <c r="E28" s="33">
        <f t="shared" si="2"/>
        <v>176932.940000001</v>
      </c>
      <c r="F28" s="34">
        <f t="shared" si="3"/>
        <v>0.00944890186284631</v>
      </c>
      <c r="G28" s="40">
        <v>45717</v>
      </c>
      <c r="H28" s="34">
        <v>0.0094</v>
      </c>
      <c r="I28" s="34">
        <v>0.8936</v>
      </c>
      <c r="J28" s="51">
        <v>45748</v>
      </c>
      <c r="K28" s="44">
        <f t="shared" si="4"/>
        <v>16890980.309424</v>
      </c>
      <c r="L28" s="44">
        <f t="shared" si="5"/>
        <v>238625.800304001</v>
      </c>
      <c r="M28" s="34">
        <f t="shared" si="6"/>
        <v>0.0143298534854824</v>
      </c>
      <c r="N28" s="50">
        <v>45748</v>
      </c>
      <c r="O28" s="34">
        <v>0.0143298534854823</v>
      </c>
      <c r="P28" s="50">
        <v>45901</v>
      </c>
      <c r="Q28" s="23">
        <v>0.9199</v>
      </c>
      <c r="R28" s="50">
        <v>45901</v>
      </c>
      <c r="S28" s="52">
        <f t="shared" si="1"/>
        <v>15538012.7866391</v>
      </c>
    </row>
    <row r="29" s="4" customFormat="1" customHeight="1" spans="1:21">
      <c r="A29" s="35">
        <v>45748</v>
      </c>
      <c r="B29" s="26">
        <v>1730555</v>
      </c>
      <c r="C29" s="33">
        <v>11.24</v>
      </c>
      <c r="D29" s="18">
        <f t="shared" si="0"/>
        <v>19451438.2</v>
      </c>
      <c r="E29" s="33">
        <f t="shared" si="2"/>
        <v>549266.859999999</v>
      </c>
      <c r="F29" s="34">
        <f t="shared" si="3"/>
        <v>0.0290584002292723</v>
      </c>
      <c r="G29" s="40">
        <v>45748</v>
      </c>
      <c r="H29" s="34">
        <v>0.0291</v>
      </c>
      <c r="I29" s="49">
        <v>0.906</v>
      </c>
      <c r="J29" s="51">
        <v>45778</v>
      </c>
      <c r="K29" s="44">
        <f t="shared" si="4"/>
        <v>17623003.0092</v>
      </c>
      <c r="L29" s="44">
        <f t="shared" si="5"/>
        <v>732022.699775998</v>
      </c>
      <c r="M29" s="34">
        <f t="shared" si="6"/>
        <v>0.0433380825959272</v>
      </c>
      <c r="N29" s="51">
        <v>45778</v>
      </c>
      <c r="O29" s="34">
        <v>0.0433380825959274</v>
      </c>
      <c r="P29" s="50">
        <v>45931</v>
      </c>
      <c r="Q29" s="23">
        <v>0.9103</v>
      </c>
      <c r="R29" s="50">
        <v>45931</v>
      </c>
      <c r="S29" s="52">
        <f t="shared" si="1"/>
        <v>16042219.6392748</v>
      </c>
    </row>
    <row r="30" s="4" customFormat="1" customHeight="1" spans="1:21">
      <c r="A30" s="35">
        <v>45778</v>
      </c>
      <c r="B30" s="26">
        <v>1746895</v>
      </c>
      <c r="C30" s="33">
        <v>11.25</v>
      </c>
      <c r="D30" s="18">
        <f t="shared" si="0"/>
        <v>19652568.75</v>
      </c>
      <c r="E30" s="33">
        <f t="shared" si="2"/>
        <v>201130.550000001</v>
      </c>
      <c r="F30" s="34">
        <f t="shared" si="3"/>
        <v>0.0103401377282221</v>
      </c>
      <c r="G30" s="40">
        <v>45778</v>
      </c>
      <c r="H30" s="34">
        <v>0.0103</v>
      </c>
      <c r="I30" s="49">
        <v>0.9053</v>
      </c>
      <c r="J30" s="51">
        <v>45810</v>
      </c>
      <c r="K30" s="44">
        <f t="shared" si="4"/>
        <v>17791470.489375</v>
      </c>
      <c r="L30" s="44">
        <f t="shared" si="5"/>
        <v>168467.480175</v>
      </c>
      <c r="M30" s="34">
        <f t="shared" si="6"/>
        <v>0.00955952172776979</v>
      </c>
      <c r="N30" s="51">
        <v>45810</v>
      </c>
      <c r="O30" s="34">
        <v>0.00955952172776979</v>
      </c>
      <c r="P30" s="50">
        <v>45962</v>
      </c>
      <c r="Q30" s="53">
        <v>0.908</v>
      </c>
      <c r="R30" s="50">
        <v>45962</v>
      </c>
      <c r="S30" s="52">
        <f t="shared" si="1"/>
        <v>16154655.2043525</v>
      </c>
    </row>
    <row r="31" s="4" customFormat="1" customHeight="1" spans="1:21">
      <c r="A31" s="35">
        <v>45809</v>
      </c>
      <c r="B31" s="26">
        <v>1720364</v>
      </c>
      <c r="C31" s="33">
        <v>11.28</v>
      </c>
      <c r="D31" s="18">
        <f t="shared" si="0"/>
        <v>19405705.92</v>
      </c>
      <c r="E31" s="33">
        <f t="shared" si="2"/>
        <v>-246862.829999998</v>
      </c>
      <c r="F31" s="34">
        <f t="shared" si="3"/>
        <v>-0.0125613518080174</v>
      </c>
      <c r="G31" s="40">
        <v>45809</v>
      </c>
      <c r="H31" s="34">
        <v>-0.0126</v>
      </c>
      <c r="I31" s="49">
        <v>0.9085</v>
      </c>
      <c r="J31" s="51">
        <v>45841</v>
      </c>
      <c r="K31" s="44">
        <f t="shared" si="4"/>
        <v>17630083.82832</v>
      </c>
      <c r="L31" s="44">
        <f t="shared" si="5"/>
        <v>-161386.661054999</v>
      </c>
      <c r="M31" s="34">
        <f t="shared" si="6"/>
        <v>-0.00907101305377642</v>
      </c>
      <c r="N31" s="54">
        <v>45841</v>
      </c>
      <c r="O31" s="55">
        <v>-0.00907101305377663</v>
      </c>
      <c r="P31" s="50">
        <v>45992</v>
      </c>
      <c r="Q31" s="56">
        <v>0.893</v>
      </c>
      <c r="R31" s="50">
        <v>45992</v>
      </c>
      <c r="S31" s="52">
        <f t="shared" si="1"/>
        <v>15743664.8586898</v>
      </c>
    </row>
    <row r="32" s="4" customFormat="1" customHeight="1" spans="1:21">
      <c r="A32" s="35">
        <v>45839</v>
      </c>
      <c r="B32" s="26">
        <v>1719854</v>
      </c>
      <c r="C32" s="33">
        <v>11.29</v>
      </c>
      <c r="D32" s="18">
        <f t="shared" si="0"/>
        <v>19417151.66</v>
      </c>
      <c r="E32" s="33">
        <f t="shared" si="2"/>
        <v>11445.7399999984</v>
      </c>
      <c r="F32" s="34">
        <f t="shared" si="3"/>
        <v>0.000589813122345737</v>
      </c>
      <c r="G32" s="40">
        <v>45839</v>
      </c>
      <c r="H32" s="34">
        <v>0.0006</v>
      </c>
      <c r="I32" s="49">
        <v>0.9091</v>
      </c>
      <c r="J32" s="51">
        <v>45870</v>
      </c>
      <c r="K32" s="44">
        <f t="shared" si="4"/>
        <v>17652132.574106</v>
      </c>
      <c r="L32" s="44">
        <f t="shared" si="5"/>
        <v>22048.745786</v>
      </c>
      <c r="M32" s="34">
        <f t="shared" si="6"/>
        <v>0.00125063193123235</v>
      </c>
      <c r="N32" s="54">
        <v>45870</v>
      </c>
      <c r="O32" s="55">
        <v>0.00125063193123256</v>
      </c>
      <c r="P32" s="51">
        <v>46023</v>
      </c>
      <c r="Q32" s="56">
        <v>0.8998</v>
      </c>
      <c r="R32" s="50">
        <v>46023</v>
      </c>
      <c r="S32" s="52">
        <f t="shared" si="1"/>
        <v>15883388.8901806</v>
      </c>
      <c r="U32" s="4">
        <v>7936</v>
      </c>
    </row>
    <row r="33" s="4" customFormat="1" customHeight="1" spans="1:1024 1025:16383">
      <c r="A33" s="35">
        <v>45870</v>
      </c>
      <c r="B33" s="26">
        <v>1722360</v>
      </c>
      <c r="C33" s="33">
        <v>11.29</v>
      </c>
      <c r="D33" s="18">
        <f t="shared" si="0"/>
        <v>19445444.4</v>
      </c>
      <c r="E33" s="33">
        <f t="shared" si="2"/>
        <v>28292.7399999984</v>
      </c>
      <c r="F33" s="34">
        <f t="shared" si="3"/>
        <v>0.00145710042829208</v>
      </c>
      <c r="G33" s="40">
        <v>45870</v>
      </c>
      <c r="H33" s="34">
        <v>0.0015</v>
      </c>
      <c r="I33" s="49">
        <v>0.9136</v>
      </c>
      <c r="J33" s="51">
        <v>45901</v>
      </c>
      <c r="K33" s="44">
        <f t="shared" si="4"/>
        <v>17765358.00384</v>
      </c>
      <c r="L33" s="44">
        <f t="shared" si="5"/>
        <v>113225.429733999</v>
      </c>
      <c r="M33" s="34">
        <f t="shared" si="6"/>
        <v>0.00641426350378141</v>
      </c>
      <c r="N33" s="54">
        <v>45901</v>
      </c>
      <c r="O33" s="55">
        <v>0.00641426350378141</v>
      </c>
      <c r="P33" s="51">
        <v>46054</v>
      </c>
      <c r="Q33" s="56">
        <v>0.908</v>
      </c>
      <c r="R33" s="50">
        <v>46054</v>
      </c>
      <c r="S33" s="44">
        <f t="shared" ref="S33:S45" si="7">B33*C33*I33*Q33</f>
        <v>16130945.0674867</v>
      </c>
    </row>
    <row r="34" s="4" customFormat="1" customHeight="1" spans="1:1024 1025:16383">
      <c r="A34" s="35">
        <v>45901</v>
      </c>
      <c r="B34" s="26">
        <v>1723201</v>
      </c>
      <c r="C34" s="33">
        <v>11.32</v>
      </c>
      <c r="D34" s="27">
        <f t="shared" si="0"/>
        <v>19506635.32</v>
      </c>
      <c r="E34" s="33">
        <f t="shared" si="2"/>
        <v>61190.9200000018</v>
      </c>
      <c r="F34" s="34">
        <f t="shared" si="3"/>
        <v>0.00314679977177594</v>
      </c>
      <c r="G34" s="35">
        <v>45901</v>
      </c>
      <c r="H34" s="34">
        <v>0.0031</v>
      </c>
      <c r="I34" s="49">
        <v>0.9108</v>
      </c>
      <c r="J34" s="50">
        <v>45931</v>
      </c>
      <c r="K34" s="44">
        <f t="shared" si="4"/>
        <v>17766643.449456</v>
      </c>
      <c r="L34" s="44">
        <f t="shared" si="5"/>
        <v>1285.4456159994</v>
      </c>
      <c r="M34" s="34">
        <f t="shared" si="6"/>
        <v>7.2356865294893e-5</v>
      </c>
      <c r="N34" s="54">
        <v>45931</v>
      </c>
      <c r="O34" s="55">
        <v>7.23568652951027e-5</v>
      </c>
      <c r="P34" s="50">
        <v>46082</v>
      </c>
      <c r="Q34" s="56">
        <v>0.9199</v>
      </c>
      <c r="R34" s="50">
        <v>46082</v>
      </c>
      <c r="S34" s="44">
        <f t="shared" si="7"/>
        <v>16343535.3091546</v>
      </c>
    </row>
    <row r="35" s="4" customFormat="1" customHeight="1" spans="1:1024 1025:16383">
      <c r="A35" s="35">
        <v>45931</v>
      </c>
      <c r="B35" s="26">
        <v>1728546</v>
      </c>
      <c r="C35" s="33">
        <v>11.32</v>
      </c>
      <c r="D35" s="27">
        <f t="shared" si="0"/>
        <v>19567140.72</v>
      </c>
      <c r="E35" s="33">
        <f t="shared" si="2"/>
        <v>60505.3999999985</v>
      </c>
      <c r="F35" s="34">
        <f t="shared" si="3"/>
        <v>0.00310178557231563</v>
      </c>
      <c r="G35" s="35">
        <v>45931</v>
      </c>
      <c r="H35" s="34">
        <v>0.0031</v>
      </c>
      <c r="I35" s="57">
        <v>0.9076</v>
      </c>
      <c r="J35" s="50">
        <v>45962</v>
      </c>
      <c r="K35" s="44">
        <f t="shared" si="4"/>
        <v>17759136.917472</v>
      </c>
      <c r="L35" s="44">
        <f t="shared" si="5"/>
        <v>-7506.53198399767</v>
      </c>
      <c r="M35" s="34">
        <f t="shared" si="6"/>
        <v>-0.000422507042782328</v>
      </c>
      <c r="N35" s="54">
        <v>45962</v>
      </c>
      <c r="O35" s="55">
        <v>-0.000422507042782747</v>
      </c>
      <c r="P35" s="50">
        <v>46113</v>
      </c>
      <c r="Q35" s="56">
        <v>0.922</v>
      </c>
      <c r="R35" s="50">
        <v>46113</v>
      </c>
      <c r="S35" s="44">
        <f t="shared" si="7"/>
        <v>16373924.2379092</v>
      </c>
    </row>
    <row r="36" s="2" customFormat="1" customHeight="1" spans="1:1024 1025:16383">
      <c r="A36" s="58">
        <v>45962</v>
      </c>
      <c r="B36" s="26">
        <v>1721965</v>
      </c>
      <c r="C36" s="33">
        <v>11.33</v>
      </c>
      <c r="D36" s="27">
        <f t="shared" si="0"/>
        <v>19509863.45</v>
      </c>
      <c r="E36" s="44">
        <f t="shared" si="2"/>
        <v>-57277.2699999996</v>
      </c>
      <c r="F36" s="34">
        <f t="shared" si="3"/>
        <v>-0.00292721715551701</v>
      </c>
      <c r="G36" s="35">
        <v>45962</v>
      </c>
      <c r="H36" s="34">
        <v>-0.0029</v>
      </c>
      <c r="I36" s="57">
        <v>0.9008</v>
      </c>
      <c r="J36" s="50">
        <v>45992</v>
      </c>
      <c r="K36" s="44">
        <f t="shared" si="4"/>
        <v>17574484.99576</v>
      </c>
      <c r="L36" s="44">
        <f t="shared" ref="L36:L44" si="8">K36-K35</f>
        <v>-184651.921712</v>
      </c>
      <c r="M36" s="34">
        <f t="shared" ref="M36:M45" si="9">L36/K35</f>
        <v>-0.0103975729547044</v>
      </c>
      <c r="N36" s="59">
        <v>45992</v>
      </c>
      <c r="O36" s="55">
        <v>-0.0103975729547042</v>
      </c>
      <c r="P36" s="60">
        <v>46143</v>
      </c>
      <c r="Q36" s="56">
        <v>0.928</v>
      </c>
      <c r="R36" s="60">
        <v>46143</v>
      </c>
      <c r="S36" s="44">
        <f t="shared" si="7"/>
        <v>16309122.0760653</v>
      </c>
    </row>
    <row r="37" s="6" customFormat="1" customHeight="1" spans="1:1024 1025:16383">
      <c r="A37" s="58">
        <v>45992</v>
      </c>
      <c r="B37" s="26">
        <v>1720364</v>
      </c>
      <c r="C37" s="33">
        <v>11.32</v>
      </c>
      <c r="D37" s="27">
        <f t="shared" si="0"/>
        <v>19474520.48</v>
      </c>
      <c r="E37" s="44">
        <f t="shared" si="2"/>
        <v>-35342.9699999988</v>
      </c>
      <c r="F37" s="34">
        <f t="shared" si="3"/>
        <v>-0.00181154368868731</v>
      </c>
      <c r="G37" s="50">
        <v>45992</v>
      </c>
      <c r="H37" s="34">
        <v>-0.0018</v>
      </c>
      <c r="I37" s="57">
        <v>0.9103</v>
      </c>
      <c r="J37" s="61">
        <v>46023</v>
      </c>
      <c r="K37" s="44">
        <f t="shared" si="4"/>
        <v>17727655.992944</v>
      </c>
      <c r="L37" s="44">
        <f t="shared" si="8"/>
        <v>153170.997184001</v>
      </c>
      <c r="M37" s="34">
        <f t="shared" si="9"/>
        <v>0.00871553261566155</v>
      </c>
      <c r="N37" s="62">
        <v>46023</v>
      </c>
      <c r="O37" s="55">
        <v>0.00871553261566155</v>
      </c>
      <c r="P37" s="60">
        <v>46174</v>
      </c>
      <c r="Q37" s="56">
        <v>0.93</v>
      </c>
      <c r="R37" s="60">
        <v>46174</v>
      </c>
      <c r="S37" s="44">
        <f t="shared" si="7"/>
        <v>16486720.0734379</v>
      </c>
    </row>
    <row r="38" s="2" customFormat="1" customHeight="1" spans="1:1024 1025:16383">
      <c r="A38" s="63">
        <v>46023</v>
      </c>
      <c r="B38" s="26">
        <v>1719856</v>
      </c>
      <c r="C38" s="33">
        <v>11.35</v>
      </c>
      <c r="D38" s="27">
        <f t="shared" si="0"/>
        <v>19520365.6</v>
      </c>
      <c r="E38" s="44">
        <f t="shared" si="2"/>
        <v>45845.120000001</v>
      </c>
      <c r="F38" s="34">
        <f t="shared" si="3"/>
        <v>0.00235410777107879</v>
      </c>
      <c r="G38" s="63">
        <v>46023</v>
      </c>
      <c r="H38" s="29">
        <v>0.0023541077710786</v>
      </c>
      <c r="I38" s="57">
        <v>0.9089</v>
      </c>
      <c r="J38" s="63">
        <v>46054</v>
      </c>
      <c r="K38" s="44">
        <f t="shared" si="4"/>
        <v>17742060.29384</v>
      </c>
      <c r="L38" s="44">
        <f t="shared" si="8"/>
        <v>14404.3008959964</v>
      </c>
      <c r="M38" s="34">
        <f t="shared" si="9"/>
        <v>0.000812532739902535</v>
      </c>
      <c r="N38" s="62">
        <v>46054</v>
      </c>
      <c r="O38" s="55">
        <v>0.000812532739902535</v>
      </c>
      <c r="P38" s="60">
        <v>46204</v>
      </c>
      <c r="Q38" s="64">
        <v>0.9267</v>
      </c>
      <c r="R38" s="60">
        <v>46204</v>
      </c>
      <c r="S38" s="44">
        <f t="shared" si="7"/>
        <v>16441567.2743015</v>
      </c>
    </row>
    <row r="39" s="2" customFormat="1" customHeight="1" spans="1:1024 1025:16383">
      <c r="A39" s="63">
        <v>46054</v>
      </c>
      <c r="B39" s="65">
        <v>1716354</v>
      </c>
      <c r="C39" s="66">
        <v>11.36</v>
      </c>
      <c r="D39" s="27">
        <f t="shared" ref="D39:D45" si="10">B39*C39</f>
        <v>19497781.44</v>
      </c>
      <c r="E39" s="44">
        <f t="shared" si="2"/>
        <v>-22584.1600000039</v>
      </c>
      <c r="F39" s="34">
        <f t="shared" si="3"/>
        <v>-0.0011569537406617</v>
      </c>
      <c r="G39" s="63">
        <v>46054</v>
      </c>
      <c r="H39" s="29">
        <v>-0.0011569537406615</v>
      </c>
      <c r="I39" s="56">
        <v>0.9093</v>
      </c>
      <c r="J39" s="60">
        <v>46082</v>
      </c>
      <c r="K39" s="44">
        <f t="shared" si="4"/>
        <v>17729332.663392</v>
      </c>
      <c r="L39" s="44">
        <f t="shared" si="8"/>
        <v>-12727.6304480024</v>
      </c>
      <c r="M39" s="34">
        <f t="shared" si="9"/>
        <v>-0.000717370487824425</v>
      </c>
      <c r="N39" s="59">
        <v>46082</v>
      </c>
      <c r="O39" s="55">
        <v>-0.000717370487824425</v>
      </c>
      <c r="P39" s="60">
        <v>46235</v>
      </c>
      <c r="Q39" s="67">
        <v>0.9203</v>
      </c>
      <c r="R39" s="60">
        <v>46235</v>
      </c>
      <c r="S39" s="44">
        <f t="shared" si="7"/>
        <v>16316304.8501197</v>
      </c>
    </row>
    <row r="40" s="2" customFormat="1" customHeight="1" spans="1:1024 1025:16383">
      <c r="A40" s="58">
        <v>46082</v>
      </c>
      <c r="B40" s="65">
        <v>1709958</v>
      </c>
      <c r="C40" s="66">
        <v>11.38</v>
      </c>
      <c r="D40" s="27">
        <f t="shared" si="10"/>
        <v>19459322.04</v>
      </c>
      <c r="E40" s="44">
        <f t="shared" si="2"/>
        <v>-38459.3999999948</v>
      </c>
      <c r="F40" s="34">
        <f t="shared" si="3"/>
        <v>-0.00197250133910593</v>
      </c>
      <c r="G40" s="60">
        <v>46082</v>
      </c>
      <c r="H40" s="29">
        <v>-0.002</v>
      </c>
      <c r="I40" s="56">
        <v>0.9106</v>
      </c>
      <c r="J40" s="60">
        <v>46113</v>
      </c>
      <c r="K40" s="44">
        <f t="shared" ref="K40:K45" si="11">B40*C40*I40</f>
        <v>17719658.649624</v>
      </c>
      <c r="L40" s="44">
        <f t="shared" ref="L40:L45" si="12">K40-K39</f>
        <v>-9674.01376799494</v>
      </c>
      <c r="M40" s="34">
        <f t="shared" si="9"/>
        <v>-0.00054565019178472</v>
      </c>
      <c r="N40" s="59">
        <v>46113</v>
      </c>
      <c r="O40" s="55">
        <v>-0.00054565019178472</v>
      </c>
      <c r="P40" s="60">
        <v>46266</v>
      </c>
      <c r="Q40" s="68">
        <v>0.9199</v>
      </c>
      <c r="R40" s="60">
        <v>46266</v>
      </c>
      <c r="S40" s="69">
        <f t="shared" si="7"/>
        <v>16300313.9917891</v>
      </c>
      <c r="T40" s="70">
        <f t="shared" ref="T40:T45" si="13">S40-S39</f>
        <v>-15990.8583305348</v>
      </c>
      <c r="U40" s="71">
        <f t="shared" ref="U40:U45" si="14">T40/S39</f>
        <v>-0.000980053907880834</v>
      </c>
    </row>
    <row r="41" s="2" customFormat="1" customHeight="1" spans="1:1024 1025:16383">
      <c r="A41" s="58">
        <v>46113</v>
      </c>
      <c r="B41" s="65">
        <v>1714335</v>
      </c>
      <c r="C41" s="66">
        <v>11.41</v>
      </c>
      <c r="D41" s="27">
        <f t="shared" si="10"/>
        <v>19560562.35</v>
      </c>
      <c r="E41" s="44">
        <f t="shared" si="2"/>
        <v>101240.309999999</v>
      </c>
      <c r="F41" s="34">
        <f t="shared" si="3"/>
        <v>0.00520266378201112</v>
      </c>
      <c r="G41" s="58">
        <v>46113</v>
      </c>
      <c r="H41" s="29">
        <v>0.0052</v>
      </c>
      <c r="I41" s="56">
        <v>0.9136</v>
      </c>
      <c r="J41" s="60">
        <v>46143</v>
      </c>
      <c r="K41" s="44">
        <f t="shared" si="11"/>
        <v>17870529.76296</v>
      </c>
      <c r="L41" s="44">
        <f t="shared" si="12"/>
        <v>150871.113336001</v>
      </c>
      <c r="M41" s="34">
        <f t="shared" si="9"/>
        <v>0.00851433519794141</v>
      </c>
      <c r="N41" s="59">
        <v>46143</v>
      </c>
      <c r="O41" s="55">
        <v>0.00851433519794141</v>
      </c>
      <c r="P41" s="60">
        <v>46296</v>
      </c>
      <c r="Q41" s="68">
        <v>0.9103</v>
      </c>
      <c r="R41" s="60">
        <v>46296</v>
      </c>
      <c r="S41" s="69">
        <f t="shared" si="7"/>
        <v>16267543.2432225</v>
      </c>
      <c r="T41" s="70">
        <f t="shared" si="13"/>
        <v>-32770.7485666294</v>
      </c>
      <c r="U41" s="71">
        <f t="shared" si="14"/>
        <v>-0.00201043664454174</v>
      </c>
    </row>
    <row r="42" s="7" customFormat="1" customHeight="1" spans="1:1024 1025:16383">
      <c r="A42" s="72">
        <v>46143</v>
      </c>
      <c r="B42" s="73">
        <v>1717659</v>
      </c>
      <c r="C42" s="74">
        <v>11.42</v>
      </c>
      <c r="D42" s="27">
        <f t="shared" si="10"/>
        <v>19615665.78</v>
      </c>
      <c r="E42" s="44">
        <f t="shared" si="2"/>
        <v>55103.4299999997</v>
      </c>
      <c r="F42" s="34">
        <f t="shared" si="3"/>
        <v>0.00281706778230738</v>
      </c>
      <c r="G42" s="72">
        <v>46143</v>
      </c>
      <c r="H42" s="29">
        <v>0.0028</v>
      </c>
      <c r="I42" s="56">
        <v>0.9168</v>
      </c>
      <c r="J42" s="60">
        <v>46174</v>
      </c>
      <c r="K42" s="44">
        <f t="shared" si="11"/>
        <v>17983642.387104</v>
      </c>
      <c r="L42" s="44">
        <f t="shared" si="12"/>
        <v>113112.624143999</v>
      </c>
      <c r="M42" s="34">
        <f t="shared" si="9"/>
        <v>0.00632956189012628</v>
      </c>
      <c r="N42" s="59">
        <v>46174</v>
      </c>
      <c r="O42" s="55">
        <v>0.00632956189012628</v>
      </c>
      <c r="P42" s="60">
        <v>46327</v>
      </c>
      <c r="Q42" s="75">
        <v>0.908</v>
      </c>
      <c r="R42" s="60">
        <v>46327</v>
      </c>
      <c r="S42" s="69">
        <f t="shared" si="7"/>
        <v>16329147.2874904</v>
      </c>
      <c r="T42" s="70">
        <f t="shared" si="13"/>
        <v>61604.0442679431</v>
      </c>
      <c r="U42" s="71">
        <f t="shared" si="14"/>
        <v>0.00378692979922516</v>
      </c>
    </row>
    <row r="43" s="2" customFormat="1" customHeight="1" spans="1:1024 1025:16383">
      <c r="A43" s="58">
        <v>46174</v>
      </c>
      <c r="B43" s="25">
        <v>1725546</v>
      </c>
      <c r="C43" s="25">
        <v>11.42</v>
      </c>
      <c r="D43" s="27">
        <f t="shared" si="10"/>
        <v>19705735.32</v>
      </c>
      <c r="E43" s="44">
        <f t="shared" si="2"/>
        <v>90069.5399999991</v>
      </c>
      <c r="F43" s="34">
        <f t="shared" si="3"/>
        <v>0.00459171465349055</v>
      </c>
      <c r="G43" s="60">
        <v>46174</v>
      </c>
      <c r="H43" s="29">
        <v>0.0046</v>
      </c>
      <c r="I43" s="56">
        <v>0.9132</v>
      </c>
      <c r="J43" s="60">
        <v>46204</v>
      </c>
      <c r="K43" s="44">
        <f t="shared" si="11"/>
        <v>17995277.494224</v>
      </c>
      <c r="L43" s="44">
        <f t="shared" si="12"/>
        <v>11635.1071199998</v>
      </c>
      <c r="M43" s="34">
        <f t="shared" si="9"/>
        <v>0.000646982789667977</v>
      </c>
      <c r="N43" s="59">
        <v>46204</v>
      </c>
      <c r="O43" s="55">
        <v>0.0006</v>
      </c>
      <c r="P43" s="60">
        <v>46358</v>
      </c>
      <c r="Q43" s="76">
        <v>0.893</v>
      </c>
      <c r="R43" s="60">
        <v>46358</v>
      </c>
      <c r="S43" s="69">
        <f t="shared" si="7"/>
        <v>16069782.802342</v>
      </c>
      <c r="T43" s="70">
        <f t="shared" si="13"/>
        <v>-259364.4851484</v>
      </c>
      <c r="U43" s="71">
        <f t="shared" si="14"/>
        <v>-0.0158835290405578</v>
      </c>
    </row>
    <row r="44" s="2" customFormat="1" ht="26" customHeight="1" spans="1:1024 1025:16383">
      <c r="A44" s="58">
        <v>46204</v>
      </c>
      <c r="B44" s="65">
        <v>1724664</v>
      </c>
      <c r="C44" s="25">
        <v>11.47</v>
      </c>
      <c r="D44" s="27">
        <f t="shared" si="10"/>
        <v>19781896.08</v>
      </c>
      <c r="E44" s="44">
        <f t="shared" si="2"/>
        <v>76160.7600000016</v>
      </c>
      <c r="F44" s="34">
        <f t="shared" si="3"/>
        <v>0.00386490322554488</v>
      </c>
      <c r="G44" s="60">
        <v>46204</v>
      </c>
      <c r="H44" s="34">
        <v>0.0039</v>
      </c>
      <c r="I44" s="64">
        <v>0.9102</v>
      </c>
      <c r="J44" s="60">
        <v>46235</v>
      </c>
      <c r="K44" s="44">
        <f t="shared" si="11"/>
        <v>18005481.812016</v>
      </c>
      <c r="L44" s="44">
        <f t="shared" si="12"/>
        <v>10204.3177920021</v>
      </c>
      <c r="M44" s="34">
        <f t="shared" si="9"/>
        <v>0.000567055317445225</v>
      </c>
      <c r="N44" s="60">
        <v>46235</v>
      </c>
      <c r="O44" s="29">
        <v>0.0006</v>
      </c>
      <c r="P44" s="60">
        <v>46388</v>
      </c>
      <c r="Q44" s="76">
        <v>0.8998</v>
      </c>
      <c r="R44" s="60">
        <v>46388</v>
      </c>
      <c r="S44" s="69">
        <f t="shared" si="7"/>
        <v>16201332.534452</v>
      </c>
      <c r="T44" s="70">
        <f t="shared" si="13"/>
        <v>131549.732109968</v>
      </c>
      <c r="U44" s="71">
        <f t="shared" si="14"/>
        <v>0.00818615495480097</v>
      </c>
    </row>
    <row r="45" s="8" customFormat="1" customHeight="1" spans="1:1024 1025:16383">
      <c r="A45" s="77">
        <v>46235</v>
      </c>
      <c r="B45" s="78">
        <v>1714636</v>
      </c>
      <c r="C45" s="79">
        <v>11.47</v>
      </c>
      <c r="D45" s="80">
        <f t="shared" si="10"/>
        <v>19666874.92</v>
      </c>
      <c r="E45" s="81">
        <f t="shared" si="2"/>
        <v>-115021.16</v>
      </c>
      <c r="F45" s="55">
        <f t="shared" si="3"/>
        <v>-0.0058144658901676</v>
      </c>
      <c r="G45" s="59">
        <v>46235</v>
      </c>
      <c r="H45" s="82">
        <v>-0.0058</v>
      </c>
      <c r="I45" s="83">
        <v>0.9102</v>
      </c>
      <c r="J45" s="59">
        <v>46266</v>
      </c>
      <c r="K45" s="81">
        <f t="shared" si="11"/>
        <v>17900789.552184</v>
      </c>
      <c r="L45" s="81">
        <f t="shared" si="12"/>
        <v>-104692.259832002</v>
      </c>
      <c r="M45" s="55">
        <f t="shared" si="9"/>
        <v>-0.00581446589016771</v>
      </c>
      <c r="N45" s="59">
        <v>46266</v>
      </c>
      <c r="O45" s="82">
        <v>-0.0058</v>
      </c>
      <c r="P45" s="59">
        <v>46419</v>
      </c>
      <c r="Q45" s="84">
        <v>0.908</v>
      </c>
      <c r="R45" s="59">
        <v>46419</v>
      </c>
      <c r="S45" s="85">
        <f t="shared" si="7"/>
        <v>16253916.9133831</v>
      </c>
      <c r="T45" s="86">
        <f t="shared" si="13"/>
        <v>52584.3789310716</v>
      </c>
      <c r="U45" s="87">
        <f t="shared" si="14"/>
        <v>0.00324568234244013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6"/>
      <c r="KZ45" s="6"/>
      <c r="LA45" s="6"/>
      <c r="LB45" s="6"/>
      <c r="LC45" s="6"/>
      <c r="LD45" s="6"/>
      <c r="LE45" s="6"/>
      <c r="LF45" s="6"/>
      <c r="LG45" s="6"/>
      <c r="LH45" s="6"/>
      <c r="LI45" s="6"/>
      <c r="LJ45" s="6"/>
      <c r="LK45" s="6"/>
      <c r="LL45" s="6"/>
      <c r="LM45" s="6"/>
      <c r="LN45" s="6"/>
      <c r="LO45" s="6"/>
      <c r="LP45" s="6"/>
      <c r="LQ45" s="6"/>
      <c r="LR45" s="6"/>
      <c r="LS45" s="6"/>
      <c r="LT45" s="6"/>
      <c r="LU45" s="6"/>
      <c r="LV45" s="6"/>
      <c r="LW45" s="6"/>
      <c r="LX45" s="6"/>
      <c r="LY45" s="6"/>
      <c r="LZ45" s="6"/>
      <c r="MA45" s="6"/>
      <c r="MB45" s="6"/>
      <c r="MC45" s="6"/>
      <c r="MD45" s="6"/>
      <c r="ME45" s="6"/>
      <c r="MF45" s="6"/>
      <c r="MG45" s="6"/>
      <c r="MH45" s="6"/>
      <c r="MI45" s="6"/>
      <c r="MJ45" s="6"/>
      <c r="MK45" s="6"/>
      <c r="ML45" s="6"/>
      <c r="MM45" s="6"/>
      <c r="MN45" s="6"/>
      <c r="MO45" s="6"/>
      <c r="MP45" s="6"/>
      <c r="MQ45" s="6"/>
      <c r="MR45" s="6"/>
      <c r="MS45" s="6"/>
      <c r="MT45" s="6"/>
      <c r="MU45" s="6"/>
      <c r="MV45" s="6"/>
      <c r="MW45" s="6"/>
      <c r="MX45" s="6"/>
      <c r="MY45" s="6"/>
      <c r="MZ45" s="6"/>
      <c r="NA45" s="6"/>
      <c r="NB45" s="6"/>
      <c r="NC45" s="6"/>
      <c r="ND45" s="6"/>
      <c r="NE45" s="6"/>
      <c r="NF45" s="6"/>
      <c r="NG45" s="6"/>
      <c r="NH45" s="6"/>
      <c r="NI45" s="6"/>
      <c r="NJ45" s="6"/>
      <c r="NK45" s="6"/>
      <c r="NL45" s="6"/>
      <c r="NM45" s="6"/>
      <c r="NN45" s="6"/>
      <c r="NO45" s="6"/>
      <c r="NP45" s="6"/>
      <c r="NQ45" s="6"/>
      <c r="NR45" s="6"/>
      <c r="NS45" s="6"/>
      <c r="NT45" s="6"/>
      <c r="NU45" s="6"/>
      <c r="NV45" s="6"/>
      <c r="NW45" s="6"/>
      <c r="NX45" s="6"/>
      <c r="NY45" s="6"/>
      <c r="NZ45" s="6"/>
      <c r="OA45" s="6"/>
      <c r="OB45" s="6"/>
      <c r="OC45" s="6"/>
      <c r="OD45" s="6"/>
      <c r="OE45" s="6"/>
      <c r="OF45" s="6"/>
      <c r="OG45" s="6"/>
      <c r="OH45" s="6"/>
      <c r="OI45" s="6"/>
      <c r="OJ45" s="6"/>
      <c r="OK45" s="6"/>
      <c r="OL45" s="6"/>
      <c r="OM45" s="6"/>
      <c r="ON45" s="6"/>
      <c r="OO45" s="6"/>
      <c r="OP45" s="6"/>
      <c r="OQ45" s="6"/>
      <c r="OR45" s="6"/>
      <c r="OS45" s="6"/>
      <c r="OT45" s="6"/>
      <c r="OU45" s="6"/>
      <c r="OV45" s="6"/>
      <c r="OW45" s="6"/>
      <c r="OX45" s="6"/>
      <c r="OY45" s="6"/>
      <c r="OZ45" s="6"/>
      <c r="PA45" s="6"/>
      <c r="PB45" s="6"/>
      <c r="PC45" s="6"/>
      <c r="PD45" s="6"/>
      <c r="PE45" s="6"/>
      <c r="PF45" s="6"/>
      <c r="PG45" s="6"/>
      <c r="PH45" s="6"/>
      <c r="PI45" s="6"/>
      <c r="PJ45" s="6"/>
      <c r="PK45" s="6"/>
      <c r="PL45" s="6"/>
      <c r="PM45" s="6"/>
      <c r="PN45" s="6"/>
      <c r="PO45" s="6"/>
      <c r="PP45" s="6"/>
      <c r="PQ45" s="6"/>
      <c r="PR45" s="6"/>
      <c r="PS45" s="6"/>
      <c r="PT45" s="6"/>
      <c r="PU45" s="6"/>
      <c r="PV45" s="6"/>
      <c r="PW45" s="6"/>
      <c r="PX45" s="6"/>
      <c r="PY45" s="6"/>
      <c r="PZ45" s="6"/>
      <c r="QA45" s="6"/>
      <c r="QB45" s="6"/>
      <c r="QC45" s="6"/>
      <c r="QD45" s="6"/>
      <c r="QE45" s="6"/>
      <c r="QF45" s="6"/>
      <c r="QG45" s="6"/>
      <c r="QH45" s="6"/>
      <c r="QI45" s="6"/>
      <c r="QJ45" s="6"/>
      <c r="QK45" s="6"/>
      <c r="QL45" s="6"/>
      <c r="QM45" s="6"/>
      <c r="QN45" s="6"/>
      <c r="QO45" s="6"/>
      <c r="QP45" s="6"/>
      <c r="QQ45" s="6"/>
      <c r="QR45" s="6"/>
      <c r="QS45" s="6"/>
      <c r="QT45" s="6"/>
      <c r="QU45" s="6"/>
      <c r="QV45" s="6"/>
      <c r="QW45" s="6"/>
      <c r="QX45" s="6"/>
      <c r="QY45" s="6"/>
      <c r="QZ45" s="6"/>
      <c r="RA45" s="6"/>
      <c r="RB45" s="6"/>
      <c r="RC45" s="6"/>
      <c r="RD45" s="6"/>
      <c r="RE45" s="6"/>
      <c r="RF45" s="6"/>
      <c r="RG45" s="6"/>
      <c r="RH45" s="6"/>
      <c r="RI45" s="6"/>
      <c r="RJ45" s="6"/>
      <c r="RK45" s="6"/>
      <c r="RL45" s="6"/>
      <c r="RM45" s="6"/>
      <c r="RN45" s="6"/>
      <c r="RO45" s="6"/>
      <c r="RP45" s="6"/>
      <c r="RQ45" s="6"/>
      <c r="RR45" s="6"/>
      <c r="RS45" s="6"/>
      <c r="RT45" s="6"/>
      <c r="RU45" s="6"/>
      <c r="RV45" s="6"/>
      <c r="RW45" s="6"/>
      <c r="RX45" s="6"/>
      <c r="RY45" s="6"/>
      <c r="RZ45" s="6"/>
      <c r="SA45" s="6"/>
      <c r="SB45" s="6"/>
      <c r="SC45" s="6"/>
      <c r="SD45" s="6"/>
      <c r="SE45" s="6"/>
      <c r="SF45" s="6"/>
      <c r="SG45" s="6"/>
      <c r="SH45" s="6"/>
      <c r="SI45" s="6"/>
      <c r="SJ45" s="6"/>
      <c r="SK45" s="6"/>
      <c r="SL45" s="6"/>
      <c r="SM45" s="6"/>
      <c r="SN45" s="6"/>
      <c r="SO45" s="6"/>
      <c r="SP45" s="6"/>
      <c r="SQ45" s="6"/>
      <c r="SR45" s="6"/>
      <c r="SS45" s="6"/>
      <c r="ST45" s="6"/>
      <c r="SU45" s="6"/>
      <c r="SV45" s="6"/>
      <c r="SW45" s="6"/>
      <c r="SX45" s="6"/>
      <c r="SY45" s="6"/>
      <c r="SZ45" s="6"/>
      <c r="TA45" s="6"/>
      <c r="TB45" s="6"/>
      <c r="TC45" s="6"/>
      <c r="TD45" s="6"/>
      <c r="TE45" s="6"/>
      <c r="TF45" s="6"/>
      <c r="TG45" s="6"/>
      <c r="TH45" s="6"/>
      <c r="TI45" s="6"/>
      <c r="TJ45" s="6"/>
      <c r="TK45" s="6"/>
      <c r="TL45" s="6"/>
      <c r="TM45" s="6"/>
      <c r="TN45" s="6"/>
      <c r="TO45" s="6"/>
      <c r="TP45" s="6"/>
      <c r="TQ45" s="6"/>
      <c r="TR45" s="6"/>
      <c r="TS45" s="6"/>
      <c r="TT45" s="6"/>
      <c r="TU45" s="6"/>
      <c r="TV45" s="6"/>
      <c r="TW45" s="6"/>
      <c r="TX45" s="6"/>
      <c r="TY45" s="6"/>
      <c r="TZ45" s="6"/>
      <c r="UA45" s="6"/>
      <c r="UB45" s="6"/>
      <c r="UC45" s="6"/>
      <c r="UD45" s="6"/>
      <c r="UE45" s="6"/>
      <c r="UF45" s="6"/>
      <c r="UG45" s="6"/>
      <c r="UH45" s="6"/>
      <c r="UI45" s="6"/>
      <c r="UJ45" s="6"/>
      <c r="UK45" s="6"/>
      <c r="UL45" s="6"/>
      <c r="UM45" s="6"/>
      <c r="UN45" s="6"/>
      <c r="UO45" s="6"/>
      <c r="UP45" s="6"/>
      <c r="UQ45" s="6"/>
      <c r="UR45" s="6"/>
      <c r="US45" s="6"/>
      <c r="UT45" s="6"/>
      <c r="UU45" s="6"/>
      <c r="UV45" s="6"/>
      <c r="UW45" s="6"/>
      <c r="UX45" s="6"/>
      <c r="UY45" s="6"/>
      <c r="UZ45" s="6"/>
      <c r="VA45" s="6"/>
      <c r="VB45" s="6"/>
      <c r="VC45" s="6"/>
      <c r="VD45" s="6"/>
      <c r="VE45" s="6"/>
      <c r="VF45" s="6"/>
      <c r="VG45" s="6"/>
      <c r="VH45" s="6"/>
      <c r="VI45" s="6"/>
      <c r="VJ45" s="6"/>
      <c r="VK45" s="6"/>
      <c r="VL45" s="6"/>
      <c r="VM45" s="6"/>
      <c r="VN45" s="6"/>
      <c r="VO45" s="6"/>
      <c r="VP45" s="6"/>
      <c r="VQ45" s="6"/>
      <c r="VR45" s="6"/>
      <c r="VS45" s="6"/>
      <c r="VT45" s="6"/>
      <c r="VU45" s="6"/>
      <c r="VV45" s="6"/>
      <c r="VW45" s="6"/>
      <c r="VX45" s="6"/>
      <c r="VY45" s="6"/>
      <c r="VZ45" s="6"/>
      <c r="WA45" s="6"/>
      <c r="WB45" s="6"/>
      <c r="WC45" s="6"/>
      <c r="WD45" s="6"/>
      <c r="WE45" s="6"/>
      <c r="WF45" s="6"/>
      <c r="WG45" s="6"/>
      <c r="WH45" s="6"/>
      <c r="WI45" s="6"/>
      <c r="WJ45" s="6"/>
      <c r="WK45" s="6"/>
      <c r="WL45" s="6"/>
      <c r="WM45" s="6"/>
      <c r="WN45" s="6"/>
      <c r="WO45" s="6"/>
      <c r="WP45" s="6"/>
      <c r="WQ45" s="6"/>
      <c r="WR45" s="6"/>
      <c r="WS45" s="6"/>
      <c r="WT45" s="6"/>
      <c r="WU45" s="6"/>
      <c r="WV45" s="6"/>
      <c r="WW45" s="6"/>
      <c r="WX45" s="6"/>
      <c r="WY45" s="6"/>
      <c r="WZ45" s="6"/>
      <c r="XA45" s="6"/>
      <c r="XB45" s="6"/>
      <c r="XC45" s="6"/>
      <c r="XD45" s="6"/>
      <c r="XE45" s="6"/>
      <c r="XF45" s="6"/>
      <c r="XG45" s="6"/>
      <c r="XH45" s="6"/>
      <c r="XI45" s="6"/>
      <c r="XJ45" s="6"/>
      <c r="XK45" s="6"/>
      <c r="XL45" s="6"/>
      <c r="XM45" s="6"/>
      <c r="XN45" s="6"/>
      <c r="XO45" s="6"/>
      <c r="XP45" s="6"/>
      <c r="XQ45" s="6"/>
      <c r="XR45" s="6"/>
      <c r="XS45" s="6"/>
      <c r="XT45" s="6"/>
      <c r="XU45" s="6"/>
      <c r="XV45" s="6"/>
      <c r="XW45" s="6"/>
      <c r="XX45" s="6"/>
      <c r="XY45" s="6"/>
      <c r="XZ45" s="6"/>
      <c r="YA45" s="6"/>
      <c r="YB45" s="6"/>
      <c r="YC45" s="6"/>
      <c r="YD45" s="6"/>
      <c r="YE45" s="6"/>
      <c r="YF45" s="6"/>
      <c r="YG45" s="6"/>
      <c r="YH45" s="6"/>
      <c r="YI45" s="6"/>
      <c r="YJ45" s="6"/>
      <c r="YK45" s="6"/>
      <c r="YL45" s="6"/>
      <c r="YM45" s="6"/>
      <c r="YN45" s="6"/>
      <c r="YO45" s="6"/>
      <c r="YP45" s="6"/>
      <c r="YQ45" s="6"/>
      <c r="YR45" s="6"/>
      <c r="YS45" s="6"/>
      <c r="YT45" s="6"/>
      <c r="YU45" s="6"/>
      <c r="YV45" s="6"/>
      <c r="YW45" s="6"/>
      <c r="YX45" s="6"/>
      <c r="YY45" s="6"/>
      <c r="YZ45" s="6"/>
      <c r="ZA45" s="6"/>
      <c r="ZB45" s="6"/>
      <c r="ZC45" s="6"/>
      <c r="ZD45" s="6"/>
      <c r="ZE45" s="6"/>
      <c r="ZF45" s="6"/>
      <c r="ZG45" s="6"/>
      <c r="ZH45" s="6"/>
      <c r="ZI45" s="6"/>
      <c r="ZJ45" s="6"/>
      <c r="ZK45" s="6"/>
      <c r="ZL45" s="6"/>
      <c r="ZM45" s="6"/>
      <c r="ZN45" s="6"/>
      <c r="ZO45" s="6"/>
      <c r="ZP45" s="6"/>
      <c r="ZQ45" s="6"/>
      <c r="ZR45" s="6"/>
      <c r="ZS45" s="6"/>
      <c r="ZT45" s="6"/>
      <c r="ZU45" s="6"/>
      <c r="ZV45" s="6"/>
      <c r="ZW45" s="6"/>
      <c r="ZX45" s="6"/>
      <c r="ZY45" s="6"/>
      <c r="ZZ45" s="6"/>
      <c r="AAA45" s="6"/>
      <c r="AAB45" s="6"/>
      <c r="AAC45" s="6"/>
      <c r="AAD45" s="6"/>
      <c r="AAE45" s="6"/>
      <c r="AAF45" s="6"/>
      <c r="AAG45" s="6"/>
      <c r="AAH45" s="6"/>
      <c r="AAI45" s="6"/>
      <c r="AAJ45" s="6"/>
      <c r="AAK45" s="6"/>
      <c r="AAL45" s="6"/>
      <c r="AAM45" s="6"/>
      <c r="AAN45" s="6"/>
      <c r="AAO45" s="6"/>
      <c r="AAP45" s="6"/>
      <c r="AAQ45" s="6"/>
      <c r="AAR45" s="6"/>
      <c r="AAS45" s="6"/>
      <c r="AAT45" s="6"/>
      <c r="AAU45" s="6"/>
      <c r="AAV45" s="6"/>
      <c r="AAW45" s="6"/>
      <c r="AAX45" s="6"/>
      <c r="AAY45" s="6"/>
      <c r="AAZ45" s="6"/>
      <c r="ABA45" s="6"/>
      <c r="ABB45" s="6"/>
      <c r="ABC45" s="6"/>
      <c r="ABD45" s="6"/>
      <c r="ABE45" s="6"/>
      <c r="ABF45" s="6"/>
      <c r="ABG45" s="6"/>
      <c r="ABH45" s="6"/>
      <c r="ABI45" s="6"/>
      <c r="ABJ45" s="6"/>
      <c r="ABK45" s="6"/>
      <c r="ABL45" s="6"/>
      <c r="ABM45" s="6"/>
      <c r="ABN45" s="6"/>
      <c r="ABO45" s="6"/>
      <c r="ABP45" s="6"/>
      <c r="ABQ45" s="6"/>
      <c r="ABR45" s="6"/>
      <c r="ABS45" s="6"/>
      <c r="ABT45" s="6"/>
      <c r="ABU45" s="6"/>
      <c r="ABV45" s="6"/>
      <c r="ABW45" s="6"/>
      <c r="ABX45" s="6"/>
      <c r="ABY45" s="6"/>
      <c r="ABZ45" s="6"/>
      <c r="ACA45" s="6"/>
      <c r="ACB45" s="6"/>
      <c r="ACC45" s="6"/>
      <c r="ACD45" s="6"/>
      <c r="ACE45" s="6"/>
      <c r="ACF45" s="6"/>
      <c r="ACG45" s="6"/>
      <c r="ACH45" s="6"/>
      <c r="ACI45" s="6"/>
      <c r="ACJ45" s="6"/>
      <c r="ACK45" s="6"/>
      <c r="ACL45" s="6"/>
      <c r="ACM45" s="6"/>
      <c r="ACN45" s="6"/>
      <c r="ACO45" s="6"/>
      <c r="ACP45" s="6"/>
      <c r="ACQ45" s="6"/>
      <c r="ACR45" s="6"/>
      <c r="ACS45" s="6"/>
      <c r="ACT45" s="6"/>
      <c r="ACU45" s="6"/>
      <c r="ACV45" s="6"/>
      <c r="ACW45" s="6"/>
      <c r="ACX45" s="6"/>
      <c r="ACY45" s="6"/>
      <c r="ACZ45" s="6"/>
      <c r="ADA45" s="6"/>
      <c r="ADB45" s="6"/>
      <c r="ADC45" s="6"/>
      <c r="ADD45" s="6"/>
      <c r="ADE45" s="6"/>
      <c r="ADF45" s="6"/>
      <c r="ADG45" s="6"/>
      <c r="ADH45" s="6"/>
      <c r="ADI45" s="6"/>
      <c r="ADJ45" s="6"/>
      <c r="ADK45" s="6"/>
      <c r="ADL45" s="6"/>
      <c r="ADM45" s="6"/>
      <c r="ADN45" s="6"/>
      <c r="ADO45" s="6"/>
      <c r="ADP45" s="6"/>
      <c r="ADQ45" s="6"/>
      <c r="ADR45" s="6"/>
      <c r="ADS45" s="6"/>
      <c r="ADT45" s="6"/>
      <c r="ADU45" s="6"/>
      <c r="ADV45" s="6"/>
      <c r="ADW45" s="6"/>
      <c r="ADX45" s="6"/>
      <c r="ADY45" s="6"/>
      <c r="ADZ45" s="6"/>
      <c r="AEA45" s="6"/>
      <c r="AEB45" s="6"/>
      <c r="AEC45" s="6"/>
      <c r="AED45" s="6"/>
      <c r="AEE45" s="6"/>
      <c r="AEF45" s="6"/>
      <c r="AEG45" s="6"/>
      <c r="AEH45" s="6"/>
      <c r="AEI45" s="6"/>
      <c r="AEJ45" s="6"/>
      <c r="AEK45" s="6"/>
      <c r="AEL45" s="6"/>
      <c r="AEM45" s="6"/>
      <c r="AEN45" s="6"/>
      <c r="AEO45" s="6"/>
      <c r="AEP45" s="6"/>
      <c r="AEQ45" s="6"/>
      <c r="AER45" s="6"/>
      <c r="AES45" s="6"/>
      <c r="AET45" s="6"/>
      <c r="AEU45" s="6"/>
      <c r="AEV45" s="6"/>
      <c r="AEW45" s="6"/>
      <c r="AEX45" s="6"/>
      <c r="AEY45" s="6"/>
      <c r="AEZ45" s="6"/>
      <c r="AFA45" s="6"/>
      <c r="AFB45" s="6"/>
      <c r="AFC45" s="6"/>
      <c r="AFD45" s="6"/>
      <c r="AFE45" s="6"/>
      <c r="AFF45" s="6"/>
      <c r="AFG45" s="6"/>
      <c r="AFH45" s="6"/>
      <c r="AFI45" s="6"/>
      <c r="AFJ45" s="6"/>
      <c r="AFK45" s="6"/>
      <c r="AFL45" s="6"/>
      <c r="AFM45" s="6"/>
      <c r="AFN45" s="6"/>
      <c r="AFO45" s="6"/>
      <c r="AFP45" s="6"/>
      <c r="AFQ45" s="6"/>
      <c r="AFR45" s="6"/>
      <c r="AFS45" s="6"/>
      <c r="AFT45" s="6"/>
      <c r="AFU45" s="6"/>
      <c r="AFV45" s="6"/>
      <c r="AFW45" s="6"/>
      <c r="AFX45" s="6"/>
      <c r="AFY45" s="6"/>
      <c r="AFZ45" s="6"/>
      <c r="AGA45" s="6"/>
      <c r="AGB45" s="6"/>
      <c r="AGC45" s="6"/>
      <c r="AGD45" s="6"/>
      <c r="AGE45" s="6"/>
      <c r="AGF45" s="6"/>
      <c r="AGG45" s="6"/>
      <c r="AGH45" s="6"/>
      <c r="AGI45" s="6"/>
      <c r="AGJ45" s="6"/>
      <c r="AGK45" s="6"/>
      <c r="AGL45" s="6"/>
      <c r="AGM45" s="6"/>
      <c r="AGN45" s="6"/>
      <c r="AGO45" s="6"/>
      <c r="AGP45" s="6"/>
      <c r="AGQ45" s="6"/>
      <c r="AGR45" s="6"/>
      <c r="AGS45" s="6"/>
      <c r="AGT45" s="6"/>
      <c r="AGU45" s="6"/>
      <c r="AGV45" s="6"/>
      <c r="AGW45" s="6"/>
      <c r="AGX45" s="6"/>
      <c r="AGY45" s="6"/>
      <c r="AGZ45" s="6"/>
      <c r="AHA45" s="6"/>
      <c r="AHB45" s="6"/>
      <c r="AHC45" s="6"/>
      <c r="AHD45" s="6"/>
      <c r="AHE45" s="6"/>
      <c r="AHF45" s="6"/>
      <c r="AHG45" s="6"/>
      <c r="AHH45" s="6"/>
      <c r="AHI45" s="6"/>
      <c r="AHJ45" s="6"/>
      <c r="AHK45" s="6"/>
      <c r="AHL45" s="6"/>
      <c r="AHM45" s="6"/>
      <c r="AHN45" s="6"/>
      <c r="AHO45" s="6"/>
      <c r="AHP45" s="6"/>
      <c r="AHQ45" s="6"/>
      <c r="AHR45" s="6"/>
      <c r="AHS45" s="6"/>
      <c r="AHT45" s="6"/>
      <c r="AHU45" s="6"/>
      <c r="AHV45" s="6"/>
      <c r="AHW45" s="6"/>
      <c r="AHX45" s="6"/>
      <c r="AHY45" s="6"/>
      <c r="AHZ45" s="6"/>
      <c r="AIA45" s="6"/>
      <c r="AIB45" s="6"/>
      <c r="AIC45" s="6"/>
      <c r="AID45" s="6"/>
      <c r="AIE45" s="6"/>
      <c r="AIF45" s="6"/>
      <c r="AIG45" s="6"/>
      <c r="AIH45" s="6"/>
      <c r="AII45" s="6"/>
      <c r="AIJ45" s="6"/>
      <c r="AIK45" s="6"/>
      <c r="AIL45" s="6"/>
      <c r="AIM45" s="6"/>
      <c r="AIN45" s="6"/>
      <c r="AIO45" s="6"/>
      <c r="AIP45" s="6"/>
      <c r="AIQ45" s="6"/>
      <c r="AIR45" s="6"/>
      <c r="AIS45" s="6"/>
      <c r="AIT45" s="6"/>
      <c r="AIU45" s="6"/>
      <c r="AIV45" s="6"/>
      <c r="AIW45" s="6"/>
      <c r="AIX45" s="6"/>
      <c r="AIY45" s="6"/>
      <c r="AIZ45" s="6"/>
      <c r="AJA45" s="6"/>
      <c r="AJB45" s="6"/>
      <c r="AJC45" s="6"/>
      <c r="AJD45" s="6"/>
      <c r="AJE45" s="6"/>
      <c r="AJF45" s="6"/>
      <c r="AJG45" s="6"/>
      <c r="AJH45" s="6"/>
      <c r="AJI45" s="6"/>
      <c r="AJJ45" s="6"/>
      <c r="AJK45" s="6"/>
      <c r="AJL45" s="6"/>
      <c r="AJM45" s="6"/>
      <c r="AJN45" s="6"/>
      <c r="AJO45" s="6"/>
      <c r="AJP45" s="6"/>
      <c r="AJQ45" s="6"/>
      <c r="AJR45" s="6"/>
      <c r="AJS45" s="6"/>
      <c r="AJT45" s="6"/>
      <c r="AJU45" s="6"/>
      <c r="AJV45" s="6"/>
      <c r="AJW45" s="6"/>
      <c r="AJX45" s="6"/>
      <c r="AJY45" s="6"/>
      <c r="AJZ45" s="6"/>
      <c r="AKA45" s="6"/>
      <c r="AKB45" s="6"/>
      <c r="AKC45" s="6"/>
      <c r="AKD45" s="6"/>
      <c r="AKE45" s="6"/>
      <c r="AKF45" s="6"/>
      <c r="AKG45" s="6"/>
      <c r="AKH45" s="6"/>
      <c r="AKI45" s="6"/>
      <c r="AKJ45" s="6"/>
      <c r="AKK45" s="6"/>
      <c r="AKL45" s="6"/>
      <c r="AKM45" s="6"/>
      <c r="AKN45" s="6"/>
      <c r="AKO45" s="6"/>
      <c r="AKP45" s="6"/>
      <c r="AKQ45" s="6"/>
      <c r="AKR45" s="6"/>
      <c r="AKS45" s="6"/>
      <c r="AKT45" s="6"/>
      <c r="AKU45" s="6"/>
      <c r="AKV45" s="6"/>
      <c r="AKW45" s="6"/>
      <c r="AKX45" s="6"/>
      <c r="AKY45" s="6"/>
      <c r="AKZ45" s="6"/>
      <c r="ALA45" s="6"/>
      <c r="ALB45" s="6"/>
      <c r="ALC45" s="6"/>
      <c r="ALD45" s="6"/>
      <c r="ALE45" s="6"/>
      <c r="ALF45" s="6"/>
      <c r="ALG45" s="6"/>
      <c r="ALH45" s="6"/>
      <c r="ALI45" s="6"/>
      <c r="ALJ45" s="6"/>
      <c r="ALK45" s="6"/>
      <c r="ALL45" s="6"/>
      <c r="ALM45" s="6"/>
      <c r="ALN45" s="6"/>
      <c r="ALO45" s="6"/>
      <c r="ALP45" s="6"/>
      <c r="ALQ45" s="6"/>
      <c r="ALR45" s="6"/>
      <c r="ALS45" s="6"/>
      <c r="ALT45" s="6"/>
      <c r="ALU45" s="6"/>
      <c r="ALV45" s="6"/>
      <c r="ALW45" s="6"/>
      <c r="ALX45" s="6"/>
      <c r="ALY45" s="6"/>
      <c r="ALZ45" s="6"/>
      <c r="AMA45" s="6"/>
      <c r="AMB45" s="6"/>
      <c r="AMC45" s="6"/>
      <c r="AMD45" s="6"/>
      <c r="AME45" s="6"/>
      <c r="AMF45" s="6"/>
      <c r="AMG45" s="6"/>
      <c r="AMH45" s="6"/>
      <c r="AMI45" s="6"/>
      <c r="AMJ45" s="6"/>
      <c r="AMK45" s="6"/>
      <c r="AML45" s="6"/>
      <c r="AMM45" s="6"/>
      <c r="AMN45" s="6"/>
      <c r="AMO45" s="6"/>
      <c r="AMP45" s="6"/>
      <c r="AMQ45" s="6"/>
      <c r="AMR45" s="6"/>
      <c r="AMS45" s="6"/>
      <c r="AMT45" s="6"/>
      <c r="AMU45" s="6"/>
      <c r="AMV45" s="6"/>
      <c r="AMW45" s="6"/>
      <c r="AMX45" s="6"/>
      <c r="AMY45" s="6"/>
      <c r="AMZ45" s="6"/>
      <c r="ANA45" s="6"/>
      <c r="ANB45" s="6"/>
      <c r="ANC45" s="6"/>
      <c r="AND45" s="6"/>
      <c r="ANE45" s="6"/>
      <c r="ANF45" s="6"/>
      <c r="ANG45" s="6"/>
      <c r="ANH45" s="6"/>
      <c r="ANI45" s="6"/>
      <c r="ANJ45" s="6"/>
      <c r="ANK45" s="6"/>
      <c r="ANL45" s="6"/>
      <c r="ANM45" s="6"/>
      <c r="ANN45" s="6"/>
      <c r="ANO45" s="6"/>
      <c r="ANP45" s="6"/>
      <c r="ANQ45" s="6"/>
      <c r="ANR45" s="6"/>
      <c r="ANS45" s="6"/>
      <c r="ANT45" s="6"/>
      <c r="ANU45" s="6"/>
      <c r="ANV45" s="6"/>
      <c r="ANW45" s="6"/>
      <c r="ANX45" s="6"/>
      <c r="ANY45" s="6"/>
      <c r="ANZ45" s="6"/>
      <c r="AOA45" s="6"/>
      <c r="AOB45" s="6"/>
      <c r="AOC45" s="6"/>
      <c r="AOD45" s="6"/>
      <c r="AOE45" s="6"/>
      <c r="AOF45" s="6"/>
      <c r="AOG45" s="6"/>
      <c r="AOH45" s="6"/>
      <c r="AOI45" s="6"/>
      <c r="AOJ45" s="6"/>
      <c r="AOK45" s="6"/>
      <c r="AOL45" s="6"/>
      <c r="AOM45" s="6"/>
      <c r="AON45" s="6"/>
      <c r="AOO45" s="6"/>
      <c r="AOP45" s="6"/>
      <c r="AOQ45" s="6"/>
      <c r="AOR45" s="6"/>
      <c r="AOS45" s="6"/>
      <c r="AOT45" s="6"/>
      <c r="AOU45" s="6"/>
      <c r="AOV45" s="6"/>
      <c r="AOW45" s="6"/>
      <c r="AOX45" s="6"/>
      <c r="AOY45" s="6"/>
      <c r="AOZ45" s="6"/>
      <c r="APA45" s="6"/>
      <c r="APB45" s="6"/>
      <c r="APC45" s="6"/>
      <c r="APD45" s="6"/>
      <c r="APE45" s="6"/>
      <c r="APF45" s="6"/>
      <c r="APG45" s="6"/>
      <c r="APH45" s="6"/>
      <c r="API45" s="6"/>
      <c r="APJ45" s="6"/>
      <c r="APK45" s="6"/>
      <c r="APL45" s="6"/>
      <c r="APM45" s="6"/>
      <c r="APN45" s="6"/>
      <c r="APO45" s="6"/>
      <c r="APP45" s="6"/>
      <c r="APQ45" s="6"/>
      <c r="APR45" s="6"/>
      <c r="APS45" s="6"/>
      <c r="APT45" s="6"/>
      <c r="APU45" s="6"/>
      <c r="APV45" s="6"/>
      <c r="APW45" s="6"/>
      <c r="APX45" s="6"/>
      <c r="APY45" s="6"/>
      <c r="APZ45" s="6"/>
      <c r="AQA45" s="6"/>
      <c r="AQB45" s="6"/>
      <c r="AQC45" s="6"/>
      <c r="AQD45" s="6"/>
      <c r="AQE45" s="6"/>
      <c r="AQF45" s="6"/>
      <c r="AQG45" s="6"/>
      <c r="AQH45" s="6"/>
      <c r="AQI45" s="6"/>
      <c r="AQJ45" s="6"/>
      <c r="AQK45" s="6"/>
      <c r="AQL45" s="6"/>
      <c r="AQM45" s="6"/>
      <c r="AQN45" s="6"/>
      <c r="AQO45" s="6"/>
      <c r="AQP45" s="6"/>
      <c r="AQQ45" s="6"/>
      <c r="AQR45" s="6"/>
      <c r="AQS45" s="6"/>
      <c r="AQT45" s="6"/>
      <c r="AQU45" s="6"/>
      <c r="AQV45" s="6"/>
      <c r="AQW45" s="6"/>
      <c r="AQX45" s="6"/>
      <c r="AQY45" s="6"/>
      <c r="AQZ45" s="6"/>
      <c r="ARA45" s="6"/>
      <c r="ARB45" s="6"/>
      <c r="ARC45" s="6"/>
      <c r="ARD45" s="6"/>
      <c r="ARE45" s="6"/>
      <c r="ARF45" s="6"/>
      <c r="ARG45" s="6"/>
      <c r="ARH45" s="6"/>
      <c r="ARI45" s="6"/>
      <c r="ARJ45" s="6"/>
      <c r="ARK45" s="6"/>
      <c r="ARL45" s="6"/>
      <c r="ARM45" s="6"/>
      <c r="ARN45" s="6"/>
      <c r="ARO45" s="6"/>
      <c r="ARP45" s="6"/>
      <c r="ARQ45" s="6"/>
      <c r="ARR45" s="6"/>
      <c r="ARS45" s="6"/>
      <c r="ART45" s="6"/>
      <c r="ARU45" s="6"/>
      <c r="ARV45" s="6"/>
      <c r="ARW45" s="6"/>
      <c r="ARX45" s="6"/>
      <c r="ARY45" s="6"/>
      <c r="ARZ45" s="6"/>
      <c r="ASA45" s="6"/>
      <c r="ASB45" s="6"/>
      <c r="ASC45" s="6"/>
      <c r="ASD45" s="6"/>
      <c r="ASE45" s="6"/>
      <c r="ASF45" s="6"/>
      <c r="ASG45" s="6"/>
      <c r="ASH45" s="6"/>
      <c r="ASI45" s="6"/>
      <c r="ASJ45" s="6"/>
      <c r="ASK45" s="6"/>
      <c r="ASL45" s="6"/>
      <c r="ASM45" s="6"/>
      <c r="ASN45" s="6"/>
      <c r="ASO45" s="6"/>
      <c r="ASP45" s="6"/>
      <c r="ASQ45" s="6"/>
      <c r="ASR45" s="6"/>
      <c r="ASS45" s="6"/>
      <c r="AST45" s="6"/>
      <c r="ASU45" s="6"/>
      <c r="ASV45" s="6"/>
      <c r="ASW45" s="6"/>
      <c r="ASX45" s="6"/>
      <c r="ASY45" s="6"/>
      <c r="ASZ45" s="6"/>
      <c r="ATA45" s="6"/>
      <c r="ATB45" s="6"/>
      <c r="ATC45" s="6"/>
      <c r="ATD45" s="6"/>
      <c r="ATE45" s="6"/>
      <c r="ATF45" s="6"/>
      <c r="ATG45" s="6"/>
      <c r="ATH45" s="6"/>
      <c r="ATI45" s="6"/>
      <c r="ATJ45" s="6"/>
      <c r="ATK45" s="6"/>
      <c r="ATL45" s="6"/>
      <c r="ATM45" s="6"/>
      <c r="ATN45" s="6"/>
      <c r="ATO45" s="6"/>
      <c r="ATP45" s="6"/>
      <c r="ATQ45" s="6"/>
      <c r="ATR45" s="6"/>
      <c r="ATS45" s="6"/>
      <c r="ATT45" s="6"/>
      <c r="ATU45" s="6"/>
      <c r="ATV45" s="6"/>
      <c r="ATW45" s="6"/>
      <c r="ATX45" s="6"/>
      <c r="ATY45" s="6"/>
      <c r="ATZ45" s="6"/>
      <c r="AUA45" s="6"/>
      <c r="AUB45" s="6"/>
      <c r="AUC45" s="6"/>
      <c r="AUD45" s="6"/>
      <c r="AUE45" s="6"/>
      <c r="AUF45" s="6"/>
      <c r="AUG45" s="6"/>
      <c r="AUH45" s="6"/>
      <c r="AUI45" s="6"/>
      <c r="AUJ45" s="6"/>
      <c r="AUK45" s="6"/>
      <c r="AUL45" s="6"/>
      <c r="AUM45" s="6"/>
      <c r="AUN45" s="6"/>
      <c r="AUO45" s="6"/>
      <c r="AUP45" s="6"/>
      <c r="AUQ45" s="6"/>
      <c r="AUR45" s="6"/>
      <c r="AUS45" s="6"/>
      <c r="AUT45" s="6"/>
      <c r="AUU45" s="6"/>
      <c r="AUV45" s="6"/>
      <c r="AUW45" s="6"/>
      <c r="AUX45" s="6"/>
      <c r="AUY45" s="6"/>
      <c r="AUZ45" s="6"/>
      <c r="AVA45" s="6"/>
      <c r="AVB45" s="6"/>
      <c r="AVC45" s="6"/>
      <c r="AVD45" s="6"/>
      <c r="AVE45" s="6"/>
      <c r="AVF45" s="6"/>
      <c r="AVG45" s="6"/>
      <c r="AVH45" s="6"/>
      <c r="AVI45" s="6"/>
      <c r="AVJ45" s="6"/>
      <c r="AVK45" s="6"/>
      <c r="AVL45" s="6"/>
      <c r="AVM45" s="6"/>
      <c r="AVN45" s="6"/>
      <c r="AVO45" s="6"/>
      <c r="AVP45" s="6"/>
      <c r="AVQ45" s="6"/>
      <c r="AVR45" s="6"/>
      <c r="AVS45" s="6"/>
      <c r="AVT45" s="6"/>
      <c r="AVU45" s="6"/>
      <c r="AVV45" s="6"/>
      <c r="AVW45" s="6"/>
      <c r="AVX45" s="6"/>
      <c r="AVY45" s="6"/>
      <c r="AVZ45" s="6"/>
      <c r="AWA45" s="6"/>
      <c r="AWB45" s="6"/>
      <c r="AWC45" s="6"/>
      <c r="AWD45" s="6"/>
      <c r="AWE45" s="6"/>
      <c r="AWF45" s="6"/>
      <c r="AWG45" s="6"/>
      <c r="AWH45" s="6"/>
      <c r="AWI45" s="6"/>
      <c r="AWJ45" s="6"/>
      <c r="AWK45" s="6"/>
      <c r="AWL45" s="6"/>
      <c r="AWM45" s="6"/>
      <c r="AWN45" s="6"/>
      <c r="AWO45" s="6"/>
      <c r="AWP45" s="6"/>
      <c r="AWQ45" s="6"/>
      <c r="AWR45" s="6"/>
      <c r="AWS45" s="6"/>
      <c r="AWT45" s="6"/>
      <c r="AWU45" s="6"/>
      <c r="AWV45" s="6"/>
      <c r="AWW45" s="6"/>
      <c r="AWX45" s="6"/>
      <c r="AWY45" s="6"/>
      <c r="AWZ45" s="6"/>
      <c r="AXA45" s="6"/>
      <c r="AXB45" s="6"/>
      <c r="AXC45" s="6"/>
      <c r="AXD45" s="6"/>
      <c r="AXE45" s="6"/>
      <c r="AXF45" s="6"/>
      <c r="AXG45" s="6"/>
      <c r="AXH45" s="6"/>
      <c r="AXI45" s="6"/>
      <c r="AXJ45" s="6"/>
      <c r="AXK45" s="6"/>
      <c r="AXL45" s="6"/>
      <c r="AXM45" s="6"/>
      <c r="AXN45" s="6"/>
      <c r="AXO45" s="6"/>
      <c r="AXP45" s="6"/>
      <c r="AXQ45" s="6"/>
      <c r="AXR45" s="6"/>
      <c r="AXS45" s="6"/>
      <c r="AXT45" s="6"/>
      <c r="AXU45" s="6"/>
      <c r="AXV45" s="6"/>
      <c r="AXW45" s="6"/>
      <c r="AXX45" s="6"/>
      <c r="AXY45" s="6"/>
      <c r="AXZ45" s="6"/>
      <c r="AYA45" s="6"/>
      <c r="AYB45" s="6"/>
      <c r="AYC45" s="6"/>
      <c r="AYD45" s="6"/>
      <c r="AYE45" s="6"/>
      <c r="AYF45" s="6"/>
      <c r="AYG45" s="6"/>
      <c r="AYH45" s="6"/>
      <c r="AYI45" s="6"/>
      <c r="AYJ45" s="6"/>
      <c r="AYK45" s="6"/>
      <c r="AYL45" s="6"/>
      <c r="AYM45" s="6"/>
      <c r="AYN45" s="6"/>
      <c r="AYO45" s="6"/>
      <c r="AYP45" s="6"/>
      <c r="AYQ45" s="6"/>
      <c r="AYR45" s="6"/>
      <c r="AYS45" s="6"/>
      <c r="AYT45" s="6"/>
      <c r="AYU45" s="6"/>
      <c r="AYV45" s="6"/>
      <c r="AYW45" s="6"/>
      <c r="AYX45" s="6"/>
      <c r="AYY45" s="6"/>
      <c r="AYZ45" s="6"/>
      <c r="AZA45" s="6"/>
      <c r="AZB45" s="6"/>
      <c r="AZC45" s="6"/>
      <c r="AZD45" s="6"/>
      <c r="AZE45" s="6"/>
      <c r="AZF45" s="6"/>
      <c r="AZG45" s="6"/>
      <c r="AZH45" s="6"/>
      <c r="AZI45" s="6"/>
      <c r="AZJ45" s="6"/>
      <c r="AZK45" s="6"/>
      <c r="AZL45" s="6"/>
      <c r="AZM45" s="6"/>
      <c r="AZN45" s="6"/>
      <c r="AZO45" s="6"/>
      <c r="AZP45" s="6"/>
      <c r="AZQ45" s="6"/>
      <c r="AZR45" s="6"/>
      <c r="AZS45" s="6"/>
      <c r="AZT45" s="6"/>
      <c r="AZU45" s="6"/>
      <c r="AZV45" s="6"/>
      <c r="AZW45" s="6"/>
      <c r="AZX45" s="6"/>
      <c r="AZY45" s="6"/>
      <c r="AZZ45" s="6"/>
      <c r="BAA45" s="6"/>
      <c r="BAB45" s="6"/>
      <c r="BAC45" s="6"/>
      <c r="BAD45" s="6"/>
      <c r="BAE45" s="6"/>
      <c r="BAF45" s="6"/>
      <c r="BAG45" s="6"/>
      <c r="BAH45" s="6"/>
      <c r="BAI45" s="6"/>
      <c r="BAJ45" s="6"/>
      <c r="BAK45" s="6"/>
      <c r="BAL45" s="6"/>
      <c r="BAM45" s="6"/>
      <c r="BAN45" s="6"/>
      <c r="BAO45" s="6"/>
      <c r="BAP45" s="6"/>
      <c r="BAQ45" s="6"/>
      <c r="BAR45" s="6"/>
      <c r="BAS45" s="6"/>
      <c r="BAT45" s="6"/>
      <c r="BAU45" s="6"/>
      <c r="BAV45" s="6"/>
      <c r="BAW45" s="6"/>
      <c r="BAX45" s="6"/>
      <c r="BAY45" s="6"/>
      <c r="BAZ45" s="6"/>
      <c r="BBA45" s="6"/>
      <c r="BBB45" s="6"/>
      <c r="BBC45" s="6"/>
      <c r="BBD45" s="6"/>
      <c r="BBE45" s="6"/>
      <c r="BBF45" s="6"/>
      <c r="BBG45" s="6"/>
      <c r="BBH45" s="6"/>
      <c r="BBI45" s="6"/>
      <c r="BBJ45" s="6"/>
      <c r="BBK45" s="6"/>
      <c r="BBL45" s="6"/>
      <c r="BBM45" s="6"/>
      <c r="BBN45" s="6"/>
      <c r="BBO45" s="6"/>
      <c r="BBP45" s="6"/>
      <c r="BBQ45" s="6"/>
      <c r="BBR45" s="6"/>
      <c r="BBS45" s="6"/>
      <c r="BBT45" s="6"/>
      <c r="BBU45" s="6"/>
      <c r="BBV45" s="6"/>
      <c r="BBW45" s="6"/>
      <c r="BBX45" s="6"/>
      <c r="BBY45" s="6"/>
      <c r="BBZ45" s="6"/>
      <c r="BCA45" s="6"/>
      <c r="BCB45" s="6"/>
      <c r="BCC45" s="6"/>
      <c r="BCD45" s="6"/>
      <c r="BCE45" s="6"/>
      <c r="BCF45" s="6"/>
      <c r="BCG45" s="6"/>
      <c r="BCH45" s="6"/>
      <c r="BCI45" s="6"/>
      <c r="BCJ45" s="6"/>
      <c r="BCK45" s="6"/>
      <c r="BCL45" s="6"/>
      <c r="BCM45" s="6"/>
      <c r="BCN45" s="6"/>
      <c r="BCO45" s="6"/>
      <c r="BCP45" s="6"/>
      <c r="BCQ45" s="6"/>
      <c r="BCR45" s="6"/>
      <c r="BCS45" s="6"/>
      <c r="BCT45" s="6"/>
      <c r="BCU45" s="6"/>
      <c r="BCV45" s="6"/>
      <c r="BCW45" s="6"/>
      <c r="BCX45" s="6"/>
      <c r="BCY45" s="6"/>
      <c r="BCZ45" s="6"/>
      <c r="BDA45" s="6"/>
      <c r="BDB45" s="6"/>
      <c r="BDC45" s="6"/>
      <c r="BDD45" s="6"/>
      <c r="BDE45" s="6"/>
      <c r="BDF45" s="6"/>
      <c r="BDG45" s="6"/>
      <c r="BDH45" s="6"/>
      <c r="BDI45" s="6"/>
      <c r="BDJ45" s="6"/>
      <c r="BDK45" s="6"/>
      <c r="BDL45" s="6"/>
      <c r="BDM45" s="6"/>
      <c r="BDN45" s="6"/>
      <c r="BDO45" s="6"/>
      <c r="BDP45" s="6"/>
      <c r="BDQ45" s="6"/>
      <c r="BDR45" s="6"/>
      <c r="BDS45" s="6"/>
      <c r="BDT45" s="6"/>
      <c r="BDU45" s="6"/>
      <c r="BDV45" s="6"/>
      <c r="BDW45" s="6"/>
      <c r="BDX45" s="6"/>
      <c r="BDY45" s="6"/>
      <c r="BDZ45" s="6"/>
      <c r="BEA45" s="6"/>
      <c r="BEB45" s="6"/>
      <c r="BEC45" s="6"/>
      <c r="BED45" s="6"/>
      <c r="BEE45" s="6"/>
      <c r="BEF45" s="6"/>
      <c r="BEG45" s="6"/>
      <c r="BEH45" s="6"/>
      <c r="BEI45" s="6"/>
      <c r="BEJ45" s="6"/>
      <c r="BEK45" s="6"/>
      <c r="BEL45" s="6"/>
      <c r="BEM45" s="6"/>
      <c r="BEN45" s="6"/>
      <c r="BEO45" s="6"/>
      <c r="BEP45" s="6"/>
      <c r="BEQ45" s="6"/>
      <c r="BER45" s="6"/>
      <c r="BES45" s="6"/>
      <c r="BET45" s="6"/>
      <c r="BEU45" s="6"/>
      <c r="BEV45" s="6"/>
      <c r="BEW45" s="6"/>
      <c r="BEX45" s="6"/>
      <c r="BEY45" s="6"/>
      <c r="BEZ45" s="6"/>
      <c r="BFA45" s="6"/>
      <c r="BFB45" s="6"/>
      <c r="BFC45" s="6"/>
      <c r="BFD45" s="6"/>
      <c r="BFE45" s="6"/>
      <c r="BFF45" s="6"/>
      <c r="BFG45" s="6"/>
      <c r="BFH45" s="6"/>
      <c r="BFI45" s="6"/>
      <c r="BFJ45" s="6"/>
      <c r="BFK45" s="6"/>
      <c r="BFL45" s="6"/>
      <c r="BFM45" s="6"/>
      <c r="BFN45" s="6"/>
      <c r="BFO45" s="6"/>
      <c r="BFP45" s="6"/>
      <c r="BFQ45" s="6"/>
      <c r="BFR45" s="6"/>
      <c r="BFS45" s="6"/>
      <c r="BFT45" s="6"/>
      <c r="BFU45" s="6"/>
      <c r="BFV45" s="6"/>
      <c r="BFW45" s="6"/>
      <c r="BFX45" s="6"/>
      <c r="BFY45" s="6"/>
      <c r="BFZ45" s="6"/>
      <c r="BGA45" s="6"/>
      <c r="BGB45" s="6"/>
      <c r="BGC45" s="6"/>
      <c r="BGD45" s="6"/>
      <c r="BGE45" s="6"/>
      <c r="BGF45" s="6"/>
      <c r="BGG45" s="6"/>
      <c r="BGH45" s="6"/>
      <c r="BGI45" s="6"/>
      <c r="BGJ45" s="6"/>
      <c r="BGK45" s="6"/>
      <c r="BGL45" s="6"/>
      <c r="BGM45" s="6"/>
      <c r="BGN45" s="6"/>
      <c r="BGO45" s="6"/>
      <c r="BGP45" s="6"/>
      <c r="BGQ45" s="6"/>
      <c r="BGR45" s="6"/>
      <c r="BGS45" s="6"/>
      <c r="BGT45" s="6"/>
      <c r="BGU45" s="6"/>
      <c r="BGV45" s="6"/>
      <c r="BGW45" s="6"/>
      <c r="BGX45" s="6"/>
      <c r="BGY45" s="6"/>
      <c r="BGZ45" s="6"/>
      <c r="BHA45" s="6"/>
      <c r="BHB45" s="6"/>
      <c r="BHC45" s="6"/>
      <c r="BHD45" s="6"/>
      <c r="BHE45" s="6"/>
      <c r="BHF45" s="6"/>
      <c r="BHG45" s="6"/>
      <c r="BHH45" s="6"/>
      <c r="BHI45" s="6"/>
      <c r="BHJ45" s="6"/>
      <c r="BHK45" s="6"/>
      <c r="BHL45" s="6"/>
      <c r="BHM45" s="6"/>
      <c r="BHN45" s="6"/>
      <c r="BHO45" s="6"/>
      <c r="BHP45" s="6"/>
      <c r="BHQ45" s="6"/>
      <c r="BHR45" s="6"/>
      <c r="BHS45" s="6"/>
      <c r="BHT45" s="6"/>
      <c r="BHU45" s="6"/>
      <c r="BHV45" s="6"/>
      <c r="BHW45" s="6"/>
      <c r="BHX45" s="6"/>
      <c r="BHY45" s="6"/>
      <c r="BHZ45" s="6"/>
      <c r="BIA45" s="6"/>
      <c r="BIB45" s="6"/>
      <c r="BIC45" s="6"/>
      <c r="BID45" s="6"/>
      <c r="BIE45" s="6"/>
      <c r="BIF45" s="6"/>
      <c r="BIG45" s="6"/>
      <c r="BIH45" s="6"/>
      <c r="BII45" s="6"/>
      <c r="BIJ45" s="6"/>
      <c r="BIK45" s="6"/>
      <c r="BIL45" s="6"/>
      <c r="BIM45" s="6"/>
      <c r="BIN45" s="6"/>
      <c r="BIO45" s="6"/>
      <c r="BIP45" s="6"/>
      <c r="BIQ45" s="6"/>
      <c r="BIR45" s="6"/>
      <c r="BIS45" s="6"/>
      <c r="BIT45" s="6"/>
      <c r="BIU45" s="6"/>
      <c r="BIV45" s="6"/>
      <c r="BIW45" s="6"/>
      <c r="BIX45" s="6"/>
      <c r="BIY45" s="6"/>
      <c r="BIZ45" s="6"/>
      <c r="BJA45" s="6"/>
      <c r="BJB45" s="6"/>
      <c r="BJC45" s="6"/>
      <c r="BJD45" s="6"/>
      <c r="BJE45" s="6"/>
      <c r="BJF45" s="6"/>
      <c r="BJG45" s="6"/>
      <c r="BJH45" s="6"/>
      <c r="BJI45" s="6"/>
      <c r="BJJ45" s="6"/>
      <c r="BJK45" s="6"/>
      <c r="BJL45" s="6"/>
      <c r="BJM45" s="6"/>
      <c r="BJN45" s="6"/>
      <c r="BJO45" s="6"/>
      <c r="BJP45" s="6"/>
      <c r="BJQ45" s="6"/>
      <c r="BJR45" s="6"/>
      <c r="BJS45" s="6"/>
      <c r="BJT45" s="6"/>
      <c r="BJU45" s="6"/>
      <c r="BJV45" s="6"/>
      <c r="BJW45" s="6"/>
      <c r="BJX45" s="6"/>
      <c r="BJY45" s="6"/>
      <c r="BJZ45" s="6"/>
      <c r="BKA45" s="6"/>
      <c r="BKB45" s="6"/>
      <c r="BKC45" s="6"/>
      <c r="BKD45" s="6"/>
      <c r="BKE45" s="6"/>
      <c r="BKF45" s="6"/>
      <c r="BKG45" s="6"/>
      <c r="BKH45" s="6"/>
      <c r="BKI45" s="6"/>
      <c r="BKJ45" s="6"/>
      <c r="BKK45" s="6"/>
      <c r="BKL45" s="6"/>
      <c r="BKM45" s="6"/>
      <c r="BKN45" s="6"/>
      <c r="BKO45" s="6"/>
      <c r="BKP45" s="6"/>
      <c r="BKQ45" s="6"/>
      <c r="BKR45" s="6"/>
      <c r="BKS45" s="6"/>
      <c r="BKT45" s="6"/>
      <c r="BKU45" s="6"/>
      <c r="BKV45" s="6"/>
      <c r="BKW45" s="6"/>
      <c r="BKX45" s="6"/>
      <c r="BKY45" s="6"/>
      <c r="BKZ45" s="6"/>
      <c r="BLA45" s="6"/>
      <c r="BLB45" s="6"/>
      <c r="BLC45" s="6"/>
      <c r="BLD45" s="6"/>
      <c r="BLE45" s="6"/>
      <c r="BLF45" s="6"/>
      <c r="BLG45" s="6"/>
      <c r="BLH45" s="6"/>
      <c r="BLI45" s="6"/>
      <c r="BLJ45" s="6"/>
      <c r="BLK45" s="6"/>
      <c r="BLL45" s="6"/>
      <c r="BLM45" s="6"/>
      <c r="BLN45" s="6"/>
      <c r="BLO45" s="6"/>
      <c r="BLP45" s="6"/>
      <c r="BLQ45" s="6"/>
      <c r="BLR45" s="6"/>
      <c r="BLS45" s="6"/>
      <c r="BLT45" s="6"/>
      <c r="BLU45" s="6"/>
      <c r="BLV45" s="6"/>
      <c r="BLW45" s="6"/>
      <c r="BLX45" s="6"/>
      <c r="BLY45" s="6"/>
      <c r="BLZ45" s="6"/>
      <c r="BMA45" s="6"/>
      <c r="BMB45" s="6"/>
      <c r="BMC45" s="6"/>
      <c r="BMD45" s="6"/>
      <c r="BME45" s="6"/>
      <c r="BMF45" s="6"/>
      <c r="BMG45" s="6"/>
      <c r="BMH45" s="6"/>
      <c r="BMI45" s="6"/>
      <c r="BMJ45" s="6"/>
      <c r="BMK45" s="6"/>
      <c r="BML45" s="6"/>
      <c r="BMM45" s="6"/>
      <c r="BMN45" s="6"/>
      <c r="BMO45" s="6"/>
      <c r="BMP45" s="6"/>
      <c r="BMQ45" s="6"/>
      <c r="BMR45" s="6"/>
      <c r="BMS45" s="6"/>
      <c r="BMT45" s="6"/>
      <c r="BMU45" s="6"/>
      <c r="BMV45" s="6"/>
      <c r="BMW45" s="6"/>
      <c r="BMX45" s="6"/>
      <c r="BMY45" s="6"/>
      <c r="BMZ45" s="6"/>
      <c r="BNA45" s="6"/>
      <c r="BNB45" s="6"/>
      <c r="BNC45" s="6"/>
      <c r="BND45" s="6"/>
      <c r="BNE45" s="6"/>
      <c r="BNF45" s="6"/>
      <c r="BNG45" s="6"/>
      <c r="BNH45" s="6"/>
      <c r="BNI45" s="6"/>
      <c r="BNJ45" s="6"/>
      <c r="BNK45" s="6"/>
      <c r="BNL45" s="6"/>
      <c r="BNM45" s="6"/>
      <c r="BNN45" s="6"/>
      <c r="BNO45" s="6"/>
      <c r="BNP45" s="6"/>
      <c r="BNQ45" s="6"/>
      <c r="BNR45" s="6"/>
      <c r="BNS45" s="6"/>
      <c r="BNT45" s="6"/>
      <c r="BNU45" s="6"/>
      <c r="BNV45" s="6"/>
      <c r="BNW45" s="6"/>
      <c r="BNX45" s="6"/>
      <c r="BNY45" s="6"/>
      <c r="BNZ45" s="6"/>
      <c r="BOA45" s="6"/>
      <c r="BOB45" s="6"/>
      <c r="BOC45" s="6"/>
      <c r="BOD45" s="6"/>
      <c r="BOE45" s="6"/>
      <c r="BOF45" s="6"/>
      <c r="BOG45" s="6"/>
      <c r="BOH45" s="6"/>
      <c r="BOI45" s="6"/>
      <c r="BOJ45" s="6"/>
      <c r="BOK45" s="6"/>
      <c r="BOL45" s="6"/>
      <c r="BOM45" s="6"/>
      <c r="BON45" s="6"/>
      <c r="BOO45" s="6"/>
      <c r="BOP45" s="6"/>
      <c r="BOQ45" s="6"/>
      <c r="BOR45" s="6"/>
      <c r="BOS45" s="6"/>
      <c r="BOT45" s="6"/>
      <c r="BOU45" s="6"/>
      <c r="BOV45" s="6"/>
      <c r="BOW45" s="6"/>
      <c r="BOX45" s="6"/>
      <c r="BOY45" s="6"/>
      <c r="BOZ45" s="6"/>
      <c r="BPA45" s="6"/>
      <c r="BPB45" s="6"/>
      <c r="BPC45" s="6"/>
      <c r="BPD45" s="6"/>
      <c r="BPE45" s="6"/>
      <c r="BPF45" s="6"/>
      <c r="BPG45" s="6"/>
      <c r="BPH45" s="6"/>
      <c r="BPI45" s="6"/>
      <c r="BPJ45" s="6"/>
      <c r="BPK45" s="6"/>
      <c r="BPL45" s="6"/>
      <c r="BPM45" s="6"/>
      <c r="BPN45" s="6"/>
      <c r="BPO45" s="6"/>
      <c r="BPP45" s="6"/>
      <c r="BPQ45" s="6"/>
      <c r="BPR45" s="6"/>
      <c r="BPS45" s="6"/>
      <c r="BPT45" s="6"/>
      <c r="BPU45" s="6"/>
      <c r="BPV45" s="6"/>
      <c r="BPW45" s="6"/>
      <c r="BPX45" s="6"/>
      <c r="BPY45" s="6"/>
      <c r="BPZ45" s="6"/>
      <c r="BQA45" s="6"/>
      <c r="BQB45" s="6"/>
      <c r="BQC45" s="6"/>
      <c r="BQD45" s="6"/>
      <c r="BQE45" s="6"/>
      <c r="BQF45" s="6"/>
      <c r="BQG45" s="6"/>
      <c r="BQH45" s="6"/>
      <c r="BQI45" s="6"/>
      <c r="BQJ45" s="6"/>
      <c r="BQK45" s="6"/>
      <c r="BQL45" s="6"/>
      <c r="BQM45" s="6"/>
      <c r="BQN45" s="6"/>
      <c r="BQO45" s="6"/>
      <c r="BQP45" s="6"/>
      <c r="BQQ45" s="6"/>
      <c r="BQR45" s="6"/>
      <c r="BQS45" s="6"/>
      <c r="BQT45" s="6"/>
      <c r="BQU45" s="6"/>
      <c r="BQV45" s="6"/>
      <c r="BQW45" s="6"/>
      <c r="BQX45" s="6"/>
      <c r="BQY45" s="6"/>
      <c r="BQZ45" s="6"/>
      <c r="BRA45" s="6"/>
      <c r="BRB45" s="6"/>
      <c r="BRC45" s="6"/>
      <c r="BRD45" s="6"/>
      <c r="BRE45" s="6"/>
      <c r="BRF45" s="6"/>
      <c r="BRG45" s="6"/>
      <c r="BRH45" s="6"/>
      <c r="BRI45" s="6"/>
      <c r="BRJ45" s="6"/>
      <c r="BRK45" s="6"/>
      <c r="BRL45" s="6"/>
      <c r="BRM45" s="6"/>
      <c r="BRN45" s="6"/>
      <c r="BRO45" s="6"/>
      <c r="BRP45" s="6"/>
      <c r="BRQ45" s="6"/>
      <c r="BRR45" s="6"/>
      <c r="BRS45" s="6"/>
      <c r="BRT45" s="6"/>
      <c r="BRU45" s="6"/>
      <c r="BRV45" s="6"/>
      <c r="BRW45" s="6"/>
      <c r="BRX45" s="6"/>
      <c r="BRY45" s="6"/>
      <c r="BRZ45" s="6"/>
      <c r="BSA45" s="6"/>
      <c r="BSB45" s="6"/>
      <c r="BSC45" s="6"/>
      <c r="BSD45" s="6"/>
      <c r="BSE45" s="6"/>
      <c r="BSF45" s="6"/>
      <c r="BSG45" s="6"/>
      <c r="BSH45" s="6"/>
      <c r="BSI45" s="6"/>
      <c r="BSJ45" s="6"/>
      <c r="BSK45" s="6"/>
      <c r="BSL45" s="6"/>
      <c r="BSM45" s="6"/>
      <c r="BSN45" s="6"/>
      <c r="BSO45" s="6"/>
      <c r="BSP45" s="6"/>
      <c r="BSQ45" s="6"/>
      <c r="BSR45" s="6"/>
      <c r="BSS45" s="6"/>
      <c r="BST45" s="6"/>
      <c r="BSU45" s="6"/>
      <c r="BSV45" s="6"/>
      <c r="BSW45" s="6"/>
      <c r="BSX45" s="6"/>
      <c r="BSY45" s="6"/>
      <c r="BSZ45" s="6"/>
      <c r="BTA45" s="6"/>
      <c r="BTB45" s="6"/>
      <c r="BTC45" s="6"/>
      <c r="BTD45" s="6"/>
      <c r="BTE45" s="6"/>
      <c r="BTF45" s="6"/>
      <c r="BTG45" s="6"/>
      <c r="BTH45" s="6"/>
      <c r="BTI45" s="6"/>
      <c r="BTJ45" s="6"/>
      <c r="BTK45" s="6"/>
      <c r="BTL45" s="6"/>
      <c r="BTM45" s="6"/>
      <c r="BTN45" s="6"/>
      <c r="BTO45" s="6"/>
      <c r="BTP45" s="6"/>
      <c r="BTQ45" s="6"/>
      <c r="BTR45" s="6"/>
      <c r="BTS45" s="6"/>
      <c r="BTT45" s="6"/>
      <c r="BTU45" s="6"/>
      <c r="BTV45" s="6"/>
      <c r="BTW45" s="6"/>
      <c r="BTX45" s="6"/>
      <c r="BTY45" s="6"/>
      <c r="BTZ45" s="6"/>
      <c r="BUA45" s="6"/>
      <c r="BUB45" s="6"/>
      <c r="BUC45" s="6"/>
      <c r="BUD45" s="6"/>
      <c r="BUE45" s="6"/>
      <c r="BUF45" s="6"/>
      <c r="BUG45" s="6"/>
      <c r="BUH45" s="6"/>
      <c r="BUI45" s="6"/>
      <c r="BUJ45" s="6"/>
      <c r="BUK45" s="6"/>
      <c r="BUL45" s="6"/>
      <c r="BUM45" s="6"/>
      <c r="BUN45" s="6"/>
      <c r="BUO45" s="6"/>
      <c r="BUP45" s="6"/>
      <c r="BUQ45" s="6"/>
      <c r="BUR45" s="6"/>
      <c r="BUS45" s="6"/>
      <c r="BUT45" s="6"/>
      <c r="BUU45" s="6"/>
      <c r="BUV45" s="6"/>
      <c r="BUW45" s="6"/>
      <c r="BUX45" s="6"/>
      <c r="BUY45" s="6"/>
      <c r="BUZ45" s="6"/>
      <c r="BVA45" s="6"/>
      <c r="BVB45" s="6"/>
      <c r="BVC45" s="6"/>
      <c r="BVD45" s="6"/>
      <c r="BVE45" s="6"/>
      <c r="BVF45" s="6"/>
      <c r="BVG45" s="6"/>
      <c r="BVH45" s="6"/>
      <c r="BVI45" s="6"/>
      <c r="BVJ45" s="6"/>
      <c r="BVK45" s="6"/>
      <c r="BVL45" s="6"/>
      <c r="BVM45" s="6"/>
      <c r="BVN45" s="6"/>
      <c r="BVO45" s="6"/>
      <c r="BVP45" s="6"/>
      <c r="BVQ45" s="6"/>
      <c r="BVR45" s="6"/>
      <c r="BVS45" s="6"/>
      <c r="BVT45" s="6"/>
      <c r="BVU45" s="6"/>
      <c r="BVV45" s="6"/>
      <c r="BVW45" s="6"/>
      <c r="BVX45" s="6"/>
      <c r="BVY45" s="6"/>
      <c r="BVZ45" s="6"/>
      <c r="BWA45" s="6"/>
      <c r="BWB45" s="6"/>
      <c r="BWC45" s="6"/>
      <c r="BWD45" s="6"/>
      <c r="BWE45" s="6"/>
      <c r="BWF45" s="6"/>
      <c r="BWG45" s="6"/>
      <c r="BWH45" s="6"/>
      <c r="BWI45" s="6"/>
      <c r="BWJ45" s="6"/>
      <c r="BWK45" s="6"/>
      <c r="BWL45" s="6"/>
      <c r="BWM45" s="6"/>
      <c r="BWN45" s="6"/>
      <c r="BWO45" s="6"/>
      <c r="BWP45" s="6"/>
      <c r="BWQ45" s="6"/>
      <c r="BWR45" s="6"/>
      <c r="BWS45" s="6"/>
      <c r="BWT45" s="6"/>
      <c r="BWU45" s="6"/>
      <c r="BWV45" s="6"/>
      <c r="BWW45" s="6"/>
      <c r="BWX45" s="6"/>
      <c r="BWY45" s="6"/>
      <c r="BWZ45" s="6"/>
      <c r="BXA45" s="6"/>
      <c r="BXB45" s="6"/>
      <c r="BXC45" s="6"/>
      <c r="BXD45" s="6"/>
      <c r="BXE45" s="6"/>
      <c r="BXF45" s="6"/>
      <c r="BXG45" s="6"/>
      <c r="BXH45" s="6"/>
      <c r="BXI45" s="6"/>
      <c r="BXJ45" s="6"/>
      <c r="BXK45" s="6"/>
      <c r="BXL45" s="6"/>
      <c r="BXM45" s="6"/>
      <c r="BXN45" s="6"/>
      <c r="BXO45" s="6"/>
      <c r="BXP45" s="6"/>
      <c r="BXQ45" s="6"/>
      <c r="BXR45" s="6"/>
      <c r="BXS45" s="6"/>
      <c r="BXT45" s="6"/>
      <c r="BXU45" s="6"/>
      <c r="BXV45" s="6"/>
      <c r="BXW45" s="6"/>
      <c r="BXX45" s="6"/>
      <c r="BXY45" s="6"/>
      <c r="BXZ45" s="6"/>
      <c r="BYA45" s="6"/>
      <c r="BYB45" s="6"/>
      <c r="BYC45" s="6"/>
      <c r="BYD45" s="6"/>
      <c r="BYE45" s="6"/>
      <c r="BYF45" s="6"/>
      <c r="BYG45" s="6"/>
      <c r="BYH45" s="6"/>
      <c r="BYI45" s="6"/>
      <c r="BYJ45" s="6"/>
      <c r="BYK45" s="6"/>
      <c r="BYL45" s="6"/>
      <c r="BYM45" s="6"/>
      <c r="BYN45" s="6"/>
      <c r="BYO45" s="6"/>
      <c r="BYP45" s="6"/>
      <c r="BYQ45" s="6"/>
      <c r="BYR45" s="6"/>
      <c r="BYS45" s="6"/>
      <c r="BYT45" s="6"/>
      <c r="BYU45" s="6"/>
      <c r="BYV45" s="6"/>
      <c r="BYW45" s="6"/>
      <c r="BYX45" s="6"/>
      <c r="BYY45" s="6"/>
      <c r="BYZ45" s="6"/>
      <c r="BZA45" s="6"/>
      <c r="BZB45" s="6"/>
      <c r="BZC45" s="6"/>
      <c r="BZD45" s="6"/>
      <c r="BZE45" s="6"/>
      <c r="BZF45" s="6"/>
      <c r="BZG45" s="6"/>
      <c r="BZH45" s="6"/>
      <c r="BZI45" s="6"/>
      <c r="BZJ45" s="6"/>
      <c r="BZK45" s="6"/>
      <c r="BZL45" s="6"/>
      <c r="BZM45" s="6"/>
      <c r="BZN45" s="6"/>
      <c r="BZO45" s="6"/>
      <c r="BZP45" s="6"/>
      <c r="BZQ45" s="6"/>
      <c r="BZR45" s="6"/>
      <c r="BZS45" s="6"/>
      <c r="BZT45" s="6"/>
      <c r="BZU45" s="6"/>
      <c r="BZV45" s="6"/>
      <c r="BZW45" s="6"/>
      <c r="BZX45" s="6"/>
      <c r="BZY45" s="6"/>
      <c r="BZZ45" s="6"/>
      <c r="CAA45" s="6"/>
      <c r="CAB45" s="6"/>
      <c r="CAC45" s="6"/>
      <c r="CAD45" s="6"/>
      <c r="CAE45" s="6"/>
      <c r="CAF45" s="6"/>
      <c r="CAG45" s="6"/>
      <c r="CAH45" s="6"/>
      <c r="CAI45" s="6"/>
      <c r="CAJ45" s="6"/>
      <c r="CAK45" s="6"/>
      <c r="CAL45" s="6"/>
      <c r="CAM45" s="6"/>
      <c r="CAN45" s="6"/>
      <c r="CAO45" s="6"/>
      <c r="CAP45" s="6"/>
      <c r="CAQ45" s="6"/>
      <c r="CAR45" s="6"/>
      <c r="CAS45" s="6"/>
      <c r="CAT45" s="6"/>
      <c r="CAU45" s="6"/>
      <c r="CAV45" s="6"/>
      <c r="CAW45" s="6"/>
      <c r="CAX45" s="6"/>
      <c r="CAY45" s="6"/>
      <c r="CAZ45" s="6"/>
      <c r="CBA45" s="6"/>
      <c r="CBB45" s="6"/>
      <c r="CBC45" s="6"/>
      <c r="CBD45" s="6"/>
      <c r="CBE45" s="6"/>
      <c r="CBF45" s="6"/>
      <c r="CBG45" s="6"/>
      <c r="CBH45" s="6"/>
      <c r="CBI45" s="6"/>
      <c r="CBJ45" s="6"/>
      <c r="CBK45" s="6"/>
      <c r="CBL45" s="6"/>
      <c r="CBM45" s="6"/>
      <c r="CBN45" s="6"/>
      <c r="CBO45" s="6"/>
      <c r="CBP45" s="6"/>
      <c r="CBQ45" s="6"/>
      <c r="CBR45" s="6"/>
      <c r="CBS45" s="6"/>
      <c r="CBT45" s="6"/>
      <c r="CBU45" s="6"/>
      <c r="CBV45" s="6"/>
      <c r="CBW45" s="6"/>
      <c r="CBX45" s="6"/>
      <c r="CBY45" s="6"/>
      <c r="CBZ45" s="6"/>
      <c r="CCA45" s="6"/>
      <c r="CCB45" s="6"/>
      <c r="CCC45" s="6"/>
      <c r="CCD45" s="6"/>
      <c r="CCE45" s="6"/>
      <c r="CCF45" s="6"/>
      <c r="CCG45" s="6"/>
      <c r="CCH45" s="6"/>
      <c r="CCI45" s="6"/>
      <c r="CCJ45" s="6"/>
      <c r="CCK45" s="6"/>
      <c r="CCL45" s="6"/>
      <c r="CCM45" s="6"/>
      <c r="CCN45" s="6"/>
      <c r="CCO45" s="6"/>
      <c r="CCP45" s="6"/>
      <c r="CCQ45" s="6"/>
      <c r="CCR45" s="6"/>
      <c r="CCS45" s="6"/>
      <c r="CCT45" s="6"/>
      <c r="CCU45" s="6"/>
      <c r="CCV45" s="6"/>
      <c r="CCW45" s="6"/>
      <c r="CCX45" s="6"/>
      <c r="CCY45" s="6"/>
      <c r="CCZ45" s="6"/>
      <c r="CDA45" s="6"/>
      <c r="CDB45" s="6"/>
      <c r="CDC45" s="6"/>
      <c r="CDD45" s="6"/>
      <c r="CDE45" s="6"/>
      <c r="CDF45" s="6"/>
      <c r="CDG45" s="6"/>
      <c r="CDH45" s="6"/>
      <c r="CDI45" s="6"/>
      <c r="CDJ45" s="6"/>
      <c r="CDK45" s="6"/>
      <c r="CDL45" s="6"/>
      <c r="CDM45" s="6"/>
      <c r="CDN45" s="6"/>
      <c r="CDO45" s="6"/>
      <c r="CDP45" s="6"/>
      <c r="CDQ45" s="6"/>
      <c r="CDR45" s="6"/>
      <c r="CDS45" s="6"/>
      <c r="CDT45" s="6"/>
      <c r="CDU45" s="6"/>
      <c r="CDV45" s="6"/>
      <c r="CDW45" s="6"/>
      <c r="CDX45" s="6"/>
      <c r="CDY45" s="6"/>
      <c r="CDZ45" s="6"/>
      <c r="CEA45" s="6"/>
      <c r="CEB45" s="6"/>
      <c r="CEC45" s="6"/>
      <c r="CED45" s="6"/>
      <c r="CEE45" s="6"/>
      <c r="CEF45" s="6"/>
      <c r="CEG45" s="6"/>
      <c r="CEH45" s="6"/>
      <c r="CEI45" s="6"/>
      <c r="CEJ45" s="6"/>
      <c r="CEK45" s="6"/>
      <c r="CEL45" s="6"/>
      <c r="CEM45" s="6"/>
      <c r="CEN45" s="6"/>
      <c r="CEO45" s="6"/>
      <c r="CEP45" s="6"/>
      <c r="CEQ45" s="6"/>
      <c r="CER45" s="6"/>
      <c r="CES45" s="6"/>
      <c r="CET45" s="6"/>
      <c r="CEU45" s="6"/>
      <c r="CEV45" s="6"/>
      <c r="CEW45" s="6"/>
      <c r="CEX45" s="6"/>
      <c r="CEY45" s="6"/>
      <c r="CEZ45" s="6"/>
      <c r="CFA45" s="6"/>
      <c r="CFB45" s="6"/>
      <c r="CFC45" s="6"/>
      <c r="CFD45" s="6"/>
      <c r="CFE45" s="6"/>
      <c r="CFF45" s="6"/>
      <c r="CFG45" s="6"/>
      <c r="CFH45" s="6"/>
      <c r="CFI45" s="6"/>
      <c r="CFJ45" s="6"/>
      <c r="CFK45" s="6"/>
      <c r="CFL45" s="6"/>
      <c r="CFM45" s="6"/>
      <c r="CFN45" s="6"/>
      <c r="CFO45" s="6"/>
      <c r="CFP45" s="6"/>
      <c r="CFQ45" s="6"/>
      <c r="CFR45" s="6"/>
      <c r="CFS45" s="6"/>
      <c r="CFT45" s="6"/>
      <c r="CFU45" s="6"/>
      <c r="CFV45" s="6"/>
      <c r="CFW45" s="6"/>
      <c r="CFX45" s="6"/>
      <c r="CFY45" s="6"/>
      <c r="CFZ45" s="6"/>
      <c r="CGA45" s="6"/>
      <c r="CGB45" s="6"/>
      <c r="CGC45" s="6"/>
      <c r="CGD45" s="6"/>
      <c r="CGE45" s="6"/>
      <c r="CGF45" s="6"/>
      <c r="CGG45" s="6"/>
      <c r="CGH45" s="6"/>
      <c r="CGI45" s="6"/>
      <c r="CGJ45" s="6"/>
      <c r="CGK45" s="6"/>
      <c r="CGL45" s="6"/>
      <c r="CGM45" s="6"/>
      <c r="CGN45" s="6"/>
      <c r="CGO45" s="6"/>
      <c r="CGP45" s="6"/>
      <c r="CGQ45" s="6"/>
      <c r="CGR45" s="6"/>
      <c r="CGS45" s="6"/>
      <c r="CGT45" s="6"/>
      <c r="CGU45" s="6"/>
      <c r="CGV45" s="6"/>
      <c r="CGW45" s="6"/>
      <c r="CGX45" s="6"/>
      <c r="CGY45" s="6"/>
      <c r="CGZ45" s="6"/>
      <c r="CHA45" s="6"/>
      <c r="CHB45" s="6"/>
      <c r="CHC45" s="6"/>
      <c r="CHD45" s="6"/>
      <c r="CHE45" s="6"/>
      <c r="CHF45" s="6"/>
      <c r="CHG45" s="6"/>
      <c r="CHH45" s="6"/>
      <c r="CHI45" s="6"/>
      <c r="CHJ45" s="6"/>
      <c r="CHK45" s="6"/>
      <c r="CHL45" s="6"/>
      <c r="CHM45" s="6"/>
      <c r="CHN45" s="6"/>
      <c r="CHO45" s="6"/>
      <c r="CHP45" s="6"/>
      <c r="CHQ45" s="6"/>
      <c r="CHR45" s="6"/>
      <c r="CHS45" s="6"/>
      <c r="CHT45" s="6"/>
      <c r="CHU45" s="6"/>
      <c r="CHV45" s="6"/>
      <c r="CHW45" s="6"/>
      <c r="CHX45" s="6"/>
      <c r="CHY45" s="6"/>
      <c r="CHZ45" s="6"/>
      <c r="CIA45" s="6"/>
      <c r="CIB45" s="6"/>
      <c r="CIC45" s="6"/>
      <c r="CID45" s="6"/>
      <c r="CIE45" s="6"/>
      <c r="CIF45" s="6"/>
      <c r="CIG45" s="6"/>
      <c r="CIH45" s="6"/>
      <c r="CII45" s="6"/>
      <c r="CIJ45" s="6"/>
      <c r="CIK45" s="6"/>
      <c r="CIL45" s="6"/>
      <c r="CIM45" s="6"/>
      <c r="CIN45" s="6"/>
      <c r="CIO45" s="6"/>
      <c r="CIP45" s="6"/>
      <c r="CIQ45" s="6"/>
      <c r="CIR45" s="6"/>
      <c r="CIS45" s="6"/>
      <c r="CIT45" s="6"/>
      <c r="CIU45" s="6"/>
      <c r="CIV45" s="6"/>
      <c r="CIW45" s="6"/>
      <c r="CIX45" s="6"/>
      <c r="CIY45" s="6"/>
      <c r="CIZ45" s="6"/>
      <c r="CJA45" s="6"/>
      <c r="CJB45" s="6"/>
      <c r="CJC45" s="6"/>
      <c r="CJD45" s="6"/>
      <c r="CJE45" s="6"/>
      <c r="CJF45" s="6"/>
      <c r="CJG45" s="6"/>
      <c r="CJH45" s="6"/>
      <c r="CJI45" s="6"/>
      <c r="CJJ45" s="6"/>
      <c r="CJK45" s="6"/>
      <c r="CJL45" s="6"/>
      <c r="CJM45" s="6"/>
      <c r="CJN45" s="6"/>
      <c r="CJO45" s="6"/>
      <c r="CJP45" s="6"/>
      <c r="CJQ45" s="6"/>
      <c r="CJR45" s="6"/>
      <c r="CJS45" s="6"/>
      <c r="CJT45" s="6"/>
      <c r="CJU45" s="6"/>
      <c r="CJV45" s="6"/>
      <c r="CJW45" s="6"/>
      <c r="CJX45" s="6"/>
      <c r="CJY45" s="6"/>
      <c r="CJZ45" s="6"/>
      <c r="CKA45" s="6"/>
      <c r="CKB45" s="6"/>
      <c r="CKC45" s="6"/>
      <c r="CKD45" s="6"/>
      <c r="CKE45" s="6"/>
      <c r="CKF45" s="6"/>
      <c r="CKG45" s="6"/>
      <c r="CKH45" s="6"/>
      <c r="CKI45" s="6"/>
      <c r="CKJ45" s="6"/>
      <c r="CKK45" s="6"/>
      <c r="CKL45" s="6"/>
      <c r="CKM45" s="6"/>
      <c r="CKN45" s="6"/>
      <c r="CKO45" s="6"/>
      <c r="CKP45" s="6"/>
      <c r="CKQ45" s="6"/>
      <c r="CKR45" s="6"/>
      <c r="CKS45" s="6"/>
      <c r="CKT45" s="6"/>
      <c r="CKU45" s="6"/>
      <c r="CKV45" s="6"/>
      <c r="CKW45" s="6"/>
      <c r="CKX45" s="6"/>
      <c r="CKY45" s="6"/>
      <c r="CKZ45" s="6"/>
      <c r="CLA45" s="6"/>
      <c r="CLB45" s="6"/>
      <c r="CLC45" s="6"/>
      <c r="CLD45" s="6"/>
      <c r="CLE45" s="6"/>
      <c r="CLF45" s="6"/>
      <c r="CLG45" s="6"/>
      <c r="CLH45" s="6"/>
      <c r="CLI45" s="6"/>
      <c r="CLJ45" s="6"/>
      <c r="CLK45" s="6"/>
      <c r="CLL45" s="6"/>
      <c r="CLM45" s="6"/>
      <c r="CLN45" s="6"/>
      <c r="CLO45" s="6"/>
      <c r="CLP45" s="6"/>
      <c r="CLQ45" s="6"/>
      <c r="CLR45" s="6"/>
      <c r="CLS45" s="6"/>
      <c r="CLT45" s="6"/>
      <c r="CLU45" s="6"/>
      <c r="CLV45" s="6"/>
      <c r="CLW45" s="6"/>
      <c r="CLX45" s="6"/>
      <c r="CLY45" s="6"/>
      <c r="CLZ45" s="6"/>
      <c r="CMA45" s="6"/>
      <c r="CMB45" s="6"/>
      <c r="CMC45" s="6"/>
      <c r="CMD45" s="6"/>
      <c r="CME45" s="6"/>
      <c r="CMF45" s="6"/>
      <c r="CMG45" s="6"/>
      <c r="CMH45" s="6"/>
      <c r="CMI45" s="6"/>
      <c r="CMJ45" s="6"/>
      <c r="CMK45" s="6"/>
      <c r="CML45" s="6"/>
      <c r="CMM45" s="6"/>
      <c r="CMN45" s="6"/>
      <c r="CMO45" s="6"/>
      <c r="CMP45" s="6"/>
      <c r="CMQ45" s="6"/>
      <c r="CMR45" s="6"/>
      <c r="CMS45" s="6"/>
      <c r="CMT45" s="6"/>
      <c r="CMU45" s="6"/>
      <c r="CMV45" s="6"/>
      <c r="CMW45" s="6"/>
      <c r="CMX45" s="6"/>
      <c r="CMY45" s="6"/>
      <c r="CMZ45" s="6"/>
      <c r="CNA45" s="6"/>
      <c r="CNB45" s="6"/>
      <c r="CNC45" s="6"/>
      <c r="CND45" s="6"/>
      <c r="CNE45" s="6"/>
      <c r="CNF45" s="6"/>
      <c r="CNG45" s="6"/>
      <c r="CNH45" s="6"/>
      <c r="CNI45" s="6"/>
      <c r="CNJ45" s="6"/>
      <c r="CNK45" s="6"/>
      <c r="CNL45" s="6"/>
      <c r="CNM45" s="6"/>
      <c r="CNN45" s="6"/>
      <c r="CNO45" s="6"/>
      <c r="CNP45" s="6"/>
      <c r="CNQ45" s="6"/>
      <c r="CNR45" s="6"/>
      <c r="CNS45" s="6"/>
      <c r="CNT45" s="6"/>
      <c r="CNU45" s="6"/>
      <c r="CNV45" s="6"/>
      <c r="CNW45" s="6"/>
      <c r="CNX45" s="6"/>
      <c r="CNY45" s="6"/>
      <c r="CNZ45" s="6"/>
      <c r="COA45" s="6"/>
      <c r="COB45" s="6"/>
      <c r="COC45" s="6"/>
      <c r="COD45" s="6"/>
      <c r="COE45" s="6"/>
      <c r="COF45" s="6"/>
      <c r="COG45" s="6"/>
      <c r="COH45" s="6"/>
      <c r="COI45" s="6"/>
      <c r="COJ45" s="6"/>
      <c r="COK45" s="6"/>
      <c r="COL45" s="6"/>
      <c r="COM45" s="6"/>
      <c r="CON45" s="6"/>
      <c r="COO45" s="6"/>
      <c r="COP45" s="6"/>
      <c r="COQ45" s="6"/>
      <c r="COR45" s="6"/>
      <c r="COS45" s="6"/>
      <c r="COT45" s="6"/>
      <c r="COU45" s="6"/>
      <c r="COV45" s="6"/>
      <c r="COW45" s="6"/>
      <c r="COX45" s="6"/>
      <c r="COY45" s="6"/>
      <c r="COZ45" s="6"/>
      <c r="CPA45" s="6"/>
      <c r="CPB45" s="6"/>
      <c r="CPC45" s="6"/>
      <c r="CPD45" s="6"/>
      <c r="CPE45" s="6"/>
      <c r="CPF45" s="6"/>
      <c r="CPG45" s="6"/>
      <c r="CPH45" s="6"/>
      <c r="CPI45" s="6"/>
      <c r="CPJ45" s="6"/>
      <c r="CPK45" s="6"/>
      <c r="CPL45" s="6"/>
      <c r="CPM45" s="6"/>
      <c r="CPN45" s="6"/>
      <c r="CPO45" s="6"/>
      <c r="CPP45" s="6"/>
      <c r="CPQ45" s="6"/>
      <c r="CPR45" s="6"/>
      <c r="CPS45" s="6"/>
      <c r="CPT45" s="6"/>
      <c r="CPU45" s="6"/>
      <c r="CPV45" s="6"/>
      <c r="CPW45" s="6"/>
      <c r="CPX45" s="6"/>
      <c r="CPY45" s="6"/>
      <c r="CPZ45" s="6"/>
      <c r="CQA45" s="6"/>
      <c r="CQB45" s="6"/>
      <c r="CQC45" s="6"/>
      <c r="CQD45" s="6"/>
      <c r="CQE45" s="6"/>
      <c r="CQF45" s="6"/>
      <c r="CQG45" s="6"/>
      <c r="CQH45" s="6"/>
      <c r="CQI45" s="6"/>
      <c r="CQJ45" s="6"/>
      <c r="CQK45" s="6"/>
      <c r="CQL45" s="6"/>
      <c r="CQM45" s="6"/>
      <c r="CQN45" s="6"/>
      <c r="CQO45" s="6"/>
      <c r="CQP45" s="6"/>
      <c r="CQQ45" s="6"/>
      <c r="CQR45" s="6"/>
      <c r="CQS45" s="6"/>
      <c r="CQT45" s="6"/>
      <c r="CQU45" s="6"/>
      <c r="CQV45" s="6"/>
      <c r="CQW45" s="6"/>
      <c r="CQX45" s="6"/>
      <c r="CQY45" s="6"/>
      <c r="CQZ45" s="6"/>
      <c r="CRA45" s="6"/>
      <c r="CRB45" s="6"/>
      <c r="CRC45" s="6"/>
      <c r="CRD45" s="6"/>
      <c r="CRE45" s="6"/>
      <c r="CRF45" s="6"/>
      <c r="CRG45" s="6"/>
      <c r="CRH45" s="6"/>
      <c r="CRI45" s="6"/>
      <c r="CRJ45" s="6"/>
      <c r="CRK45" s="6"/>
      <c r="CRL45" s="6"/>
      <c r="CRM45" s="6"/>
      <c r="CRN45" s="6"/>
      <c r="CRO45" s="6"/>
      <c r="CRP45" s="6"/>
      <c r="CRQ45" s="6"/>
      <c r="CRR45" s="6"/>
      <c r="CRS45" s="6"/>
      <c r="CRT45" s="6"/>
      <c r="CRU45" s="6"/>
      <c r="CRV45" s="6"/>
      <c r="CRW45" s="6"/>
      <c r="CRX45" s="6"/>
      <c r="CRY45" s="6"/>
      <c r="CRZ45" s="6"/>
      <c r="CSA45" s="6"/>
      <c r="CSB45" s="6"/>
      <c r="CSC45" s="6"/>
      <c r="CSD45" s="6"/>
      <c r="CSE45" s="6"/>
      <c r="CSF45" s="6"/>
      <c r="CSG45" s="6"/>
      <c r="CSH45" s="6"/>
      <c r="CSI45" s="6"/>
      <c r="CSJ45" s="6"/>
      <c r="CSK45" s="6"/>
      <c r="CSL45" s="6"/>
      <c r="CSM45" s="6"/>
      <c r="CSN45" s="6"/>
      <c r="CSO45" s="6"/>
      <c r="CSP45" s="6"/>
      <c r="CSQ45" s="6"/>
      <c r="CSR45" s="6"/>
      <c r="CSS45" s="6"/>
      <c r="CST45" s="6"/>
      <c r="CSU45" s="6"/>
      <c r="CSV45" s="6"/>
      <c r="CSW45" s="6"/>
      <c r="CSX45" s="6"/>
      <c r="CSY45" s="6"/>
      <c r="CSZ45" s="6"/>
      <c r="CTA45" s="6"/>
      <c r="CTB45" s="6"/>
      <c r="CTC45" s="6"/>
      <c r="CTD45" s="6"/>
      <c r="CTE45" s="6"/>
      <c r="CTF45" s="6"/>
      <c r="CTG45" s="6"/>
      <c r="CTH45" s="6"/>
      <c r="CTI45" s="6"/>
      <c r="CTJ45" s="6"/>
      <c r="CTK45" s="6"/>
      <c r="CTL45" s="6"/>
      <c r="CTM45" s="6"/>
      <c r="CTN45" s="6"/>
      <c r="CTO45" s="6"/>
      <c r="CTP45" s="6"/>
      <c r="CTQ45" s="6"/>
      <c r="CTR45" s="6"/>
      <c r="CTS45" s="6"/>
      <c r="CTT45" s="6"/>
      <c r="CTU45" s="6"/>
      <c r="CTV45" s="6"/>
      <c r="CTW45" s="6"/>
      <c r="CTX45" s="6"/>
      <c r="CTY45" s="6"/>
      <c r="CTZ45" s="6"/>
      <c r="CUA45" s="6"/>
      <c r="CUB45" s="6"/>
      <c r="CUC45" s="6"/>
      <c r="CUD45" s="6"/>
      <c r="CUE45" s="6"/>
      <c r="CUF45" s="6"/>
      <c r="CUG45" s="6"/>
      <c r="CUH45" s="6"/>
      <c r="CUI45" s="6"/>
      <c r="CUJ45" s="6"/>
      <c r="CUK45" s="6"/>
      <c r="CUL45" s="6"/>
      <c r="CUM45" s="6"/>
      <c r="CUN45" s="6"/>
      <c r="CUO45" s="6"/>
      <c r="CUP45" s="6"/>
      <c r="CUQ45" s="6"/>
      <c r="CUR45" s="6"/>
      <c r="CUS45" s="6"/>
      <c r="CUT45" s="6"/>
      <c r="CUU45" s="6"/>
      <c r="CUV45" s="6"/>
      <c r="CUW45" s="6"/>
      <c r="CUX45" s="6"/>
      <c r="CUY45" s="6"/>
      <c r="CUZ45" s="6"/>
      <c r="CVA45" s="6"/>
      <c r="CVB45" s="6"/>
      <c r="CVC45" s="6"/>
      <c r="CVD45" s="6"/>
      <c r="CVE45" s="6"/>
      <c r="CVF45" s="6"/>
      <c r="CVG45" s="6"/>
      <c r="CVH45" s="6"/>
      <c r="CVI45" s="6"/>
      <c r="CVJ45" s="6"/>
      <c r="CVK45" s="6"/>
      <c r="CVL45" s="6"/>
      <c r="CVM45" s="6"/>
      <c r="CVN45" s="6"/>
      <c r="CVO45" s="6"/>
      <c r="CVP45" s="6"/>
      <c r="CVQ45" s="6"/>
      <c r="CVR45" s="6"/>
      <c r="CVS45" s="6"/>
      <c r="CVT45" s="6"/>
      <c r="CVU45" s="6"/>
      <c r="CVV45" s="6"/>
      <c r="CVW45" s="6"/>
      <c r="CVX45" s="6"/>
      <c r="CVY45" s="6"/>
      <c r="CVZ45" s="6"/>
      <c r="CWA45" s="6"/>
      <c r="CWB45" s="6"/>
      <c r="CWC45" s="6"/>
      <c r="CWD45" s="6"/>
      <c r="CWE45" s="6"/>
      <c r="CWF45" s="6"/>
      <c r="CWG45" s="6"/>
      <c r="CWH45" s="6"/>
      <c r="CWI45" s="6"/>
      <c r="CWJ45" s="6"/>
      <c r="CWK45" s="6"/>
      <c r="CWL45" s="6"/>
      <c r="CWM45" s="6"/>
      <c r="CWN45" s="6"/>
      <c r="CWO45" s="6"/>
      <c r="CWP45" s="6"/>
      <c r="CWQ45" s="6"/>
      <c r="CWR45" s="6"/>
      <c r="CWS45" s="6"/>
      <c r="CWT45" s="6"/>
      <c r="CWU45" s="6"/>
      <c r="CWV45" s="6"/>
      <c r="CWW45" s="6"/>
      <c r="CWX45" s="6"/>
      <c r="CWY45" s="6"/>
      <c r="CWZ45" s="6"/>
      <c r="CXA45" s="6"/>
      <c r="CXB45" s="6"/>
      <c r="CXC45" s="6"/>
      <c r="CXD45" s="6"/>
      <c r="CXE45" s="6"/>
      <c r="CXF45" s="6"/>
      <c r="CXG45" s="6"/>
      <c r="CXH45" s="6"/>
      <c r="CXI45" s="6"/>
      <c r="CXJ45" s="6"/>
      <c r="CXK45" s="6"/>
      <c r="CXL45" s="6"/>
      <c r="CXM45" s="6"/>
      <c r="CXN45" s="6"/>
      <c r="CXO45" s="6"/>
      <c r="CXP45" s="6"/>
      <c r="CXQ45" s="6"/>
      <c r="CXR45" s="6"/>
      <c r="CXS45" s="6"/>
      <c r="CXT45" s="6"/>
      <c r="CXU45" s="6"/>
      <c r="CXV45" s="6"/>
      <c r="CXW45" s="6"/>
      <c r="CXX45" s="6"/>
      <c r="CXY45" s="6"/>
      <c r="CXZ45" s="6"/>
      <c r="CYA45" s="6"/>
      <c r="CYB45" s="6"/>
      <c r="CYC45" s="6"/>
      <c r="CYD45" s="6"/>
      <c r="CYE45" s="6"/>
      <c r="CYF45" s="6"/>
      <c r="CYG45" s="6"/>
      <c r="CYH45" s="6"/>
      <c r="CYI45" s="6"/>
      <c r="CYJ45" s="6"/>
      <c r="CYK45" s="6"/>
      <c r="CYL45" s="6"/>
      <c r="CYM45" s="6"/>
      <c r="CYN45" s="6"/>
      <c r="CYO45" s="6"/>
      <c r="CYP45" s="6"/>
      <c r="CYQ45" s="6"/>
      <c r="CYR45" s="6"/>
      <c r="CYS45" s="6"/>
      <c r="CYT45" s="6"/>
      <c r="CYU45" s="6"/>
      <c r="CYV45" s="6"/>
      <c r="CYW45" s="6"/>
      <c r="CYX45" s="6"/>
      <c r="CYY45" s="6"/>
      <c r="CYZ45" s="6"/>
      <c r="CZA45" s="6"/>
      <c r="CZB45" s="6"/>
      <c r="CZC45" s="6"/>
      <c r="CZD45" s="6"/>
      <c r="CZE45" s="6"/>
      <c r="CZF45" s="6"/>
      <c r="CZG45" s="6"/>
      <c r="CZH45" s="6"/>
      <c r="CZI45" s="6"/>
      <c r="CZJ45" s="6"/>
      <c r="CZK45" s="6"/>
      <c r="CZL45" s="6"/>
      <c r="CZM45" s="6"/>
      <c r="CZN45" s="6"/>
      <c r="CZO45" s="6"/>
      <c r="CZP45" s="6"/>
      <c r="CZQ45" s="6"/>
      <c r="CZR45" s="6"/>
      <c r="CZS45" s="6"/>
      <c r="CZT45" s="6"/>
      <c r="CZU45" s="6"/>
      <c r="CZV45" s="6"/>
      <c r="CZW45" s="6"/>
      <c r="CZX45" s="6"/>
      <c r="CZY45" s="6"/>
      <c r="CZZ45" s="6"/>
      <c r="DAA45" s="6"/>
      <c r="DAB45" s="6"/>
      <c r="DAC45" s="6"/>
      <c r="DAD45" s="6"/>
      <c r="DAE45" s="6"/>
      <c r="DAF45" s="6"/>
      <c r="DAG45" s="6"/>
      <c r="DAH45" s="6"/>
      <c r="DAI45" s="6"/>
      <c r="DAJ45" s="6"/>
      <c r="DAK45" s="6"/>
      <c r="DAL45" s="6"/>
      <c r="DAM45" s="6"/>
      <c r="DAN45" s="6"/>
      <c r="DAO45" s="6"/>
      <c r="DAP45" s="6"/>
      <c r="DAQ45" s="6"/>
      <c r="DAR45" s="6"/>
      <c r="DAS45" s="6"/>
      <c r="DAT45" s="6"/>
      <c r="DAU45" s="6"/>
      <c r="DAV45" s="6"/>
      <c r="DAW45" s="6"/>
      <c r="DAX45" s="6"/>
      <c r="DAY45" s="6"/>
      <c r="DAZ45" s="6"/>
      <c r="DBA45" s="6"/>
      <c r="DBB45" s="6"/>
      <c r="DBC45" s="6"/>
      <c r="DBD45" s="6"/>
      <c r="DBE45" s="6"/>
      <c r="DBF45" s="6"/>
      <c r="DBG45" s="6"/>
      <c r="DBH45" s="6"/>
      <c r="DBI45" s="6"/>
      <c r="DBJ45" s="6"/>
      <c r="DBK45" s="6"/>
      <c r="DBL45" s="6"/>
      <c r="DBM45" s="6"/>
      <c r="DBN45" s="6"/>
      <c r="DBO45" s="6"/>
      <c r="DBP45" s="6"/>
      <c r="DBQ45" s="6"/>
      <c r="DBR45" s="6"/>
      <c r="DBS45" s="6"/>
      <c r="DBT45" s="6"/>
      <c r="DBU45" s="6"/>
      <c r="DBV45" s="6"/>
      <c r="DBW45" s="6"/>
      <c r="DBX45" s="6"/>
      <c r="DBY45" s="6"/>
      <c r="DBZ45" s="6"/>
      <c r="DCA45" s="6"/>
      <c r="DCB45" s="6"/>
      <c r="DCC45" s="6"/>
      <c r="DCD45" s="6"/>
      <c r="DCE45" s="6"/>
      <c r="DCF45" s="6"/>
      <c r="DCG45" s="6"/>
      <c r="DCH45" s="6"/>
      <c r="DCI45" s="6"/>
      <c r="DCJ45" s="6"/>
      <c r="DCK45" s="6"/>
      <c r="DCL45" s="6"/>
      <c r="DCM45" s="6"/>
      <c r="DCN45" s="6"/>
      <c r="DCO45" s="6"/>
      <c r="DCP45" s="6"/>
      <c r="DCQ45" s="6"/>
      <c r="DCR45" s="6"/>
      <c r="DCS45" s="6"/>
      <c r="DCT45" s="6"/>
      <c r="DCU45" s="6"/>
      <c r="DCV45" s="6"/>
      <c r="DCW45" s="6"/>
      <c r="DCX45" s="6"/>
      <c r="DCY45" s="6"/>
      <c r="DCZ45" s="6"/>
      <c r="DDA45" s="6"/>
      <c r="DDB45" s="6"/>
      <c r="DDC45" s="6"/>
      <c r="DDD45" s="6"/>
      <c r="DDE45" s="6"/>
      <c r="DDF45" s="6"/>
      <c r="DDG45" s="6"/>
      <c r="DDH45" s="6"/>
      <c r="DDI45" s="6"/>
      <c r="DDJ45" s="6"/>
      <c r="DDK45" s="6"/>
      <c r="DDL45" s="6"/>
      <c r="DDM45" s="6"/>
      <c r="DDN45" s="6"/>
      <c r="DDO45" s="6"/>
      <c r="DDP45" s="6"/>
      <c r="DDQ45" s="6"/>
      <c r="DDR45" s="6"/>
      <c r="DDS45" s="6"/>
      <c r="DDT45" s="6"/>
      <c r="DDU45" s="6"/>
      <c r="DDV45" s="6"/>
      <c r="DDW45" s="6"/>
      <c r="DDX45" s="6"/>
      <c r="DDY45" s="6"/>
      <c r="DDZ45" s="6"/>
      <c r="DEA45" s="6"/>
      <c r="DEB45" s="6"/>
      <c r="DEC45" s="6"/>
      <c r="DED45" s="6"/>
      <c r="DEE45" s="6"/>
      <c r="DEF45" s="6"/>
      <c r="DEG45" s="6"/>
      <c r="DEH45" s="6"/>
      <c r="DEI45" s="6"/>
      <c r="DEJ45" s="6"/>
      <c r="DEK45" s="6"/>
      <c r="DEL45" s="6"/>
      <c r="DEM45" s="6"/>
      <c r="DEN45" s="6"/>
      <c r="DEO45" s="6"/>
      <c r="DEP45" s="6"/>
      <c r="DEQ45" s="6"/>
      <c r="DER45" s="6"/>
      <c r="DES45" s="6"/>
      <c r="DET45" s="6"/>
      <c r="DEU45" s="6"/>
      <c r="DEV45" s="6"/>
      <c r="DEW45" s="6"/>
      <c r="DEX45" s="6"/>
      <c r="DEY45" s="6"/>
      <c r="DEZ45" s="6"/>
      <c r="DFA45" s="6"/>
      <c r="DFB45" s="6"/>
      <c r="DFC45" s="6"/>
      <c r="DFD45" s="6"/>
      <c r="DFE45" s="6"/>
      <c r="DFF45" s="6"/>
      <c r="DFG45" s="6"/>
      <c r="DFH45" s="6"/>
      <c r="DFI45" s="6"/>
      <c r="DFJ45" s="6"/>
      <c r="DFK45" s="6"/>
      <c r="DFL45" s="6"/>
      <c r="DFM45" s="6"/>
      <c r="DFN45" s="6"/>
      <c r="DFO45" s="6"/>
      <c r="DFP45" s="6"/>
      <c r="DFQ45" s="6"/>
      <c r="DFR45" s="6"/>
      <c r="DFS45" s="6"/>
      <c r="DFT45" s="6"/>
      <c r="DFU45" s="6"/>
      <c r="DFV45" s="6"/>
      <c r="DFW45" s="6"/>
      <c r="DFX45" s="6"/>
      <c r="DFY45" s="6"/>
      <c r="DFZ45" s="6"/>
      <c r="DGA45" s="6"/>
      <c r="DGB45" s="6"/>
      <c r="DGC45" s="6"/>
      <c r="DGD45" s="6"/>
      <c r="DGE45" s="6"/>
      <c r="DGF45" s="6"/>
      <c r="DGG45" s="6"/>
      <c r="DGH45" s="6"/>
      <c r="DGI45" s="6"/>
      <c r="DGJ45" s="6"/>
      <c r="DGK45" s="6"/>
      <c r="DGL45" s="6"/>
      <c r="DGM45" s="6"/>
      <c r="DGN45" s="6"/>
      <c r="DGO45" s="6"/>
      <c r="DGP45" s="6"/>
      <c r="DGQ45" s="6"/>
      <c r="DGR45" s="6"/>
      <c r="DGS45" s="6"/>
      <c r="DGT45" s="6"/>
      <c r="DGU45" s="6"/>
      <c r="DGV45" s="6"/>
      <c r="DGW45" s="6"/>
      <c r="DGX45" s="6"/>
      <c r="DGY45" s="6"/>
      <c r="DGZ45" s="6"/>
      <c r="DHA45" s="6"/>
      <c r="DHB45" s="6"/>
      <c r="DHC45" s="6"/>
      <c r="DHD45" s="6"/>
      <c r="DHE45" s="6"/>
      <c r="DHF45" s="6"/>
      <c r="DHG45" s="6"/>
      <c r="DHH45" s="6"/>
      <c r="DHI45" s="6"/>
      <c r="DHJ45" s="6"/>
      <c r="DHK45" s="6"/>
      <c r="DHL45" s="6"/>
      <c r="DHM45" s="6"/>
      <c r="DHN45" s="6"/>
      <c r="DHO45" s="6"/>
      <c r="DHP45" s="6"/>
      <c r="DHQ45" s="6"/>
      <c r="DHR45" s="6"/>
      <c r="DHS45" s="6"/>
      <c r="DHT45" s="6"/>
      <c r="DHU45" s="6"/>
      <c r="DHV45" s="6"/>
      <c r="DHW45" s="6"/>
      <c r="DHX45" s="6"/>
      <c r="DHY45" s="6"/>
      <c r="DHZ45" s="6"/>
      <c r="DIA45" s="6"/>
      <c r="DIB45" s="6"/>
      <c r="DIC45" s="6"/>
      <c r="DID45" s="6"/>
      <c r="DIE45" s="6"/>
      <c r="DIF45" s="6"/>
      <c r="DIG45" s="6"/>
      <c r="DIH45" s="6"/>
      <c r="DII45" s="6"/>
      <c r="DIJ45" s="6"/>
      <c r="DIK45" s="6"/>
      <c r="DIL45" s="6"/>
      <c r="DIM45" s="6"/>
      <c r="DIN45" s="6"/>
      <c r="DIO45" s="6"/>
      <c r="DIP45" s="6"/>
      <c r="DIQ45" s="6"/>
      <c r="DIR45" s="6"/>
      <c r="DIS45" s="6"/>
      <c r="DIT45" s="6"/>
      <c r="DIU45" s="6"/>
      <c r="DIV45" s="6"/>
      <c r="DIW45" s="6"/>
      <c r="DIX45" s="6"/>
      <c r="DIY45" s="6"/>
      <c r="DIZ45" s="6"/>
      <c r="DJA45" s="6"/>
      <c r="DJB45" s="6"/>
      <c r="DJC45" s="6"/>
      <c r="DJD45" s="6"/>
      <c r="DJE45" s="6"/>
      <c r="DJF45" s="6"/>
      <c r="DJG45" s="6"/>
      <c r="DJH45" s="6"/>
      <c r="DJI45" s="6"/>
      <c r="DJJ45" s="6"/>
      <c r="DJK45" s="6"/>
      <c r="DJL45" s="6"/>
      <c r="DJM45" s="6"/>
      <c r="DJN45" s="6"/>
      <c r="DJO45" s="6"/>
      <c r="DJP45" s="6"/>
      <c r="DJQ45" s="6"/>
      <c r="DJR45" s="6"/>
      <c r="DJS45" s="6"/>
      <c r="DJT45" s="6"/>
      <c r="DJU45" s="6"/>
      <c r="DJV45" s="6"/>
      <c r="DJW45" s="6"/>
      <c r="DJX45" s="6"/>
      <c r="DJY45" s="6"/>
      <c r="DJZ45" s="6"/>
      <c r="DKA45" s="6"/>
      <c r="DKB45" s="6"/>
      <c r="DKC45" s="6"/>
      <c r="DKD45" s="6"/>
      <c r="DKE45" s="6"/>
      <c r="DKF45" s="6"/>
      <c r="DKG45" s="6"/>
      <c r="DKH45" s="6"/>
      <c r="DKI45" s="6"/>
      <c r="DKJ45" s="6"/>
      <c r="DKK45" s="6"/>
      <c r="DKL45" s="6"/>
      <c r="DKM45" s="6"/>
      <c r="DKN45" s="6"/>
      <c r="DKO45" s="6"/>
      <c r="DKP45" s="6"/>
      <c r="DKQ45" s="6"/>
      <c r="DKR45" s="6"/>
      <c r="DKS45" s="6"/>
      <c r="DKT45" s="6"/>
      <c r="DKU45" s="6"/>
      <c r="DKV45" s="6"/>
      <c r="DKW45" s="6"/>
      <c r="DKX45" s="6"/>
      <c r="DKY45" s="6"/>
      <c r="DKZ45" s="6"/>
      <c r="DLA45" s="6"/>
      <c r="DLB45" s="6"/>
      <c r="DLC45" s="6"/>
      <c r="DLD45" s="6"/>
      <c r="DLE45" s="6"/>
      <c r="DLF45" s="6"/>
      <c r="DLG45" s="6"/>
      <c r="DLH45" s="6"/>
      <c r="DLI45" s="6"/>
      <c r="DLJ45" s="6"/>
      <c r="DLK45" s="6"/>
      <c r="DLL45" s="6"/>
      <c r="DLM45" s="6"/>
      <c r="DLN45" s="6"/>
      <c r="DLO45" s="6"/>
      <c r="DLP45" s="6"/>
      <c r="DLQ45" s="6"/>
      <c r="DLR45" s="6"/>
      <c r="DLS45" s="6"/>
      <c r="DLT45" s="6"/>
      <c r="DLU45" s="6"/>
      <c r="DLV45" s="6"/>
      <c r="DLW45" s="6"/>
      <c r="DLX45" s="6"/>
      <c r="DLY45" s="6"/>
      <c r="DLZ45" s="6"/>
      <c r="DMA45" s="6"/>
      <c r="DMB45" s="6"/>
      <c r="DMC45" s="6"/>
      <c r="DMD45" s="6"/>
      <c r="DME45" s="6"/>
      <c r="DMF45" s="6"/>
      <c r="DMG45" s="6"/>
      <c r="DMH45" s="6"/>
      <c r="DMI45" s="6"/>
      <c r="DMJ45" s="6"/>
      <c r="DMK45" s="6"/>
      <c r="DML45" s="6"/>
      <c r="DMM45" s="6"/>
      <c r="DMN45" s="6"/>
      <c r="DMO45" s="6"/>
      <c r="DMP45" s="6"/>
      <c r="DMQ45" s="6"/>
      <c r="DMR45" s="6"/>
      <c r="DMS45" s="6"/>
      <c r="DMT45" s="6"/>
      <c r="DMU45" s="6"/>
      <c r="DMV45" s="6"/>
      <c r="DMW45" s="6"/>
      <c r="DMX45" s="6"/>
      <c r="DMY45" s="6"/>
      <c r="DMZ45" s="6"/>
      <c r="DNA45" s="6"/>
      <c r="DNB45" s="6"/>
      <c r="DNC45" s="6"/>
      <c r="DND45" s="6"/>
      <c r="DNE45" s="6"/>
      <c r="DNF45" s="6"/>
      <c r="DNG45" s="6"/>
      <c r="DNH45" s="6"/>
      <c r="DNI45" s="6"/>
      <c r="DNJ45" s="6"/>
      <c r="DNK45" s="6"/>
      <c r="DNL45" s="6"/>
      <c r="DNM45" s="6"/>
      <c r="DNN45" s="6"/>
      <c r="DNO45" s="6"/>
      <c r="DNP45" s="6"/>
      <c r="DNQ45" s="6"/>
      <c r="DNR45" s="6"/>
      <c r="DNS45" s="6"/>
      <c r="DNT45" s="6"/>
      <c r="DNU45" s="6"/>
      <c r="DNV45" s="6"/>
      <c r="DNW45" s="6"/>
      <c r="DNX45" s="6"/>
      <c r="DNY45" s="6"/>
      <c r="DNZ45" s="6"/>
      <c r="DOA45" s="6"/>
      <c r="DOB45" s="6"/>
      <c r="DOC45" s="6"/>
      <c r="DOD45" s="6"/>
      <c r="DOE45" s="6"/>
      <c r="DOF45" s="6"/>
      <c r="DOG45" s="6"/>
      <c r="DOH45" s="6"/>
      <c r="DOI45" s="6"/>
      <c r="DOJ45" s="6"/>
      <c r="DOK45" s="6"/>
      <c r="DOL45" s="6"/>
      <c r="DOM45" s="6"/>
      <c r="DON45" s="6"/>
      <c r="DOO45" s="6"/>
      <c r="DOP45" s="6"/>
      <c r="DOQ45" s="6"/>
      <c r="DOR45" s="6"/>
      <c r="DOS45" s="6"/>
      <c r="DOT45" s="6"/>
      <c r="DOU45" s="6"/>
      <c r="DOV45" s="6"/>
      <c r="DOW45" s="6"/>
      <c r="DOX45" s="6"/>
      <c r="DOY45" s="6"/>
      <c r="DOZ45" s="6"/>
      <c r="DPA45" s="6"/>
      <c r="DPB45" s="6"/>
      <c r="DPC45" s="6"/>
      <c r="DPD45" s="6"/>
      <c r="DPE45" s="6"/>
      <c r="DPF45" s="6"/>
      <c r="DPG45" s="6"/>
      <c r="DPH45" s="6"/>
      <c r="DPI45" s="6"/>
      <c r="DPJ45" s="6"/>
      <c r="DPK45" s="6"/>
      <c r="DPL45" s="6"/>
      <c r="DPM45" s="6"/>
      <c r="DPN45" s="6"/>
      <c r="DPO45" s="6"/>
      <c r="DPP45" s="6"/>
      <c r="DPQ45" s="6"/>
      <c r="DPR45" s="6"/>
      <c r="DPS45" s="6"/>
      <c r="DPT45" s="6"/>
      <c r="DPU45" s="6"/>
      <c r="DPV45" s="6"/>
      <c r="DPW45" s="6"/>
      <c r="DPX45" s="6"/>
      <c r="DPY45" s="6"/>
      <c r="DPZ45" s="6"/>
      <c r="DQA45" s="6"/>
      <c r="DQB45" s="6"/>
      <c r="DQC45" s="6"/>
      <c r="DQD45" s="6"/>
      <c r="DQE45" s="6"/>
      <c r="DQF45" s="6"/>
      <c r="DQG45" s="6"/>
      <c r="DQH45" s="6"/>
      <c r="DQI45" s="6"/>
      <c r="DQJ45" s="6"/>
      <c r="DQK45" s="6"/>
      <c r="DQL45" s="6"/>
      <c r="DQM45" s="6"/>
      <c r="DQN45" s="6"/>
      <c r="DQO45" s="6"/>
      <c r="DQP45" s="6"/>
      <c r="DQQ45" s="6"/>
      <c r="DQR45" s="6"/>
      <c r="DQS45" s="6"/>
      <c r="DQT45" s="6"/>
      <c r="DQU45" s="6"/>
      <c r="DQV45" s="6"/>
      <c r="DQW45" s="6"/>
      <c r="DQX45" s="6"/>
      <c r="DQY45" s="6"/>
      <c r="DQZ45" s="6"/>
      <c r="DRA45" s="6"/>
      <c r="DRB45" s="6"/>
      <c r="DRC45" s="6"/>
      <c r="DRD45" s="6"/>
      <c r="DRE45" s="6"/>
      <c r="DRF45" s="6"/>
      <c r="DRG45" s="6"/>
      <c r="DRH45" s="6"/>
      <c r="DRI45" s="6"/>
      <c r="DRJ45" s="6"/>
      <c r="DRK45" s="6"/>
      <c r="DRL45" s="6"/>
      <c r="DRM45" s="6"/>
      <c r="DRN45" s="6"/>
      <c r="DRO45" s="6"/>
      <c r="DRP45" s="6"/>
      <c r="DRQ45" s="6"/>
      <c r="DRR45" s="6"/>
      <c r="DRS45" s="6"/>
      <c r="DRT45" s="6"/>
      <c r="DRU45" s="6"/>
      <c r="DRV45" s="6"/>
      <c r="DRW45" s="6"/>
      <c r="DRX45" s="6"/>
      <c r="DRY45" s="6"/>
      <c r="DRZ45" s="6"/>
      <c r="DSA45" s="6"/>
      <c r="DSB45" s="6"/>
      <c r="DSC45" s="6"/>
      <c r="DSD45" s="6"/>
      <c r="DSE45" s="6"/>
      <c r="DSF45" s="6"/>
      <c r="DSG45" s="6"/>
      <c r="DSH45" s="6"/>
      <c r="DSI45" s="6"/>
      <c r="DSJ45" s="6"/>
      <c r="DSK45" s="6"/>
      <c r="DSL45" s="6"/>
      <c r="DSM45" s="6"/>
      <c r="DSN45" s="6"/>
      <c r="DSO45" s="6"/>
      <c r="DSP45" s="6"/>
      <c r="DSQ45" s="6"/>
      <c r="DSR45" s="6"/>
      <c r="DSS45" s="6"/>
      <c r="DST45" s="6"/>
      <c r="DSU45" s="6"/>
      <c r="DSV45" s="6"/>
      <c r="DSW45" s="6"/>
      <c r="DSX45" s="6"/>
      <c r="DSY45" s="6"/>
      <c r="DSZ45" s="6"/>
      <c r="DTA45" s="6"/>
      <c r="DTB45" s="6"/>
      <c r="DTC45" s="6"/>
      <c r="DTD45" s="6"/>
      <c r="DTE45" s="6"/>
      <c r="DTF45" s="6"/>
      <c r="DTG45" s="6"/>
      <c r="DTH45" s="6"/>
      <c r="DTI45" s="6"/>
      <c r="DTJ45" s="6"/>
      <c r="DTK45" s="6"/>
      <c r="DTL45" s="6"/>
      <c r="DTM45" s="6"/>
      <c r="DTN45" s="6"/>
      <c r="DTO45" s="6"/>
      <c r="DTP45" s="6"/>
      <c r="DTQ45" s="6"/>
      <c r="DTR45" s="6"/>
      <c r="DTS45" s="6"/>
      <c r="DTT45" s="6"/>
      <c r="DTU45" s="6"/>
      <c r="DTV45" s="6"/>
      <c r="DTW45" s="6"/>
      <c r="DTX45" s="6"/>
      <c r="DTY45" s="6"/>
      <c r="DTZ45" s="6"/>
      <c r="DUA45" s="6"/>
      <c r="DUB45" s="6"/>
      <c r="DUC45" s="6"/>
      <c r="DUD45" s="6"/>
      <c r="DUE45" s="6"/>
      <c r="DUF45" s="6"/>
      <c r="DUG45" s="6"/>
      <c r="DUH45" s="6"/>
      <c r="DUI45" s="6"/>
      <c r="DUJ45" s="6"/>
      <c r="DUK45" s="6"/>
      <c r="DUL45" s="6"/>
      <c r="DUM45" s="6"/>
      <c r="DUN45" s="6"/>
      <c r="DUO45" s="6"/>
      <c r="DUP45" s="6"/>
      <c r="DUQ45" s="6"/>
      <c r="DUR45" s="6"/>
      <c r="DUS45" s="6"/>
      <c r="DUT45" s="6"/>
      <c r="DUU45" s="6"/>
      <c r="DUV45" s="6"/>
      <c r="DUW45" s="6"/>
      <c r="DUX45" s="6"/>
      <c r="DUY45" s="6"/>
      <c r="DUZ45" s="6"/>
      <c r="DVA45" s="6"/>
      <c r="DVB45" s="6"/>
      <c r="DVC45" s="6"/>
      <c r="DVD45" s="6"/>
      <c r="DVE45" s="6"/>
      <c r="DVF45" s="6"/>
      <c r="DVG45" s="6"/>
      <c r="DVH45" s="6"/>
      <c r="DVI45" s="6"/>
      <c r="DVJ45" s="6"/>
      <c r="DVK45" s="6"/>
      <c r="DVL45" s="6"/>
      <c r="DVM45" s="6"/>
      <c r="DVN45" s="6"/>
      <c r="DVO45" s="6"/>
      <c r="DVP45" s="6"/>
      <c r="DVQ45" s="6"/>
      <c r="DVR45" s="6"/>
      <c r="DVS45" s="6"/>
      <c r="DVT45" s="6"/>
      <c r="DVU45" s="6"/>
      <c r="DVV45" s="6"/>
      <c r="DVW45" s="6"/>
      <c r="DVX45" s="6"/>
      <c r="DVY45" s="6"/>
      <c r="DVZ45" s="6"/>
      <c r="DWA45" s="6"/>
      <c r="DWB45" s="6"/>
      <c r="DWC45" s="6"/>
      <c r="DWD45" s="6"/>
      <c r="DWE45" s="6"/>
      <c r="DWF45" s="6"/>
      <c r="DWG45" s="6"/>
      <c r="DWH45" s="6"/>
      <c r="DWI45" s="6"/>
      <c r="DWJ45" s="6"/>
      <c r="DWK45" s="6"/>
      <c r="DWL45" s="6"/>
      <c r="DWM45" s="6"/>
      <c r="DWN45" s="6"/>
      <c r="DWO45" s="6"/>
      <c r="DWP45" s="6"/>
      <c r="DWQ45" s="6"/>
      <c r="DWR45" s="6"/>
      <c r="DWS45" s="6"/>
      <c r="DWT45" s="6"/>
      <c r="DWU45" s="6"/>
      <c r="DWV45" s="6"/>
      <c r="DWW45" s="6"/>
      <c r="DWX45" s="6"/>
      <c r="DWY45" s="6"/>
      <c r="DWZ45" s="6"/>
      <c r="DXA45" s="6"/>
      <c r="DXB45" s="6"/>
      <c r="DXC45" s="6"/>
      <c r="DXD45" s="6"/>
      <c r="DXE45" s="6"/>
      <c r="DXF45" s="6"/>
      <c r="DXG45" s="6"/>
      <c r="DXH45" s="6"/>
      <c r="DXI45" s="6"/>
      <c r="DXJ45" s="6"/>
      <c r="DXK45" s="6"/>
      <c r="DXL45" s="6"/>
      <c r="DXM45" s="6"/>
      <c r="DXN45" s="6"/>
      <c r="DXO45" s="6"/>
      <c r="DXP45" s="6"/>
      <c r="DXQ45" s="6"/>
      <c r="DXR45" s="6"/>
      <c r="DXS45" s="6"/>
      <c r="DXT45" s="6"/>
      <c r="DXU45" s="6"/>
      <c r="DXV45" s="6"/>
      <c r="DXW45" s="6"/>
      <c r="DXX45" s="6"/>
      <c r="DXY45" s="6"/>
      <c r="DXZ45" s="6"/>
      <c r="DYA45" s="6"/>
      <c r="DYB45" s="6"/>
      <c r="DYC45" s="6"/>
      <c r="DYD45" s="6"/>
      <c r="DYE45" s="6"/>
      <c r="DYF45" s="6"/>
      <c r="DYG45" s="6"/>
      <c r="DYH45" s="6"/>
      <c r="DYI45" s="6"/>
      <c r="DYJ45" s="6"/>
      <c r="DYK45" s="6"/>
      <c r="DYL45" s="6"/>
      <c r="DYM45" s="6"/>
      <c r="DYN45" s="6"/>
      <c r="DYO45" s="6"/>
      <c r="DYP45" s="6"/>
      <c r="DYQ45" s="6"/>
      <c r="DYR45" s="6"/>
      <c r="DYS45" s="6"/>
      <c r="DYT45" s="6"/>
      <c r="DYU45" s="6"/>
      <c r="DYV45" s="6"/>
      <c r="DYW45" s="6"/>
      <c r="DYX45" s="6"/>
      <c r="DYY45" s="6"/>
      <c r="DYZ45" s="6"/>
      <c r="DZA45" s="6"/>
      <c r="DZB45" s="6"/>
      <c r="DZC45" s="6"/>
      <c r="DZD45" s="6"/>
      <c r="DZE45" s="6"/>
      <c r="DZF45" s="6"/>
      <c r="DZG45" s="6"/>
      <c r="DZH45" s="6"/>
      <c r="DZI45" s="6"/>
      <c r="DZJ45" s="6"/>
      <c r="DZK45" s="6"/>
      <c r="DZL45" s="6"/>
      <c r="DZM45" s="6"/>
      <c r="DZN45" s="6"/>
      <c r="DZO45" s="6"/>
      <c r="DZP45" s="6"/>
      <c r="DZQ45" s="6"/>
      <c r="DZR45" s="6"/>
      <c r="DZS45" s="6"/>
      <c r="DZT45" s="6"/>
      <c r="DZU45" s="6"/>
      <c r="DZV45" s="6"/>
      <c r="DZW45" s="6"/>
      <c r="DZX45" s="6"/>
      <c r="DZY45" s="6"/>
      <c r="DZZ45" s="6"/>
      <c r="EAA45" s="6"/>
      <c r="EAB45" s="6"/>
      <c r="EAC45" s="6"/>
      <c r="EAD45" s="6"/>
      <c r="EAE45" s="6"/>
      <c r="EAF45" s="6"/>
      <c r="EAG45" s="6"/>
      <c r="EAH45" s="6"/>
      <c r="EAI45" s="6"/>
      <c r="EAJ45" s="6"/>
      <c r="EAK45" s="6"/>
      <c r="EAL45" s="6"/>
      <c r="EAM45" s="6"/>
      <c r="EAN45" s="6"/>
      <c r="EAO45" s="6"/>
      <c r="EAP45" s="6"/>
      <c r="EAQ45" s="6"/>
      <c r="EAR45" s="6"/>
      <c r="EAS45" s="6"/>
      <c r="EAT45" s="6"/>
      <c r="EAU45" s="6"/>
      <c r="EAV45" s="6"/>
      <c r="EAW45" s="6"/>
      <c r="EAX45" s="6"/>
      <c r="EAY45" s="6"/>
      <c r="EAZ45" s="6"/>
      <c r="EBA45" s="6"/>
      <c r="EBB45" s="6"/>
      <c r="EBC45" s="6"/>
      <c r="EBD45" s="6"/>
      <c r="EBE45" s="6"/>
      <c r="EBF45" s="6"/>
      <c r="EBG45" s="6"/>
      <c r="EBH45" s="6"/>
      <c r="EBI45" s="6"/>
      <c r="EBJ45" s="6"/>
      <c r="EBK45" s="6"/>
      <c r="EBL45" s="6"/>
      <c r="EBM45" s="6"/>
      <c r="EBN45" s="6"/>
      <c r="EBO45" s="6"/>
      <c r="EBP45" s="6"/>
      <c r="EBQ45" s="6"/>
      <c r="EBR45" s="6"/>
      <c r="EBS45" s="6"/>
      <c r="EBT45" s="6"/>
      <c r="EBU45" s="6"/>
      <c r="EBV45" s="6"/>
      <c r="EBW45" s="6"/>
      <c r="EBX45" s="6"/>
      <c r="EBY45" s="6"/>
      <c r="EBZ45" s="6"/>
      <c r="ECA45" s="6"/>
      <c r="ECB45" s="6"/>
      <c r="ECC45" s="6"/>
      <c r="ECD45" s="6"/>
      <c r="ECE45" s="6"/>
      <c r="ECF45" s="6"/>
      <c r="ECG45" s="6"/>
      <c r="ECH45" s="6"/>
      <c r="ECI45" s="6"/>
      <c r="ECJ45" s="6"/>
      <c r="ECK45" s="6"/>
      <c r="ECL45" s="6"/>
      <c r="ECM45" s="6"/>
      <c r="ECN45" s="6"/>
      <c r="ECO45" s="6"/>
      <c r="ECP45" s="6"/>
      <c r="ECQ45" s="6"/>
      <c r="ECR45" s="6"/>
      <c r="ECS45" s="6"/>
      <c r="ECT45" s="6"/>
      <c r="ECU45" s="6"/>
      <c r="ECV45" s="6"/>
      <c r="ECW45" s="6"/>
      <c r="ECX45" s="6"/>
      <c r="ECY45" s="6"/>
      <c r="ECZ45" s="6"/>
      <c r="EDA45" s="6"/>
      <c r="EDB45" s="6"/>
      <c r="EDC45" s="6"/>
      <c r="EDD45" s="6"/>
      <c r="EDE45" s="6"/>
      <c r="EDF45" s="6"/>
      <c r="EDG45" s="6"/>
      <c r="EDH45" s="6"/>
      <c r="EDI45" s="6"/>
      <c r="EDJ45" s="6"/>
      <c r="EDK45" s="6"/>
      <c r="EDL45" s="6"/>
      <c r="EDM45" s="6"/>
      <c r="EDN45" s="6"/>
      <c r="EDO45" s="6"/>
      <c r="EDP45" s="6"/>
      <c r="EDQ45" s="6"/>
      <c r="EDR45" s="6"/>
      <c r="EDS45" s="6"/>
      <c r="EDT45" s="6"/>
      <c r="EDU45" s="6"/>
      <c r="EDV45" s="6"/>
      <c r="EDW45" s="6"/>
      <c r="EDX45" s="6"/>
      <c r="EDY45" s="6"/>
      <c r="EDZ45" s="6"/>
      <c r="EEA45" s="6"/>
      <c r="EEB45" s="6"/>
      <c r="EEC45" s="6"/>
      <c r="EED45" s="6"/>
      <c r="EEE45" s="6"/>
      <c r="EEF45" s="6"/>
      <c r="EEG45" s="6"/>
      <c r="EEH45" s="6"/>
      <c r="EEI45" s="6"/>
      <c r="EEJ45" s="6"/>
      <c r="EEK45" s="6"/>
      <c r="EEL45" s="6"/>
      <c r="EEM45" s="6"/>
      <c r="EEN45" s="6"/>
      <c r="EEO45" s="6"/>
      <c r="EEP45" s="6"/>
      <c r="EEQ45" s="6"/>
      <c r="EER45" s="6"/>
      <c r="EES45" s="6"/>
      <c r="EET45" s="6"/>
      <c r="EEU45" s="6"/>
      <c r="EEV45" s="6"/>
      <c r="EEW45" s="6"/>
      <c r="EEX45" s="6"/>
      <c r="EEY45" s="6"/>
      <c r="EEZ45" s="6"/>
      <c r="EFA45" s="6"/>
      <c r="EFB45" s="6"/>
      <c r="EFC45" s="6"/>
      <c r="EFD45" s="6"/>
      <c r="EFE45" s="6"/>
      <c r="EFF45" s="6"/>
      <c r="EFG45" s="6"/>
      <c r="EFH45" s="6"/>
      <c r="EFI45" s="6"/>
      <c r="EFJ45" s="6"/>
      <c r="EFK45" s="6"/>
      <c r="EFL45" s="6"/>
      <c r="EFM45" s="6"/>
      <c r="EFN45" s="6"/>
      <c r="EFO45" s="6"/>
      <c r="EFP45" s="6"/>
      <c r="EFQ45" s="6"/>
      <c r="EFR45" s="6"/>
      <c r="EFS45" s="6"/>
      <c r="EFT45" s="6"/>
      <c r="EFU45" s="6"/>
      <c r="EFV45" s="6"/>
      <c r="EFW45" s="6"/>
      <c r="EFX45" s="6"/>
      <c r="EFY45" s="6"/>
      <c r="EFZ45" s="6"/>
      <c r="EGA45" s="6"/>
      <c r="EGB45" s="6"/>
      <c r="EGC45" s="6"/>
      <c r="EGD45" s="6"/>
      <c r="EGE45" s="6"/>
      <c r="EGF45" s="6"/>
      <c r="EGG45" s="6"/>
      <c r="EGH45" s="6"/>
      <c r="EGI45" s="6"/>
      <c r="EGJ45" s="6"/>
      <c r="EGK45" s="6"/>
      <c r="EGL45" s="6"/>
      <c r="EGM45" s="6"/>
      <c r="EGN45" s="6"/>
      <c r="EGO45" s="6"/>
      <c r="EGP45" s="6"/>
      <c r="EGQ45" s="6"/>
      <c r="EGR45" s="6"/>
      <c r="EGS45" s="6"/>
      <c r="EGT45" s="6"/>
      <c r="EGU45" s="6"/>
      <c r="EGV45" s="6"/>
      <c r="EGW45" s="6"/>
      <c r="EGX45" s="6"/>
      <c r="EGY45" s="6"/>
      <c r="EGZ45" s="6"/>
      <c r="EHA45" s="6"/>
      <c r="EHB45" s="6"/>
      <c r="EHC45" s="6"/>
      <c r="EHD45" s="6"/>
      <c r="EHE45" s="6"/>
      <c r="EHF45" s="6"/>
      <c r="EHG45" s="6"/>
      <c r="EHH45" s="6"/>
      <c r="EHI45" s="6"/>
      <c r="EHJ45" s="6"/>
      <c r="EHK45" s="6"/>
      <c r="EHL45" s="6"/>
      <c r="EHM45" s="6"/>
      <c r="EHN45" s="6"/>
      <c r="EHO45" s="6"/>
      <c r="EHP45" s="6"/>
      <c r="EHQ45" s="6"/>
      <c r="EHR45" s="6"/>
      <c r="EHS45" s="6"/>
      <c r="EHT45" s="6"/>
      <c r="EHU45" s="6"/>
      <c r="EHV45" s="6"/>
      <c r="EHW45" s="6"/>
      <c r="EHX45" s="6"/>
      <c r="EHY45" s="6"/>
      <c r="EHZ45" s="6"/>
      <c r="EIA45" s="6"/>
      <c r="EIB45" s="6"/>
      <c r="EIC45" s="6"/>
      <c r="EID45" s="6"/>
      <c r="EIE45" s="6"/>
      <c r="EIF45" s="6"/>
      <c r="EIG45" s="6"/>
      <c r="EIH45" s="6"/>
      <c r="EII45" s="6"/>
      <c r="EIJ45" s="6"/>
      <c r="EIK45" s="6"/>
      <c r="EIL45" s="6"/>
      <c r="EIM45" s="6"/>
      <c r="EIN45" s="6"/>
      <c r="EIO45" s="6"/>
      <c r="EIP45" s="6"/>
      <c r="EIQ45" s="6"/>
      <c r="EIR45" s="6"/>
      <c r="EIS45" s="6"/>
      <c r="EIT45" s="6"/>
      <c r="EIU45" s="6"/>
      <c r="EIV45" s="6"/>
      <c r="EIW45" s="6"/>
      <c r="EIX45" s="6"/>
      <c r="EIY45" s="6"/>
      <c r="EIZ45" s="6"/>
      <c r="EJA45" s="6"/>
      <c r="EJB45" s="6"/>
      <c r="EJC45" s="6"/>
      <c r="EJD45" s="6"/>
      <c r="EJE45" s="6"/>
      <c r="EJF45" s="6"/>
      <c r="EJG45" s="6"/>
      <c r="EJH45" s="6"/>
      <c r="EJI45" s="6"/>
      <c r="EJJ45" s="6"/>
      <c r="EJK45" s="6"/>
      <c r="EJL45" s="6"/>
      <c r="EJM45" s="6"/>
      <c r="EJN45" s="6"/>
      <c r="EJO45" s="6"/>
      <c r="EJP45" s="6"/>
      <c r="EJQ45" s="6"/>
      <c r="EJR45" s="6"/>
      <c r="EJS45" s="6"/>
      <c r="EJT45" s="6"/>
      <c r="EJU45" s="6"/>
      <c r="EJV45" s="6"/>
      <c r="EJW45" s="6"/>
      <c r="EJX45" s="6"/>
      <c r="EJY45" s="6"/>
      <c r="EJZ45" s="6"/>
      <c r="EKA45" s="6"/>
      <c r="EKB45" s="6"/>
      <c r="EKC45" s="6"/>
      <c r="EKD45" s="6"/>
      <c r="EKE45" s="6"/>
      <c r="EKF45" s="6"/>
      <c r="EKG45" s="6"/>
      <c r="EKH45" s="6"/>
      <c r="EKI45" s="6"/>
      <c r="EKJ45" s="6"/>
      <c r="EKK45" s="6"/>
      <c r="EKL45" s="6"/>
      <c r="EKM45" s="6"/>
      <c r="EKN45" s="6"/>
      <c r="EKO45" s="6"/>
      <c r="EKP45" s="6"/>
      <c r="EKQ45" s="6"/>
      <c r="EKR45" s="6"/>
      <c r="EKS45" s="6"/>
      <c r="EKT45" s="6"/>
      <c r="EKU45" s="6"/>
      <c r="EKV45" s="6"/>
      <c r="EKW45" s="6"/>
      <c r="EKX45" s="6"/>
      <c r="EKY45" s="6"/>
      <c r="EKZ45" s="6"/>
      <c r="ELA45" s="6"/>
      <c r="ELB45" s="6"/>
      <c r="ELC45" s="6"/>
      <c r="ELD45" s="6"/>
      <c r="ELE45" s="6"/>
      <c r="ELF45" s="6"/>
      <c r="ELG45" s="6"/>
      <c r="ELH45" s="6"/>
      <c r="ELI45" s="6"/>
      <c r="ELJ45" s="6"/>
      <c r="ELK45" s="6"/>
      <c r="ELL45" s="6"/>
      <c r="ELM45" s="6"/>
      <c r="ELN45" s="6"/>
      <c r="ELO45" s="6"/>
      <c r="ELP45" s="6"/>
      <c r="ELQ45" s="6"/>
      <c r="ELR45" s="6"/>
      <c r="ELS45" s="6"/>
      <c r="ELT45" s="6"/>
      <c r="ELU45" s="6"/>
      <c r="ELV45" s="6"/>
      <c r="ELW45" s="6"/>
      <c r="ELX45" s="6"/>
      <c r="ELY45" s="6"/>
      <c r="ELZ45" s="6"/>
      <c r="EMA45" s="6"/>
      <c r="EMB45" s="6"/>
      <c r="EMC45" s="6"/>
      <c r="EMD45" s="6"/>
      <c r="EME45" s="6"/>
      <c r="EMF45" s="6"/>
      <c r="EMG45" s="6"/>
      <c r="EMH45" s="6"/>
      <c r="EMI45" s="6"/>
      <c r="EMJ45" s="6"/>
      <c r="EMK45" s="6"/>
      <c r="EML45" s="6"/>
      <c r="EMM45" s="6"/>
      <c r="EMN45" s="6"/>
      <c r="EMO45" s="6"/>
      <c r="EMP45" s="6"/>
      <c r="EMQ45" s="6"/>
      <c r="EMR45" s="6"/>
      <c r="EMS45" s="6"/>
      <c r="EMT45" s="6"/>
      <c r="EMU45" s="6"/>
      <c r="EMV45" s="6"/>
      <c r="EMW45" s="6"/>
      <c r="EMX45" s="6"/>
      <c r="EMY45" s="6"/>
      <c r="EMZ45" s="6"/>
      <c r="ENA45" s="6"/>
      <c r="ENB45" s="6"/>
      <c r="ENC45" s="6"/>
      <c r="END45" s="6"/>
      <c r="ENE45" s="6"/>
      <c r="ENF45" s="6"/>
      <c r="ENG45" s="6"/>
      <c r="ENH45" s="6"/>
      <c r="ENI45" s="6"/>
      <c r="ENJ45" s="6"/>
      <c r="ENK45" s="6"/>
      <c r="ENL45" s="6"/>
      <c r="ENM45" s="6"/>
      <c r="ENN45" s="6"/>
      <c r="ENO45" s="6"/>
      <c r="ENP45" s="6"/>
      <c r="ENQ45" s="6"/>
      <c r="ENR45" s="6"/>
      <c r="ENS45" s="6"/>
      <c r="ENT45" s="6"/>
      <c r="ENU45" s="6"/>
      <c r="ENV45" s="6"/>
      <c r="ENW45" s="6"/>
      <c r="ENX45" s="6"/>
      <c r="ENY45" s="6"/>
      <c r="ENZ45" s="6"/>
      <c r="EOA45" s="6"/>
      <c r="EOB45" s="6"/>
      <c r="EOC45" s="6"/>
      <c r="EOD45" s="6"/>
      <c r="EOE45" s="6"/>
      <c r="EOF45" s="6"/>
      <c r="EOG45" s="6"/>
      <c r="EOH45" s="6"/>
      <c r="EOI45" s="6"/>
      <c r="EOJ45" s="6"/>
      <c r="EOK45" s="6"/>
      <c r="EOL45" s="6"/>
      <c r="EOM45" s="6"/>
      <c r="EON45" s="6"/>
      <c r="EOO45" s="6"/>
      <c r="EOP45" s="6"/>
      <c r="EOQ45" s="6"/>
      <c r="EOR45" s="6"/>
      <c r="EOS45" s="6"/>
      <c r="EOT45" s="6"/>
      <c r="EOU45" s="6"/>
      <c r="EOV45" s="6"/>
      <c r="EOW45" s="6"/>
      <c r="EOX45" s="6"/>
      <c r="EOY45" s="6"/>
      <c r="EOZ45" s="6"/>
      <c r="EPA45" s="6"/>
      <c r="EPB45" s="6"/>
      <c r="EPC45" s="6"/>
      <c r="EPD45" s="6"/>
      <c r="EPE45" s="6"/>
      <c r="EPF45" s="6"/>
      <c r="EPG45" s="6"/>
      <c r="EPH45" s="6"/>
      <c r="EPI45" s="6"/>
      <c r="EPJ45" s="6"/>
      <c r="EPK45" s="6"/>
      <c r="EPL45" s="6"/>
      <c r="EPM45" s="6"/>
      <c r="EPN45" s="6"/>
      <c r="EPO45" s="6"/>
      <c r="EPP45" s="6"/>
      <c r="EPQ45" s="6"/>
      <c r="EPR45" s="6"/>
      <c r="EPS45" s="6"/>
      <c r="EPT45" s="6"/>
      <c r="EPU45" s="6"/>
      <c r="EPV45" s="6"/>
      <c r="EPW45" s="6"/>
      <c r="EPX45" s="6"/>
      <c r="EPY45" s="6"/>
      <c r="EPZ45" s="6"/>
      <c r="EQA45" s="6"/>
      <c r="EQB45" s="6"/>
      <c r="EQC45" s="6"/>
      <c r="EQD45" s="6"/>
      <c r="EQE45" s="6"/>
      <c r="EQF45" s="6"/>
      <c r="EQG45" s="6"/>
      <c r="EQH45" s="6"/>
      <c r="EQI45" s="6"/>
      <c r="EQJ45" s="6"/>
      <c r="EQK45" s="6"/>
      <c r="EQL45" s="6"/>
      <c r="EQM45" s="6"/>
      <c r="EQN45" s="6"/>
      <c r="EQO45" s="6"/>
      <c r="EQP45" s="6"/>
      <c r="EQQ45" s="6"/>
      <c r="EQR45" s="6"/>
      <c r="EQS45" s="6"/>
      <c r="EQT45" s="6"/>
      <c r="EQU45" s="6"/>
      <c r="EQV45" s="6"/>
      <c r="EQW45" s="6"/>
      <c r="EQX45" s="6"/>
      <c r="EQY45" s="6"/>
      <c r="EQZ45" s="6"/>
      <c r="ERA45" s="6"/>
      <c r="ERB45" s="6"/>
      <c r="ERC45" s="6"/>
      <c r="ERD45" s="6"/>
      <c r="ERE45" s="6"/>
      <c r="ERF45" s="6"/>
      <c r="ERG45" s="6"/>
      <c r="ERH45" s="6"/>
      <c r="ERI45" s="6"/>
      <c r="ERJ45" s="6"/>
      <c r="ERK45" s="6"/>
      <c r="ERL45" s="6"/>
      <c r="ERM45" s="6"/>
      <c r="ERN45" s="6"/>
      <c r="ERO45" s="6"/>
      <c r="ERP45" s="6"/>
      <c r="ERQ45" s="6"/>
      <c r="ERR45" s="6"/>
      <c r="ERS45" s="6"/>
      <c r="ERT45" s="6"/>
      <c r="ERU45" s="6"/>
      <c r="ERV45" s="6"/>
      <c r="ERW45" s="6"/>
      <c r="ERX45" s="6"/>
      <c r="ERY45" s="6"/>
      <c r="ERZ45" s="6"/>
      <c r="ESA45" s="6"/>
      <c r="ESB45" s="6"/>
      <c r="ESC45" s="6"/>
      <c r="ESD45" s="6"/>
      <c r="ESE45" s="6"/>
      <c r="ESF45" s="6"/>
      <c r="ESG45" s="6"/>
      <c r="ESH45" s="6"/>
      <c r="ESI45" s="6"/>
      <c r="ESJ45" s="6"/>
      <c r="ESK45" s="6"/>
      <c r="ESL45" s="6"/>
      <c r="ESM45" s="6"/>
      <c r="ESN45" s="6"/>
      <c r="ESO45" s="6"/>
      <c r="ESP45" s="6"/>
      <c r="ESQ45" s="6"/>
      <c r="ESR45" s="6"/>
      <c r="ESS45" s="6"/>
      <c r="EST45" s="6"/>
      <c r="ESU45" s="6"/>
      <c r="ESV45" s="6"/>
      <c r="ESW45" s="6"/>
      <c r="ESX45" s="6"/>
      <c r="ESY45" s="6"/>
      <c r="ESZ45" s="6"/>
      <c r="ETA45" s="6"/>
      <c r="ETB45" s="6"/>
      <c r="ETC45" s="6"/>
      <c r="ETD45" s="6"/>
      <c r="ETE45" s="6"/>
      <c r="ETF45" s="6"/>
      <c r="ETG45" s="6"/>
      <c r="ETH45" s="6"/>
      <c r="ETI45" s="6"/>
      <c r="ETJ45" s="6"/>
      <c r="ETK45" s="6"/>
      <c r="ETL45" s="6"/>
      <c r="ETM45" s="6"/>
      <c r="ETN45" s="6"/>
      <c r="ETO45" s="6"/>
      <c r="ETP45" s="6"/>
      <c r="ETQ45" s="6"/>
      <c r="ETR45" s="6"/>
      <c r="ETS45" s="6"/>
      <c r="ETT45" s="6"/>
      <c r="ETU45" s="6"/>
      <c r="ETV45" s="6"/>
      <c r="ETW45" s="6"/>
      <c r="ETX45" s="6"/>
      <c r="ETY45" s="6"/>
      <c r="ETZ45" s="6"/>
      <c r="EUA45" s="6"/>
      <c r="EUB45" s="6"/>
      <c r="EUC45" s="6"/>
      <c r="EUD45" s="6"/>
      <c r="EUE45" s="6"/>
      <c r="EUF45" s="6"/>
      <c r="EUG45" s="6"/>
      <c r="EUH45" s="6"/>
      <c r="EUI45" s="6"/>
      <c r="EUJ45" s="6"/>
      <c r="EUK45" s="6"/>
      <c r="EUL45" s="6"/>
      <c r="EUM45" s="6"/>
      <c r="EUN45" s="6"/>
      <c r="EUO45" s="6"/>
      <c r="EUP45" s="6"/>
      <c r="EUQ45" s="6"/>
      <c r="EUR45" s="6"/>
      <c r="EUS45" s="6"/>
      <c r="EUT45" s="6"/>
      <c r="EUU45" s="6"/>
      <c r="EUV45" s="6"/>
      <c r="EUW45" s="6"/>
      <c r="EUX45" s="6"/>
      <c r="EUY45" s="6"/>
      <c r="EUZ45" s="6"/>
      <c r="EVA45" s="6"/>
      <c r="EVB45" s="6"/>
      <c r="EVC45" s="6"/>
      <c r="EVD45" s="6"/>
      <c r="EVE45" s="6"/>
      <c r="EVF45" s="6"/>
      <c r="EVG45" s="6"/>
      <c r="EVH45" s="6"/>
      <c r="EVI45" s="6"/>
      <c r="EVJ45" s="6"/>
      <c r="EVK45" s="6"/>
      <c r="EVL45" s="6"/>
      <c r="EVM45" s="6"/>
      <c r="EVN45" s="6"/>
      <c r="EVO45" s="6"/>
      <c r="EVP45" s="6"/>
      <c r="EVQ45" s="6"/>
      <c r="EVR45" s="6"/>
      <c r="EVS45" s="6"/>
      <c r="EVT45" s="6"/>
      <c r="EVU45" s="6"/>
      <c r="EVV45" s="6"/>
      <c r="EVW45" s="6"/>
      <c r="EVX45" s="6"/>
      <c r="EVY45" s="6"/>
      <c r="EVZ45" s="6"/>
      <c r="EWA45" s="6"/>
      <c r="EWB45" s="6"/>
      <c r="EWC45" s="6"/>
      <c r="EWD45" s="6"/>
      <c r="EWE45" s="6"/>
      <c r="EWF45" s="6"/>
      <c r="EWG45" s="6"/>
      <c r="EWH45" s="6"/>
      <c r="EWI45" s="6"/>
      <c r="EWJ45" s="6"/>
      <c r="EWK45" s="6"/>
      <c r="EWL45" s="6"/>
      <c r="EWM45" s="6"/>
      <c r="EWN45" s="6"/>
      <c r="EWO45" s="6"/>
      <c r="EWP45" s="6"/>
      <c r="EWQ45" s="6"/>
      <c r="EWR45" s="6"/>
      <c r="EWS45" s="6"/>
      <c r="EWT45" s="6"/>
      <c r="EWU45" s="6"/>
      <c r="EWV45" s="6"/>
      <c r="EWW45" s="6"/>
      <c r="EWX45" s="6"/>
      <c r="EWY45" s="6"/>
      <c r="EWZ45" s="6"/>
      <c r="EXA45" s="6"/>
      <c r="EXB45" s="6"/>
      <c r="EXC45" s="6"/>
      <c r="EXD45" s="6"/>
      <c r="EXE45" s="6"/>
      <c r="EXF45" s="6"/>
      <c r="EXG45" s="6"/>
      <c r="EXH45" s="6"/>
      <c r="EXI45" s="6"/>
      <c r="EXJ45" s="6"/>
      <c r="EXK45" s="6"/>
      <c r="EXL45" s="6"/>
      <c r="EXM45" s="6"/>
      <c r="EXN45" s="6"/>
      <c r="EXO45" s="6"/>
      <c r="EXP45" s="6"/>
      <c r="EXQ45" s="6"/>
      <c r="EXR45" s="6"/>
      <c r="EXS45" s="6"/>
      <c r="EXT45" s="6"/>
      <c r="EXU45" s="6"/>
      <c r="EXV45" s="6"/>
      <c r="EXW45" s="6"/>
      <c r="EXX45" s="6"/>
      <c r="EXY45" s="6"/>
      <c r="EXZ45" s="6"/>
      <c r="EYA45" s="6"/>
      <c r="EYB45" s="6"/>
      <c r="EYC45" s="6"/>
      <c r="EYD45" s="6"/>
      <c r="EYE45" s="6"/>
      <c r="EYF45" s="6"/>
      <c r="EYG45" s="6"/>
      <c r="EYH45" s="6"/>
      <c r="EYI45" s="6"/>
      <c r="EYJ45" s="6"/>
      <c r="EYK45" s="6"/>
      <c r="EYL45" s="6"/>
      <c r="EYM45" s="6"/>
      <c r="EYN45" s="6"/>
      <c r="EYO45" s="6"/>
      <c r="EYP45" s="6"/>
      <c r="EYQ45" s="6"/>
      <c r="EYR45" s="6"/>
      <c r="EYS45" s="6"/>
      <c r="EYT45" s="6"/>
      <c r="EYU45" s="6"/>
      <c r="EYV45" s="6"/>
      <c r="EYW45" s="6"/>
      <c r="EYX45" s="6"/>
      <c r="EYY45" s="6"/>
      <c r="EYZ45" s="6"/>
      <c r="EZA45" s="6"/>
      <c r="EZB45" s="6"/>
      <c r="EZC45" s="6"/>
      <c r="EZD45" s="6"/>
      <c r="EZE45" s="6"/>
      <c r="EZF45" s="6"/>
      <c r="EZG45" s="6"/>
      <c r="EZH45" s="6"/>
      <c r="EZI45" s="6"/>
      <c r="EZJ45" s="6"/>
      <c r="EZK45" s="6"/>
      <c r="EZL45" s="6"/>
      <c r="EZM45" s="6"/>
      <c r="EZN45" s="6"/>
      <c r="EZO45" s="6"/>
      <c r="EZP45" s="6"/>
      <c r="EZQ45" s="6"/>
      <c r="EZR45" s="6"/>
      <c r="EZS45" s="6"/>
      <c r="EZT45" s="6"/>
      <c r="EZU45" s="6"/>
      <c r="EZV45" s="6"/>
      <c r="EZW45" s="6"/>
      <c r="EZX45" s="6"/>
      <c r="EZY45" s="6"/>
      <c r="EZZ45" s="6"/>
      <c r="FAA45" s="6"/>
      <c r="FAB45" s="6"/>
      <c r="FAC45" s="6"/>
      <c r="FAD45" s="6"/>
      <c r="FAE45" s="6"/>
      <c r="FAF45" s="6"/>
      <c r="FAG45" s="6"/>
      <c r="FAH45" s="6"/>
      <c r="FAI45" s="6"/>
      <c r="FAJ45" s="6"/>
      <c r="FAK45" s="6"/>
      <c r="FAL45" s="6"/>
      <c r="FAM45" s="6"/>
      <c r="FAN45" s="6"/>
      <c r="FAO45" s="6"/>
      <c r="FAP45" s="6"/>
      <c r="FAQ45" s="6"/>
      <c r="FAR45" s="6"/>
      <c r="FAS45" s="6"/>
      <c r="FAT45" s="6"/>
      <c r="FAU45" s="6"/>
      <c r="FAV45" s="6"/>
      <c r="FAW45" s="6"/>
      <c r="FAX45" s="6"/>
      <c r="FAY45" s="6"/>
      <c r="FAZ45" s="6"/>
      <c r="FBA45" s="6"/>
      <c r="FBB45" s="6"/>
      <c r="FBC45" s="6"/>
      <c r="FBD45" s="6"/>
      <c r="FBE45" s="6"/>
      <c r="FBF45" s="6"/>
      <c r="FBG45" s="6"/>
      <c r="FBH45" s="6"/>
      <c r="FBI45" s="6"/>
      <c r="FBJ45" s="6"/>
      <c r="FBK45" s="6"/>
      <c r="FBL45" s="6"/>
      <c r="FBM45" s="6"/>
      <c r="FBN45" s="6"/>
      <c r="FBO45" s="6"/>
      <c r="FBP45" s="6"/>
      <c r="FBQ45" s="6"/>
      <c r="FBR45" s="6"/>
      <c r="FBS45" s="6"/>
      <c r="FBT45" s="6"/>
      <c r="FBU45" s="6"/>
      <c r="FBV45" s="6"/>
      <c r="FBW45" s="6"/>
      <c r="FBX45" s="6"/>
      <c r="FBY45" s="6"/>
      <c r="FBZ45" s="6"/>
      <c r="FCA45" s="6"/>
      <c r="FCB45" s="6"/>
      <c r="FCC45" s="6"/>
      <c r="FCD45" s="6"/>
      <c r="FCE45" s="6"/>
      <c r="FCF45" s="6"/>
      <c r="FCG45" s="6"/>
      <c r="FCH45" s="6"/>
      <c r="FCI45" s="6"/>
      <c r="FCJ45" s="6"/>
      <c r="FCK45" s="6"/>
      <c r="FCL45" s="6"/>
      <c r="FCM45" s="6"/>
      <c r="FCN45" s="6"/>
      <c r="FCO45" s="6"/>
      <c r="FCP45" s="6"/>
      <c r="FCQ45" s="6"/>
      <c r="FCR45" s="6"/>
      <c r="FCS45" s="6"/>
      <c r="FCT45" s="6"/>
      <c r="FCU45" s="6"/>
      <c r="FCV45" s="6"/>
      <c r="FCW45" s="6"/>
      <c r="FCX45" s="6"/>
      <c r="FCY45" s="6"/>
      <c r="FCZ45" s="6"/>
      <c r="FDA45" s="6"/>
      <c r="FDB45" s="6"/>
      <c r="FDC45" s="6"/>
      <c r="FDD45" s="6"/>
      <c r="FDE45" s="6"/>
      <c r="FDF45" s="6"/>
      <c r="FDG45" s="6"/>
      <c r="FDH45" s="6"/>
      <c r="FDI45" s="6"/>
      <c r="FDJ45" s="6"/>
      <c r="FDK45" s="6"/>
      <c r="FDL45" s="6"/>
      <c r="FDM45" s="6"/>
      <c r="FDN45" s="6"/>
      <c r="FDO45" s="6"/>
      <c r="FDP45" s="6"/>
      <c r="FDQ45" s="6"/>
      <c r="FDR45" s="6"/>
      <c r="FDS45" s="6"/>
      <c r="FDT45" s="6"/>
      <c r="FDU45" s="6"/>
      <c r="FDV45" s="6"/>
      <c r="FDW45" s="6"/>
      <c r="FDX45" s="6"/>
      <c r="FDY45" s="6"/>
      <c r="FDZ45" s="6"/>
      <c r="FEA45" s="6"/>
      <c r="FEB45" s="6"/>
      <c r="FEC45" s="6"/>
      <c r="FED45" s="6"/>
      <c r="FEE45" s="6"/>
      <c r="FEF45" s="6"/>
      <c r="FEG45" s="6"/>
      <c r="FEH45" s="6"/>
      <c r="FEI45" s="6"/>
      <c r="FEJ45" s="6"/>
      <c r="FEK45" s="6"/>
      <c r="FEL45" s="6"/>
      <c r="FEM45" s="6"/>
      <c r="FEN45" s="6"/>
      <c r="FEO45" s="6"/>
      <c r="FEP45" s="6"/>
      <c r="FEQ45" s="6"/>
      <c r="FER45" s="6"/>
      <c r="FES45" s="6"/>
      <c r="FET45" s="6"/>
      <c r="FEU45" s="6"/>
      <c r="FEV45" s="6"/>
      <c r="FEW45" s="6"/>
      <c r="FEX45" s="6"/>
      <c r="FEY45" s="6"/>
      <c r="FEZ45" s="6"/>
      <c r="FFA45" s="6"/>
      <c r="FFB45" s="6"/>
      <c r="FFC45" s="6"/>
      <c r="FFD45" s="6"/>
      <c r="FFE45" s="6"/>
      <c r="FFF45" s="6"/>
      <c r="FFG45" s="6"/>
      <c r="FFH45" s="6"/>
      <c r="FFI45" s="6"/>
      <c r="FFJ45" s="6"/>
      <c r="FFK45" s="6"/>
      <c r="FFL45" s="6"/>
      <c r="FFM45" s="6"/>
      <c r="FFN45" s="6"/>
      <c r="FFO45" s="6"/>
      <c r="FFP45" s="6"/>
      <c r="FFQ45" s="6"/>
      <c r="FFR45" s="6"/>
      <c r="FFS45" s="6"/>
      <c r="FFT45" s="6"/>
      <c r="FFU45" s="6"/>
      <c r="FFV45" s="6"/>
      <c r="FFW45" s="6"/>
      <c r="FFX45" s="6"/>
      <c r="FFY45" s="6"/>
      <c r="FFZ45" s="6"/>
      <c r="FGA45" s="6"/>
      <c r="FGB45" s="6"/>
      <c r="FGC45" s="6"/>
      <c r="FGD45" s="6"/>
      <c r="FGE45" s="6"/>
      <c r="FGF45" s="6"/>
      <c r="FGG45" s="6"/>
      <c r="FGH45" s="6"/>
      <c r="FGI45" s="6"/>
      <c r="FGJ45" s="6"/>
      <c r="FGK45" s="6"/>
      <c r="FGL45" s="6"/>
      <c r="FGM45" s="6"/>
      <c r="FGN45" s="6"/>
      <c r="FGO45" s="6"/>
      <c r="FGP45" s="6"/>
      <c r="FGQ45" s="6"/>
      <c r="FGR45" s="6"/>
      <c r="FGS45" s="6"/>
      <c r="FGT45" s="6"/>
      <c r="FGU45" s="6"/>
      <c r="FGV45" s="6"/>
      <c r="FGW45" s="6"/>
      <c r="FGX45" s="6"/>
      <c r="FGY45" s="6"/>
      <c r="FGZ45" s="6"/>
      <c r="FHA45" s="6"/>
      <c r="FHB45" s="6"/>
      <c r="FHC45" s="6"/>
      <c r="FHD45" s="6"/>
      <c r="FHE45" s="6"/>
      <c r="FHF45" s="6"/>
      <c r="FHG45" s="6"/>
      <c r="FHH45" s="6"/>
      <c r="FHI45" s="6"/>
      <c r="FHJ45" s="6"/>
      <c r="FHK45" s="6"/>
      <c r="FHL45" s="6"/>
      <c r="FHM45" s="6"/>
      <c r="FHN45" s="6"/>
      <c r="FHO45" s="6"/>
      <c r="FHP45" s="6"/>
      <c r="FHQ45" s="6"/>
      <c r="FHR45" s="6"/>
      <c r="FHS45" s="6"/>
      <c r="FHT45" s="6"/>
      <c r="FHU45" s="6"/>
      <c r="FHV45" s="6"/>
      <c r="FHW45" s="6"/>
      <c r="FHX45" s="6"/>
      <c r="FHY45" s="6"/>
      <c r="FHZ45" s="6"/>
      <c r="FIA45" s="6"/>
      <c r="FIB45" s="6"/>
      <c r="FIC45" s="6"/>
      <c r="FID45" s="6"/>
      <c r="FIE45" s="6"/>
      <c r="FIF45" s="6"/>
      <c r="FIG45" s="6"/>
      <c r="FIH45" s="6"/>
      <c r="FII45" s="6"/>
      <c r="FIJ45" s="6"/>
      <c r="FIK45" s="6"/>
      <c r="FIL45" s="6"/>
      <c r="FIM45" s="6"/>
      <c r="FIN45" s="6"/>
      <c r="FIO45" s="6"/>
      <c r="FIP45" s="6"/>
      <c r="FIQ45" s="6"/>
      <c r="FIR45" s="6"/>
      <c r="FIS45" s="6"/>
      <c r="FIT45" s="6"/>
      <c r="FIU45" s="6"/>
      <c r="FIV45" s="6"/>
      <c r="FIW45" s="6"/>
      <c r="FIX45" s="6"/>
      <c r="FIY45" s="6"/>
      <c r="FIZ45" s="6"/>
      <c r="FJA45" s="6"/>
      <c r="FJB45" s="6"/>
      <c r="FJC45" s="6"/>
      <c r="FJD45" s="6"/>
      <c r="FJE45" s="6"/>
      <c r="FJF45" s="6"/>
      <c r="FJG45" s="6"/>
      <c r="FJH45" s="6"/>
      <c r="FJI45" s="6"/>
      <c r="FJJ45" s="6"/>
      <c r="FJK45" s="6"/>
      <c r="FJL45" s="6"/>
      <c r="FJM45" s="6"/>
      <c r="FJN45" s="6"/>
      <c r="FJO45" s="6"/>
      <c r="FJP45" s="6"/>
      <c r="FJQ45" s="6"/>
      <c r="FJR45" s="6"/>
      <c r="FJS45" s="6"/>
      <c r="FJT45" s="6"/>
      <c r="FJU45" s="6"/>
      <c r="FJV45" s="6"/>
      <c r="FJW45" s="6"/>
      <c r="FJX45" s="6"/>
      <c r="FJY45" s="6"/>
      <c r="FJZ45" s="6"/>
      <c r="FKA45" s="6"/>
      <c r="FKB45" s="6"/>
      <c r="FKC45" s="6"/>
      <c r="FKD45" s="6"/>
      <c r="FKE45" s="6"/>
      <c r="FKF45" s="6"/>
      <c r="FKG45" s="6"/>
      <c r="FKH45" s="6"/>
      <c r="FKI45" s="6"/>
      <c r="FKJ45" s="6"/>
      <c r="FKK45" s="6"/>
      <c r="FKL45" s="6"/>
      <c r="FKM45" s="6"/>
      <c r="FKN45" s="6"/>
      <c r="FKO45" s="6"/>
      <c r="FKP45" s="6"/>
      <c r="FKQ45" s="6"/>
      <c r="FKR45" s="6"/>
      <c r="FKS45" s="6"/>
      <c r="FKT45" s="6"/>
      <c r="FKU45" s="6"/>
      <c r="FKV45" s="6"/>
      <c r="FKW45" s="6"/>
      <c r="FKX45" s="6"/>
      <c r="FKY45" s="6"/>
      <c r="FKZ45" s="6"/>
      <c r="FLA45" s="6"/>
      <c r="FLB45" s="6"/>
      <c r="FLC45" s="6"/>
      <c r="FLD45" s="6"/>
      <c r="FLE45" s="6"/>
      <c r="FLF45" s="6"/>
      <c r="FLG45" s="6"/>
      <c r="FLH45" s="6"/>
      <c r="FLI45" s="6"/>
      <c r="FLJ45" s="6"/>
      <c r="FLK45" s="6"/>
      <c r="FLL45" s="6"/>
      <c r="FLM45" s="6"/>
      <c r="FLN45" s="6"/>
      <c r="FLO45" s="6"/>
      <c r="FLP45" s="6"/>
      <c r="FLQ45" s="6"/>
      <c r="FLR45" s="6"/>
      <c r="FLS45" s="6"/>
      <c r="FLT45" s="6"/>
      <c r="FLU45" s="6"/>
      <c r="FLV45" s="6"/>
      <c r="FLW45" s="6"/>
      <c r="FLX45" s="6"/>
      <c r="FLY45" s="6"/>
      <c r="FLZ45" s="6"/>
      <c r="FMA45" s="6"/>
      <c r="FMB45" s="6"/>
      <c r="FMC45" s="6"/>
      <c r="FMD45" s="6"/>
      <c r="FME45" s="6"/>
      <c r="FMF45" s="6"/>
      <c r="FMG45" s="6"/>
      <c r="FMH45" s="6"/>
      <c r="FMI45" s="6"/>
      <c r="FMJ45" s="6"/>
      <c r="FMK45" s="6"/>
      <c r="FML45" s="6"/>
      <c r="FMM45" s="6"/>
      <c r="FMN45" s="6"/>
      <c r="FMO45" s="6"/>
      <c r="FMP45" s="6"/>
      <c r="FMQ45" s="6"/>
      <c r="FMR45" s="6"/>
      <c r="FMS45" s="6"/>
      <c r="FMT45" s="6"/>
      <c r="FMU45" s="6"/>
      <c r="FMV45" s="6"/>
      <c r="FMW45" s="6"/>
      <c r="FMX45" s="6"/>
      <c r="FMY45" s="6"/>
      <c r="FMZ45" s="6"/>
      <c r="FNA45" s="6"/>
      <c r="FNB45" s="6"/>
      <c r="FNC45" s="6"/>
      <c r="FND45" s="6"/>
      <c r="FNE45" s="6"/>
      <c r="FNF45" s="6"/>
      <c r="FNG45" s="6"/>
      <c r="FNH45" s="6"/>
      <c r="FNI45" s="6"/>
      <c r="FNJ45" s="6"/>
      <c r="FNK45" s="6"/>
      <c r="FNL45" s="6"/>
      <c r="FNM45" s="6"/>
      <c r="FNN45" s="6"/>
      <c r="FNO45" s="6"/>
      <c r="FNP45" s="6"/>
      <c r="FNQ45" s="6"/>
      <c r="FNR45" s="6"/>
      <c r="FNS45" s="6"/>
      <c r="FNT45" s="6"/>
      <c r="FNU45" s="6"/>
      <c r="FNV45" s="6"/>
      <c r="FNW45" s="6"/>
      <c r="FNX45" s="6"/>
      <c r="FNY45" s="6"/>
      <c r="FNZ45" s="6"/>
      <c r="FOA45" s="6"/>
      <c r="FOB45" s="6"/>
      <c r="FOC45" s="6"/>
      <c r="FOD45" s="6"/>
      <c r="FOE45" s="6"/>
      <c r="FOF45" s="6"/>
      <c r="FOG45" s="6"/>
      <c r="FOH45" s="6"/>
      <c r="FOI45" s="6"/>
      <c r="FOJ45" s="6"/>
      <c r="FOK45" s="6"/>
      <c r="FOL45" s="6"/>
      <c r="FOM45" s="6"/>
      <c r="FON45" s="6"/>
      <c r="FOO45" s="6"/>
      <c r="FOP45" s="6"/>
      <c r="FOQ45" s="6"/>
      <c r="FOR45" s="6"/>
      <c r="FOS45" s="6"/>
      <c r="FOT45" s="6"/>
      <c r="FOU45" s="6"/>
      <c r="FOV45" s="6"/>
      <c r="FOW45" s="6"/>
      <c r="FOX45" s="6"/>
      <c r="FOY45" s="6"/>
      <c r="FOZ45" s="6"/>
      <c r="FPA45" s="6"/>
      <c r="FPB45" s="6"/>
      <c r="FPC45" s="6"/>
      <c r="FPD45" s="6"/>
      <c r="FPE45" s="6"/>
      <c r="FPF45" s="6"/>
      <c r="FPG45" s="6"/>
      <c r="FPH45" s="6"/>
      <c r="FPI45" s="6"/>
      <c r="FPJ45" s="6"/>
      <c r="FPK45" s="6"/>
      <c r="FPL45" s="6"/>
      <c r="FPM45" s="6"/>
      <c r="FPN45" s="6"/>
      <c r="FPO45" s="6"/>
      <c r="FPP45" s="6"/>
      <c r="FPQ45" s="6"/>
      <c r="FPR45" s="6"/>
      <c r="FPS45" s="6"/>
      <c r="FPT45" s="6"/>
      <c r="FPU45" s="6"/>
      <c r="FPV45" s="6"/>
      <c r="FPW45" s="6"/>
      <c r="FPX45" s="6"/>
      <c r="FPY45" s="6"/>
      <c r="FPZ45" s="6"/>
      <c r="FQA45" s="6"/>
      <c r="FQB45" s="6"/>
      <c r="FQC45" s="6"/>
      <c r="FQD45" s="6"/>
      <c r="FQE45" s="6"/>
      <c r="FQF45" s="6"/>
      <c r="FQG45" s="6"/>
      <c r="FQH45" s="6"/>
      <c r="FQI45" s="6"/>
      <c r="FQJ45" s="6"/>
      <c r="FQK45" s="6"/>
      <c r="FQL45" s="6"/>
      <c r="FQM45" s="6"/>
      <c r="FQN45" s="6"/>
      <c r="FQO45" s="6"/>
      <c r="FQP45" s="6"/>
      <c r="FQQ45" s="6"/>
      <c r="FQR45" s="6"/>
      <c r="FQS45" s="6"/>
      <c r="FQT45" s="6"/>
      <c r="FQU45" s="6"/>
      <c r="FQV45" s="6"/>
      <c r="FQW45" s="6"/>
      <c r="FQX45" s="6"/>
      <c r="FQY45" s="6"/>
      <c r="FQZ45" s="6"/>
      <c r="FRA45" s="6"/>
      <c r="FRB45" s="6"/>
      <c r="FRC45" s="6"/>
      <c r="FRD45" s="6"/>
      <c r="FRE45" s="6"/>
      <c r="FRF45" s="6"/>
      <c r="FRG45" s="6"/>
      <c r="FRH45" s="6"/>
      <c r="FRI45" s="6"/>
      <c r="FRJ45" s="6"/>
      <c r="FRK45" s="6"/>
      <c r="FRL45" s="6"/>
      <c r="FRM45" s="6"/>
      <c r="FRN45" s="6"/>
      <c r="FRO45" s="6"/>
      <c r="FRP45" s="6"/>
      <c r="FRQ45" s="6"/>
      <c r="FRR45" s="6"/>
      <c r="FRS45" s="6"/>
      <c r="FRT45" s="6"/>
      <c r="FRU45" s="6"/>
      <c r="FRV45" s="6"/>
      <c r="FRW45" s="6"/>
      <c r="FRX45" s="6"/>
      <c r="FRY45" s="6"/>
      <c r="FRZ45" s="6"/>
      <c r="FSA45" s="6"/>
      <c r="FSB45" s="6"/>
      <c r="FSC45" s="6"/>
      <c r="FSD45" s="6"/>
      <c r="FSE45" s="6"/>
      <c r="FSF45" s="6"/>
      <c r="FSG45" s="6"/>
      <c r="FSH45" s="6"/>
      <c r="FSI45" s="6"/>
      <c r="FSJ45" s="6"/>
      <c r="FSK45" s="6"/>
      <c r="FSL45" s="6"/>
      <c r="FSM45" s="6"/>
      <c r="FSN45" s="6"/>
      <c r="FSO45" s="6"/>
      <c r="FSP45" s="6"/>
      <c r="FSQ45" s="6"/>
      <c r="FSR45" s="6"/>
      <c r="FSS45" s="6"/>
      <c r="FST45" s="6"/>
      <c r="FSU45" s="6"/>
      <c r="FSV45" s="6"/>
      <c r="FSW45" s="6"/>
      <c r="FSX45" s="6"/>
      <c r="FSY45" s="6"/>
      <c r="FSZ45" s="6"/>
      <c r="FTA45" s="6"/>
      <c r="FTB45" s="6"/>
      <c r="FTC45" s="6"/>
      <c r="FTD45" s="6"/>
      <c r="FTE45" s="6"/>
      <c r="FTF45" s="6"/>
      <c r="FTG45" s="6"/>
      <c r="FTH45" s="6"/>
      <c r="FTI45" s="6"/>
      <c r="FTJ45" s="6"/>
      <c r="FTK45" s="6"/>
      <c r="FTL45" s="6"/>
      <c r="FTM45" s="6"/>
      <c r="FTN45" s="6"/>
      <c r="FTO45" s="6"/>
      <c r="FTP45" s="6"/>
      <c r="FTQ45" s="6"/>
      <c r="FTR45" s="6"/>
      <c r="FTS45" s="6"/>
      <c r="FTT45" s="6"/>
      <c r="FTU45" s="6"/>
      <c r="FTV45" s="6"/>
      <c r="FTW45" s="6"/>
      <c r="FTX45" s="6"/>
      <c r="FTY45" s="6"/>
      <c r="FTZ45" s="6"/>
      <c r="FUA45" s="6"/>
      <c r="FUB45" s="6"/>
      <c r="FUC45" s="6"/>
      <c r="FUD45" s="6"/>
      <c r="FUE45" s="6"/>
      <c r="FUF45" s="6"/>
      <c r="FUG45" s="6"/>
      <c r="FUH45" s="6"/>
      <c r="FUI45" s="6"/>
      <c r="FUJ45" s="6"/>
      <c r="FUK45" s="6"/>
      <c r="FUL45" s="6"/>
      <c r="FUM45" s="6"/>
      <c r="FUN45" s="6"/>
      <c r="FUO45" s="6"/>
      <c r="FUP45" s="6"/>
      <c r="FUQ45" s="6"/>
      <c r="FUR45" s="6"/>
      <c r="FUS45" s="6"/>
      <c r="FUT45" s="6"/>
      <c r="FUU45" s="6"/>
      <c r="FUV45" s="6"/>
      <c r="FUW45" s="6"/>
      <c r="FUX45" s="6"/>
      <c r="FUY45" s="6"/>
      <c r="FUZ45" s="6"/>
      <c r="FVA45" s="6"/>
      <c r="FVB45" s="6"/>
      <c r="FVC45" s="6"/>
      <c r="FVD45" s="6"/>
      <c r="FVE45" s="6"/>
      <c r="FVF45" s="6"/>
      <c r="FVG45" s="6"/>
      <c r="FVH45" s="6"/>
      <c r="FVI45" s="6"/>
      <c r="FVJ45" s="6"/>
      <c r="FVK45" s="6"/>
      <c r="FVL45" s="6"/>
      <c r="FVM45" s="6"/>
      <c r="FVN45" s="6"/>
      <c r="FVO45" s="6"/>
      <c r="FVP45" s="6"/>
      <c r="FVQ45" s="6"/>
      <c r="FVR45" s="6"/>
      <c r="FVS45" s="6"/>
      <c r="FVT45" s="6"/>
      <c r="FVU45" s="6"/>
      <c r="FVV45" s="6"/>
      <c r="FVW45" s="6"/>
      <c r="FVX45" s="6"/>
      <c r="FVY45" s="6"/>
      <c r="FVZ45" s="6"/>
      <c r="FWA45" s="6"/>
      <c r="FWB45" s="6"/>
      <c r="FWC45" s="6"/>
      <c r="FWD45" s="6"/>
      <c r="FWE45" s="6"/>
      <c r="FWF45" s="6"/>
      <c r="FWG45" s="6"/>
      <c r="FWH45" s="6"/>
      <c r="FWI45" s="6"/>
      <c r="FWJ45" s="6"/>
      <c r="FWK45" s="6"/>
      <c r="FWL45" s="6"/>
      <c r="FWM45" s="6"/>
      <c r="FWN45" s="6"/>
      <c r="FWO45" s="6"/>
      <c r="FWP45" s="6"/>
      <c r="FWQ45" s="6"/>
      <c r="FWR45" s="6"/>
      <c r="FWS45" s="6"/>
      <c r="FWT45" s="6"/>
      <c r="FWU45" s="6"/>
      <c r="FWV45" s="6"/>
      <c r="FWW45" s="6"/>
      <c r="FWX45" s="6"/>
      <c r="FWY45" s="6"/>
      <c r="FWZ45" s="6"/>
      <c r="FXA45" s="6"/>
      <c r="FXB45" s="6"/>
      <c r="FXC45" s="6"/>
      <c r="FXD45" s="6"/>
      <c r="FXE45" s="6"/>
      <c r="FXF45" s="6"/>
      <c r="FXG45" s="6"/>
      <c r="FXH45" s="6"/>
      <c r="FXI45" s="6"/>
      <c r="FXJ45" s="6"/>
      <c r="FXK45" s="6"/>
      <c r="FXL45" s="6"/>
      <c r="FXM45" s="6"/>
      <c r="FXN45" s="6"/>
      <c r="FXO45" s="6"/>
      <c r="FXP45" s="6"/>
      <c r="FXQ45" s="6"/>
      <c r="FXR45" s="6"/>
      <c r="FXS45" s="6"/>
      <c r="FXT45" s="6"/>
      <c r="FXU45" s="6"/>
      <c r="FXV45" s="6"/>
      <c r="FXW45" s="6"/>
      <c r="FXX45" s="6"/>
      <c r="FXY45" s="6"/>
      <c r="FXZ45" s="6"/>
      <c r="FYA45" s="6"/>
      <c r="FYB45" s="6"/>
      <c r="FYC45" s="6"/>
      <c r="FYD45" s="6"/>
      <c r="FYE45" s="6"/>
      <c r="FYF45" s="6"/>
      <c r="FYG45" s="6"/>
      <c r="FYH45" s="6"/>
      <c r="FYI45" s="6"/>
      <c r="FYJ45" s="6"/>
      <c r="FYK45" s="6"/>
      <c r="FYL45" s="6"/>
      <c r="FYM45" s="6"/>
      <c r="FYN45" s="6"/>
      <c r="FYO45" s="6"/>
      <c r="FYP45" s="6"/>
      <c r="FYQ45" s="6"/>
      <c r="FYR45" s="6"/>
      <c r="FYS45" s="6"/>
      <c r="FYT45" s="6"/>
      <c r="FYU45" s="6"/>
      <c r="FYV45" s="6"/>
      <c r="FYW45" s="6"/>
      <c r="FYX45" s="6"/>
      <c r="FYY45" s="6"/>
      <c r="FYZ45" s="6"/>
      <c r="FZA45" s="6"/>
      <c r="FZB45" s="6"/>
      <c r="FZC45" s="6"/>
      <c r="FZD45" s="6"/>
      <c r="FZE45" s="6"/>
      <c r="FZF45" s="6"/>
      <c r="FZG45" s="6"/>
      <c r="FZH45" s="6"/>
      <c r="FZI45" s="6"/>
      <c r="FZJ45" s="6"/>
      <c r="FZK45" s="6"/>
      <c r="FZL45" s="6"/>
      <c r="FZM45" s="6"/>
      <c r="FZN45" s="6"/>
      <c r="FZO45" s="6"/>
      <c r="FZP45" s="6"/>
      <c r="FZQ45" s="6"/>
      <c r="FZR45" s="6"/>
      <c r="FZS45" s="6"/>
      <c r="FZT45" s="6"/>
      <c r="FZU45" s="6"/>
      <c r="FZV45" s="6"/>
      <c r="FZW45" s="6"/>
      <c r="FZX45" s="6"/>
      <c r="FZY45" s="6"/>
      <c r="FZZ45" s="6"/>
      <c r="GAA45" s="6"/>
      <c r="GAB45" s="6"/>
      <c r="GAC45" s="6"/>
      <c r="GAD45" s="6"/>
      <c r="GAE45" s="6"/>
      <c r="GAF45" s="6"/>
      <c r="GAG45" s="6"/>
      <c r="GAH45" s="6"/>
      <c r="GAI45" s="6"/>
      <c r="GAJ45" s="6"/>
      <c r="GAK45" s="6"/>
      <c r="GAL45" s="6"/>
      <c r="GAM45" s="6"/>
      <c r="GAN45" s="6"/>
      <c r="GAO45" s="6"/>
      <c r="GAP45" s="6"/>
      <c r="GAQ45" s="6"/>
      <c r="GAR45" s="6"/>
      <c r="GAS45" s="6"/>
      <c r="GAT45" s="6"/>
      <c r="GAU45" s="6"/>
      <c r="GAV45" s="6"/>
      <c r="GAW45" s="6"/>
      <c r="GAX45" s="6"/>
      <c r="GAY45" s="6"/>
      <c r="GAZ45" s="6"/>
      <c r="GBA45" s="6"/>
      <c r="GBB45" s="6"/>
      <c r="GBC45" s="6"/>
      <c r="GBD45" s="6"/>
      <c r="GBE45" s="6"/>
      <c r="GBF45" s="6"/>
      <c r="GBG45" s="6"/>
      <c r="GBH45" s="6"/>
      <c r="GBI45" s="6"/>
      <c r="GBJ45" s="6"/>
      <c r="GBK45" s="6"/>
      <c r="GBL45" s="6"/>
      <c r="GBM45" s="6"/>
      <c r="GBN45" s="6"/>
      <c r="GBO45" s="6"/>
      <c r="GBP45" s="6"/>
      <c r="GBQ45" s="6"/>
      <c r="GBR45" s="6"/>
      <c r="GBS45" s="6"/>
      <c r="GBT45" s="6"/>
      <c r="GBU45" s="6"/>
      <c r="GBV45" s="6"/>
      <c r="GBW45" s="6"/>
      <c r="GBX45" s="6"/>
      <c r="GBY45" s="6"/>
      <c r="GBZ45" s="6"/>
      <c r="GCA45" s="6"/>
      <c r="GCB45" s="6"/>
      <c r="GCC45" s="6"/>
      <c r="GCD45" s="6"/>
      <c r="GCE45" s="6"/>
      <c r="GCF45" s="6"/>
      <c r="GCG45" s="6"/>
      <c r="GCH45" s="6"/>
      <c r="GCI45" s="6"/>
      <c r="GCJ45" s="6"/>
      <c r="GCK45" s="6"/>
      <c r="GCL45" s="6"/>
      <c r="GCM45" s="6"/>
      <c r="GCN45" s="6"/>
      <c r="GCO45" s="6"/>
      <c r="GCP45" s="6"/>
      <c r="GCQ45" s="6"/>
      <c r="GCR45" s="6"/>
      <c r="GCS45" s="6"/>
      <c r="GCT45" s="6"/>
      <c r="GCU45" s="6"/>
      <c r="GCV45" s="6"/>
      <c r="GCW45" s="6"/>
      <c r="GCX45" s="6"/>
      <c r="GCY45" s="6"/>
      <c r="GCZ45" s="6"/>
      <c r="GDA45" s="6"/>
      <c r="GDB45" s="6"/>
      <c r="GDC45" s="6"/>
      <c r="GDD45" s="6"/>
      <c r="GDE45" s="6"/>
      <c r="GDF45" s="6"/>
      <c r="GDG45" s="6"/>
      <c r="GDH45" s="6"/>
      <c r="GDI45" s="6"/>
      <c r="GDJ45" s="6"/>
      <c r="GDK45" s="6"/>
      <c r="GDL45" s="6"/>
      <c r="GDM45" s="6"/>
      <c r="GDN45" s="6"/>
      <c r="GDO45" s="6"/>
      <c r="GDP45" s="6"/>
      <c r="GDQ45" s="6"/>
      <c r="GDR45" s="6"/>
      <c r="GDS45" s="6"/>
      <c r="GDT45" s="6"/>
      <c r="GDU45" s="6"/>
      <c r="GDV45" s="6"/>
      <c r="GDW45" s="6"/>
      <c r="GDX45" s="6"/>
      <c r="GDY45" s="6"/>
      <c r="GDZ45" s="6"/>
      <c r="GEA45" s="6"/>
      <c r="GEB45" s="6"/>
      <c r="GEC45" s="6"/>
      <c r="GED45" s="6"/>
      <c r="GEE45" s="6"/>
      <c r="GEF45" s="6"/>
      <c r="GEG45" s="6"/>
      <c r="GEH45" s="6"/>
      <c r="GEI45" s="6"/>
      <c r="GEJ45" s="6"/>
      <c r="GEK45" s="6"/>
      <c r="GEL45" s="6"/>
      <c r="GEM45" s="6"/>
      <c r="GEN45" s="6"/>
      <c r="GEO45" s="6"/>
      <c r="GEP45" s="6"/>
      <c r="GEQ45" s="6"/>
      <c r="GER45" s="6"/>
      <c r="GES45" s="6"/>
      <c r="GET45" s="6"/>
      <c r="GEU45" s="6"/>
      <c r="GEV45" s="6"/>
      <c r="GEW45" s="6"/>
      <c r="GEX45" s="6"/>
      <c r="GEY45" s="6"/>
      <c r="GEZ45" s="6"/>
      <c r="GFA45" s="6"/>
      <c r="GFB45" s="6"/>
      <c r="GFC45" s="6"/>
      <c r="GFD45" s="6"/>
      <c r="GFE45" s="6"/>
      <c r="GFF45" s="6"/>
      <c r="GFG45" s="6"/>
      <c r="GFH45" s="6"/>
      <c r="GFI45" s="6"/>
      <c r="GFJ45" s="6"/>
      <c r="GFK45" s="6"/>
      <c r="GFL45" s="6"/>
      <c r="GFM45" s="6"/>
      <c r="GFN45" s="6"/>
      <c r="GFO45" s="6"/>
      <c r="GFP45" s="6"/>
      <c r="GFQ45" s="6"/>
      <c r="GFR45" s="6"/>
      <c r="GFS45" s="6"/>
      <c r="GFT45" s="6"/>
      <c r="GFU45" s="6"/>
      <c r="GFV45" s="6"/>
      <c r="GFW45" s="6"/>
      <c r="GFX45" s="6"/>
      <c r="GFY45" s="6"/>
      <c r="GFZ45" s="6"/>
      <c r="GGA45" s="6"/>
      <c r="GGB45" s="6"/>
      <c r="GGC45" s="6"/>
      <c r="GGD45" s="6"/>
      <c r="GGE45" s="6"/>
      <c r="GGF45" s="6"/>
      <c r="GGG45" s="6"/>
      <c r="GGH45" s="6"/>
      <c r="GGI45" s="6"/>
      <c r="GGJ45" s="6"/>
      <c r="GGK45" s="6"/>
      <c r="GGL45" s="6"/>
      <c r="GGM45" s="6"/>
      <c r="GGN45" s="6"/>
      <c r="GGO45" s="6"/>
      <c r="GGP45" s="6"/>
      <c r="GGQ45" s="6"/>
      <c r="GGR45" s="6"/>
      <c r="GGS45" s="6"/>
      <c r="GGT45" s="6"/>
      <c r="GGU45" s="6"/>
      <c r="GGV45" s="6"/>
      <c r="GGW45" s="6"/>
      <c r="GGX45" s="6"/>
      <c r="GGY45" s="6"/>
      <c r="GGZ45" s="6"/>
      <c r="GHA45" s="6"/>
      <c r="GHB45" s="6"/>
      <c r="GHC45" s="6"/>
      <c r="GHD45" s="6"/>
      <c r="GHE45" s="6"/>
      <c r="GHF45" s="6"/>
      <c r="GHG45" s="6"/>
      <c r="GHH45" s="6"/>
      <c r="GHI45" s="6"/>
      <c r="GHJ45" s="6"/>
      <c r="GHK45" s="6"/>
      <c r="GHL45" s="6"/>
      <c r="GHM45" s="6"/>
      <c r="GHN45" s="6"/>
      <c r="GHO45" s="6"/>
      <c r="GHP45" s="6"/>
      <c r="GHQ45" s="6"/>
      <c r="GHR45" s="6"/>
      <c r="GHS45" s="6"/>
      <c r="GHT45" s="6"/>
      <c r="GHU45" s="6"/>
      <c r="GHV45" s="6"/>
      <c r="GHW45" s="6"/>
      <c r="GHX45" s="6"/>
      <c r="GHY45" s="6"/>
      <c r="GHZ45" s="6"/>
      <c r="GIA45" s="6"/>
      <c r="GIB45" s="6"/>
      <c r="GIC45" s="6"/>
      <c r="GID45" s="6"/>
      <c r="GIE45" s="6"/>
      <c r="GIF45" s="6"/>
      <c r="GIG45" s="6"/>
      <c r="GIH45" s="6"/>
      <c r="GII45" s="6"/>
      <c r="GIJ45" s="6"/>
      <c r="GIK45" s="6"/>
      <c r="GIL45" s="6"/>
      <c r="GIM45" s="6"/>
      <c r="GIN45" s="6"/>
      <c r="GIO45" s="6"/>
      <c r="GIP45" s="6"/>
      <c r="GIQ45" s="6"/>
      <c r="GIR45" s="6"/>
      <c r="GIS45" s="6"/>
      <c r="GIT45" s="6"/>
      <c r="GIU45" s="6"/>
      <c r="GIV45" s="6"/>
      <c r="GIW45" s="6"/>
      <c r="GIX45" s="6"/>
      <c r="GIY45" s="6"/>
      <c r="GIZ45" s="6"/>
      <c r="GJA45" s="6"/>
      <c r="GJB45" s="6"/>
      <c r="GJC45" s="6"/>
      <c r="GJD45" s="6"/>
      <c r="GJE45" s="6"/>
      <c r="GJF45" s="6"/>
      <c r="GJG45" s="6"/>
      <c r="GJH45" s="6"/>
      <c r="GJI45" s="6"/>
      <c r="GJJ45" s="6"/>
      <c r="GJK45" s="6"/>
      <c r="GJL45" s="6"/>
      <c r="GJM45" s="6"/>
      <c r="GJN45" s="6"/>
      <c r="GJO45" s="6"/>
      <c r="GJP45" s="6"/>
      <c r="GJQ45" s="6"/>
      <c r="GJR45" s="6"/>
      <c r="GJS45" s="6"/>
      <c r="GJT45" s="6"/>
      <c r="GJU45" s="6"/>
      <c r="GJV45" s="6"/>
      <c r="GJW45" s="6"/>
      <c r="GJX45" s="6"/>
      <c r="GJY45" s="6"/>
      <c r="GJZ45" s="6"/>
      <c r="GKA45" s="6"/>
      <c r="GKB45" s="6"/>
      <c r="GKC45" s="6"/>
      <c r="GKD45" s="6"/>
      <c r="GKE45" s="6"/>
      <c r="GKF45" s="6"/>
      <c r="GKG45" s="6"/>
      <c r="GKH45" s="6"/>
      <c r="GKI45" s="6"/>
      <c r="GKJ45" s="6"/>
      <c r="GKK45" s="6"/>
      <c r="GKL45" s="6"/>
      <c r="GKM45" s="6"/>
      <c r="GKN45" s="6"/>
      <c r="GKO45" s="6"/>
      <c r="GKP45" s="6"/>
      <c r="GKQ45" s="6"/>
      <c r="GKR45" s="6"/>
      <c r="GKS45" s="6"/>
      <c r="GKT45" s="6"/>
      <c r="GKU45" s="6"/>
      <c r="GKV45" s="6"/>
      <c r="GKW45" s="6"/>
      <c r="GKX45" s="6"/>
      <c r="GKY45" s="6"/>
      <c r="GKZ45" s="6"/>
      <c r="GLA45" s="6"/>
      <c r="GLB45" s="6"/>
      <c r="GLC45" s="6"/>
      <c r="GLD45" s="6"/>
      <c r="GLE45" s="6"/>
      <c r="GLF45" s="6"/>
      <c r="GLG45" s="6"/>
      <c r="GLH45" s="6"/>
      <c r="GLI45" s="6"/>
      <c r="GLJ45" s="6"/>
      <c r="GLK45" s="6"/>
      <c r="GLL45" s="6"/>
      <c r="GLM45" s="6"/>
      <c r="GLN45" s="6"/>
      <c r="GLO45" s="6"/>
      <c r="GLP45" s="6"/>
      <c r="GLQ45" s="6"/>
      <c r="GLR45" s="6"/>
      <c r="GLS45" s="6"/>
      <c r="GLT45" s="6"/>
      <c r="GLU45" s="6"/>
      <c r="GLV45" s="6"/>
      <c r="GLW45" s="6"/>
      <c r="GLX45" s="6"/>
      <c r="GLY45" s="6"/>
      <c r="GLZ45" s="6"/>
      <c r="GMA45" s="6"/>
      <c r="GMB45" s="6"/>
      <c r="GMC45" s="6"/>
      <c r="GMD45" s="6"/>
      <c r="GME45" s="6"/>
      <c r="GMF45" s="6"/>
      <c r="GMG45" s="6"/>
      <c r="GMH45" s="6"/>
      <c r="GMI45" s="6"/>
      <c r="GMJ45" s="6"/>
      <c r="GMK45" s="6"/>
      <c r="GML45" s="6"/>
      <c r="GMM45" s="6"/>
      <c r="GMN45" s="6"/>
      <c r="GMO45" s="6"/>
      <c r="GMP45" s="6"/>
      <c r="GMQ45" s="6"/>
      <c r="GMR45" s="6"/>
      <c r="GMS45" s="6"/>
      <c r="GMT45" s="6"/>
      <c r="GMU45" s="6"/>
      <c r="GMV45" s="6"/>
      <c r="GMW45" s="6"/>
      <c r="GMX45" s="6"/>
      <c r="GMY45" s="6"/>
      <c r="GMZ45" s="6"/>
      <c r="GNA45" s="6"/>
      <c r="GNB45" s="6"/>
      <c r="GNC45" s="6"/>
      <c r="GND45" s="6"/>
      <c r="GNE45" s="6"/>
      <c r="GNF45" s="6"/>
      <c r="GNG45" s="6"/>
      <c r="GNH45" s="6"/>
      <c r="GNI45" s="6"/>
      <c r="GNJ45" s="6"/>
      <c r="GNK45" s="6"/>
      <c r="GNL45" s="6"/>
      <c r="GNM45" s="6"/>
      <c r="GNN45" s="6"/>
      <c r="GNO45" s="6"/>
      <c r="GNP45" s="6"/>
      <c r="GNQ45" s="6"/>
      <c r="GNR45" s="6"/>
      <c r="GNS45" s="6"/>
      <c r="GNT45" s="6"/>
      <c r="GNU45" s="6"/>
      <c r="GNV45" s="6"/>
      <c r="GNW45" s="6"/>
      <c r="GNX45" s="6"/>
      <c r="GNY45" s="6"/>
      <c r="GNZ45" s="6"/>
      <c r="GOA45" s="6"/>
      <c r="GOB45" s="6"/>
      <c r="GOC45" s="6"/>
      <c r="GOD45" s="6"/>
      <c r="GOE45" s="6"/>
      <c r="GOF45" s="6"/>
      <c r="GOG45" s="6"/>
      <c r="GOH45" s="6"/>
      <c r="GOI45" s="6"/>
      <c r="GOJ45" s="6"/>
      <c r="GOK45" s="6"/>
      <c r="GOL45" s="6"/>
      <c r="GOM45" s="6"/>
      <c r="GON45" s="6"/>
      <c r="GOO45" s="6"/>
      <c r="GOP45" s="6"/>
      <c r="GOQ45" s="6"/>
      <c r="GOR45" s="6"/>
      <c r="GOS45" s="6"/>
      <c r="GOT45" s="6"/>
      <c r="GOU45" s="6"/>
      <c r="GOV45" s="6"/>
      <c r="GOW45" s="6"/>
      <c r="GOX45" s="6"/>
      <c r="GOY45" s="6"/>
      <c r="GOZ45" s="6"/>
      <c r="GPA45" s="6"/>
      <c r="GPB45" s="6"/>
      <c r="GPC45" s="6"/>
      <c r="GPD45" s="6"/>
      <c r="GPE45" s="6"/>
      <c r="GPF45" s="6"/>
      <c r="GPG45" s="6"/>
      <c r="GPH45" s="6"/>
      <c r="GPI45" s="6"/>
      <c r="GPJ45" s="6"/>
      <c r="GPK45" s="6"/>
      <c r="GPL45" s="6"/>
      <c r="GPM45" s="6"/>
      <c r="GPN45" s="6"/>
      <c r="GPO45" s="6"/>
      <c r="GPP45" s="6"/>
      <c r="GPQ45" s="6"/>
      <c r="GPR45" s="6"/>
      <c r="GPS45" s="6"/>
      <c r="GPT45" s="6"/>
      <c r="GPU45" s="6"/>
      <c r="GPV45" s="6"/>
      <c r="GPW45" s="6"/>
      <c r="GPX45" s="6"/>
      <c r="GPY45" s="6"/>
      <c r="GPZ45" s="6"/>
      <c r="GQA45" s="6"/>
      <c r="GQB45" s="6"/>
      <c r="GQC45" s="6"/>
      <c r="GQD45" s="6"/>
      <c r="GQE45" s="6"/>
      <c r="GQF45" s="6"/>
      <c r="GQG45" s="6"/>
      <c r="GQH45" s="6"/>
      <c r="GQI45" s="6"/>
      <c r="GQJ45" s="6"/>
      <c r="GQK45" s="6"/>
      <c r="GQL45" s="6"/>
      <c r="GQM45" s="6"/>
      <c r="GQN45" s="6"/>
      <c r="GQO45" s="6"/>
      <c r="GQP45" s="6"/>
      <c r="GQQ45" s="6"/>
      <c r="GQR45" s="6"/>
      <c r="GQS45" s="6"/>
      <c r="GQT45" s="6"/>
      <c r="GQU45" s="6"/>
      <c r="GQV45" s="6"/>
      <c r="GQW45" s="6"/>
      <c r="GQX45" s="6"/>
      <c r="GQY45" s="6"/>
      <c r="GQZ45" s="6"/>
      <c r="GRA45" s="6"/>
      <c r="GRB45" s="6"/>
      <c r="GRC45" s="6"/>
      <c r="GRD45" s="6"/>
      <c r="GRE45" s="6"/>
      <c r="GRF45" s="6"/>
      <c r="GRG45" s="6"/>
      <c r="GRH45" s="6"/>
      <c r="GRI45" s="6"/>
      <c r="GRJ45" s="6"/>
      <c r="GRK45" s="6"/>
      <c r="GRL45" s="6"/>
      <c r="GRM45" s="6"/>
      <c r="GRN45" s="6"/>
      <c r="GRO45" s="6"/>
      <c r="GRP45" s="6"/>
      <c r="GRQ45" s="6"/>
      <c r="GRR45" s="6"/>
      <c r="GRS45" s="6"/>
      <c r="GRT45" s="6"/>
      <c r="GRU45" s="6"/>
      <c r="GRV45" s="6"/>
      <c r="GRW45" s="6"/>
      <c r="GRX45" s="6"/>
      <c r="GRY45" s="6"/>
      <c r="GRZ45" s="6"/>
      <c r="GSA45" s="6"/>
      <c r="GSB45" s="6"/>
      <c r="GSC45" s="6"/>
      <c r="GSD45" s="6"/>
      <c r="GSE45" s="6"/>
      <c r="GSF45" s="6"/>
      <c r="GSG45" s="6"/>
      <c r="GSH45" s="6"/>
      <c r="GSI45" s="6"/>
      <c r="GSJ45" s="6"/>
      <c r="GSK45" s="6"/>
      <c r="GSL45" s="6"/>
      <c r="GSM45" s="6"/>
      <c r="GSN45" s="6"/>
      <c r="GSO45" s="6"/>
      <c r="GSP45" s="6"/>
      <c r="GSQ45" s="6"/>
      <c r="GSR45" s="6"/>
      <c r="GSS45" s="6"/>
      <c r="GST45" s="6"/>
      <c r="GSU45" s="6"/>
      <c r="GSV45" s="6"/>
      <c r="GSW45" s="6"/>
      <c r="GSX45" s="6"/>
      <c r="GSY45" s="6"/>
      <c r="GSZ45" s="6"/>
      <c r="GTA45" s="6"/>
      <c r="GTB45" s="6"/>
      <c r="GTC45" s="6"/>
      <c r="GTD45" s="6"/>
      <c r="GTE45" s="6"/>
      <c r="GTF45" s="6"/>
      <c r="GTG45" s="6"/>
      <c r="GTH45" s="6"/>
      <c r="GTI45" s="6"/>
      <c r="GTJ45" s="6"/>
      <c r="GTK45" s="6"/>
      <c r="GTL45" s="6"/>
      <c r="GTM45" s="6"/>
      <c r="GTN45" s="6"/>
      <c r="GTO45" s="6"/>
      <c r="GTP45" s="6"/>
      <c r="GTQ45" s="6"/>
      <c r="GTR45" s="6"/>
      <c r="GTS45" s="6"/>
      <c r="GTT45" s="6"/>
      <c r="GTU45" s="6"/>
      <c r="GTV45" s="6"/>
      <c r="GTW45" s="6"/>
      <c r="GTX45" s="6"/>
      <c r="GTY45" s="6"/>
      <c r="GTZ45" s="6"/>
      <c r="GUA45" s="6"/>
      <c r="GUB45" s="6"/>
      <c r="GUC45" s="6"/>
      <c r="GUD45" s="6"/>
      <c r="GUE45" s="6"/>
      <c r="GUF45" s="6"/>
      <c r="GUG45" s="6"/>
      <c r="GUH45" s="6"/>
      <c r="GUI45" s="6"/>
      <c r="GUJ45" s="6"/>
      <c r="GUK45" s="6"/>
      <c r="GUL45" s="6"/>
      <c r="GUM45" s="6"/>
      <c r="GUN45" s="6"/>
      <c r="GUO45" s="6"/>
      <c r="GUP45" s="6"/>
      <c r="GUQ45" s="6"/>
      <c r="GUR45" s="6"/>
      <c r="GUS45" s="6"/>
      <c r="GUT45" s="6"/>
      <c r="GUU45" s="6"/>
      <c r="GUV45" s="6"/>
      <c r="GUW45" s="6"/>
      <c r="GUX45" s="6"/>
      <c r="GUY45" s="6"/>
      <c r="GUZ45" s="6"/>
      <c r="GVA45" s="6"/>
      <c r="GVB45" s="6"/>
      <c r="GVC45" s="6"/>
      <c r="GVD45" s="6"/>
      <c r="GVE45" s="6"/>
      <c r="GVF45" s="6"/>
      <c r="GVG45" s="6"/>
      <c r="GVH45" s="6"/>
      <c r="GVI45" s="6"/>
      <c r="GVJ45" s="6"/>
      <c r="GVK45" s="6"/>
      <c r="GVL45" s="6"/>
      <c r="GVM45" s="6"/>
      <c r="GVN45" s="6"/>
      <c r="GVO45" s="6"/>
      <c r="GVP45" s="6"/>
      <c r="GVQ45" s="6"/>
      <c r="GVR45" s="6"/>
      <c r="GVS45" s="6"/>
      <c r="GVT45" s="6"/>
      <c r="GVU45" s="6"/>
      <c r="GVV45" s="6"/>
      <c r="GVW45" s="6"/>
      <c r="GVX45" s="6"/>
      <c r="GVY45" s="6"/>
      <c r="GVZ45" s="6"/>
      <c r="GWA45" s="6"/>
      <c r="GWB45" s="6"/>
      <c r="GWC45" s="6"/>
      <c r="GWD45" s="6"/>
      <c r="GWE45" s="6"/>
      <c r="GWF45" s="6"/>
      <c r="GWG45" s="6"/>
      <c r="GWH45" s="6"/>
      <c r="GWI45" s="6"/>
      <c r="GWJ45" s="6"/>
      <c r="GWK45" s="6"/>
      <c r="GWL45" s="6"/>
      <c r="GWM45" s="6"/>
      <c r="GWN45" s="6"/>
      <c r="GWO45" s="6"/>
      <c r="GWP45" s="6"/>
      <c r="GWQ45" s="6"/>
      <c r="GWR45" s="6"/>
      <c r="GWS45" s="6"/>
      <c r="GWT45" s="6"/>
      <c r="GWU45" s="6"/>
      <c r="GWV45" s="6"/>
      <c r="GWW45" s="6"/>
      <c r="GWX45" s="6"/>
      <c r="GWY45" s="6"/>
      <c r="GWZ45" s="6"/>
      <c r="GXA45" s="6"/>
      <c r="GXB45" s="6"/>
      <c r="GXC45" s="6"/>
      <c r="GXD45" s="6"/>
      <c r="GXE45" s="6"/>
      <c r="GXF45" s="6"/>
      <c r="GXG45" s="6"/>
      <c r="GXH45" s="6"/>
      <c r="GXI45" s="6"/>
      <c r="GXJ45" s="6"/>
      <c r="GXK45" s="6"/>
      <c r="GXL45" s="6"/>
      <c r="GXM45" s="6"/>
      <c r="GXN45" s="6"/>
      <c r="GXO45" s="6"/>
      <c r="GXP45" s="6"/>
      <c r="GXQ45" s="6"/>
      <c r="GXR45" s="6"/>
      <c r="GXS45" s="6"/>
      <c r="GXT45" s="6"/>
      <c r="GXU45" s="6"/>
      <c r="GXV45" s="6"/>
      <c r="GXW45" s="6"/>
      <c r="GXX45" s="6"/>
      <c r="GXY45" s="6"/>
      <c r="GXZ45" s="6"/>
      <c r="GYA45" s="6"/>
      <c r="GYB45" s="6"/>
      <c r="GYC45" s="6"/>
      <c r="GYD45" s="6"/>
      <c r="GYE45" s="6"/>
      <c r="GYF45" s="6"/>
      <c r="GYG45" s="6"/>
      <c r="GYH45" s="6"/>
      <c r="GYI45" s="6"/>
      <c r="GYJ45" s="6"/>
      <c r="GYK45" s="6"/>
      <c r="GYL45" s="6"/>
      <c r="GYM45" s="6"/>
      <c r="GYN45" s="6"/>
      <c r="GYO45" s="6"/>
      <c r="GYP45" s="6"/>
      <c r="GYQ45" s="6"/>
      <c r="GYR45" s="6"/>
      <c r="GYS45" s="6"/>
      <c r="GYT45" s="6"/>
      <c r="GYU45" s="6"/>
      <c r="GYV45" s="6"/>
      <c r="GYW45" s="6"/>
      <c r="GYX45" s="6"/>
      <c r="GYY45" s="6"/>
      <c r="GYZ45" s="6"/>
      <c r="GZA45" s="6"/>
      <c r="GZB45" s="6"/>
      <c r="GZC45" s="6"/>
      <c r="GZD45" s="6"/>
      <c r="GZE45" s="6"/>
      <c r="GZF45" s="6"/>
      <c r="GZG45" s="6"/>
      <c r="GZH45" s="6"/>
      <c r="GZI45" s="6"/>
      <c r="GZJ45" s="6"/>
      <c r="GZK45" s="6"/>
      <c r="GZL45" s="6"/>
      <c r="GZM45" s="6"/>
      <c r="GZN45" s="6"/>
      <c r="GZO45" s="6"/>
      <c r="GZP45" s="6"/>
      <c r="GZQ45" s="6"/>
      <c r="GZR45" s="6"/>
      <c r="GZS45" s="6"/>
      <c r="GZT45" s="6"/>
      <c r="GZU45" s="6"/>
      <c r="GZV45" s="6"/>
      <c r="GZW45" s="6"/>
      <c r="GZX45" s="6"/>
      <c r="GZY45" s="6"/>
      <c r="GZZ45" s="6"/>
      <c r="HAA45" s="6"/>
      <c r="HAB45" s="6"/>
      <c r="HAC45" s="6"/>
      <c r="HAD45" s="6"/>
      <c r="HAE45" s="6"/>
      <c r="HAF45" s="6"/>
      <c r="HAG45" s="6"/>
      <c r="HAH45" s="6"/>
      <c r="HAI45" s="6"/>
      <c r="HAJ45" s="6"/>
      <c r="HAK45" s="6"/>
      <c r="HAL45" s="6"/>
      <c r="HAM45" s="6"/>
      <c r="HAN45" s="6"/>
      <c r="HAO45" s="6"/>
      <c r="HAP45" s="6"/>
      <c r="HAQ45" s="6"/>
      <c r="HAR45" s="6"/>
      <c r="HAS45" s="6"/>
      <c r="HAT45" s="6"/>
      <c r="HAU45" s="6"/>
      <c r="HAV45" s="6"/>
      <c r="HAW45" s="6"/>
      <c r="HAX45" s="6"/>
      <c r="HAY45" s="6"/>
      <c r="HAZ45" s="6"/>
      <c r="HBA45" s="6"/>
      <c r="HBB45" s="6"/>
      <c r="HBC45" s="6"/>
      <c r="HBD45" s="6"/>
      <c r="HBE45" s="6"/>
      <c r="HBF45" s="6"/>
      <c r="HBG45" s="6"/>
      <c r="HBH45" s="6"/>
      <c r="HBI45" s="6"/>
      <c r="HBJ45" s="6"/>
      <c r="HBK45" s="6"/>
      <c r="HBL45" s="6"/>
      <c r="HBM45" s="6"/>
      <c r="HBN45" s="6"/>
      <c r="HBO45" s="6"/>
      <c r="HBP45" s="6"/>
      <c r="HBQ45" s="6"/>
      <c r="HBR45" s="6"/>
      <c r="HBS45" s="6"/>
      <c r="HBT45" s="6"/>
      <c r="HBU45" s="6"/>
      <c r="HBV45" s="6"/>
      <c r="HBW45" s="6"/>
      <c r="HBX45" s="6"/>
      <c r="HBY45" s="6"/>
      <c r="HBZ45" s="6"/>
      <c r="HCA45" s="6"/>
      <c r="HCB45" s="6"/>
      <c r="HCC45" s="6"/>
      <c r="HCD45" s="6"/>
      <c r="HCE45" s="6"/>
      <c r="HCF45" s="6"/>
      <c r="HCG45" s="6"/>
      <c r="HCH45" s="6"/>
      <c r="HCI45" s="6"/>
      <c r="HCJ45" s="6"/>
      <c r="HCK45" s="6"/>
      <c r="HCL45" s="6"/>
      <c r="HCM45" s="6"/>
      <c r="HCN45" s="6"/>
      <c r="HCO45" s="6"/>
      <c r="HCP45" s="6"/>
      <c r="HCQ45" s="6"/>
      <c r="HCR45" s="6"/>
      <c r="HCS45" s="6"/>
      <c r="HCT45" s="6"/>
      <c r="HCU45" s="6"/>
      <c r="HCV45" s="6"/>
      <c r="HCW45" s="6"/>
      <c r="HCX45" s="6"/>
      <c r="HCY45" s="6"/>
      <c r="HCZ45" s="6"/>
      <c r="HDA45" s="6"/>
      <c r="HDB45" s="6"/>
      <c r="HDC45" s="6"/>
      <c r="HDD45" s="6"/>
      <c r="HDE45" s="6"/>
      <c r="HDF45" s="6"/>
      <c r="HDG45" s="6"/>
      <c r="HDH45" s="6"/>
      <c r="HDI45" s="6"/>
      <c r="HDJ45" s="6"/>
      <c r="HDK45" s="6"/>
      <c r="HDL45" s="6"/>
      <c r="HDM45" s="6"/>
      <c r="HDN45" s="6"/>
      <c r="HDO45" s="6"/>
      <c r="HDP45" s="6"/>
      <c r="HDQ45" s="6"/>
      <c r="HDR45" s="6"/>
      <c r="HDS45" s="6"/>
      <c r="HDT45" s="6"/>
      <c r="HDU45" s="6"/>
      <c r="HDV45" s="6"/>
      <c r="HDW45" s="6"/>
      <c r="HDX45" s="6"/>
      <c r="HDY45" s="6"/>
      <c r="HDZ45" s="6"/>
      <c r="HEA45" s="6"/>
      <c r="HEB45" s="6"/>
      <c r="HEC45" s="6"/>
      <c r="HED45" s="6"/>
      <c r="HEE45" s="6"/>
      <c r="HEF45" s="6"/>
      <c r="HEG45" s="6"/>
      <c r="HEH45" s="6"/>
      <c r="HEI45" s="6"/>
      <c r="HEJ45" s="6"/>
      <c r="HEK45" s="6"/>
      <c r="HEL45" s="6"/>
      <c r="HEM45" s="6"/>
      <c r="HEN45" s="6"/>
      <c r="HEO45" s="6"/>
      <c r="HEP45" s="6"/>
      <c r="HEQ45" s="6"/>
      <c r="HER45" s="6"/>
      <c r="HES45" s="6"/>
      <c r="HET45" s="6"/>
      <c r="HEU45" s="6"/>
      <c r="HEV45" s="6"/>
      <c r="HEW45" s="6"/>
      <c r="HEX45" s="6"/>
      <c r="HEY45" s="6"/>
      <c r="HEZ45" s="6"/>
      <c r="HFA45" s="6"/>
      <c r="HFB45" s="6"/>
      <c r="HFC45" s="6"/>
      <c r="HFD45" s="6"/>
      <c r="HFE45" s="6"/>
      <c r="HFF45" s="6"/>
      <c r="HFG45" s="6"/>
      <c r="HFH45" s="6"/>
      <c r="HFI45" s="6"/>
      <c r="HFJ45" s="6"/>
      <c r="HFK45" s="6"/>
      <c r="HFL45" s="6"/>
      <c r="HFM45" s="6"/>
      <c r="HFN45" s="6"/>
      <c r="HFO45" s="6"/>
      <c r="HFP45" s="6"/>
      <c r="HFQ45" s="6"/>
      <c r="HFR45" s="6"/>
      <c r="HFS45" s="6"/>
      <c r="HFT45" s="6"/>
      <c r="HFU45" s="6"/>
      <c r="HFV45" s="6"/>
      <c r="HFW45" s="6"/>
      <c r="HFX45" s="6"/>
      <c r="HFY45" s="6"/>
      <c r="HFZ45" s="6"/>
      <c r="HGA45" s="6"/>
      <c r="HGB45" s="6"/>
      <c r="HGC45" s="6"/>
      <c r="HGD45" s="6"/>
      <c r="HGE45" s="6"/>
      <c r="HGF45" s="6"/>
      <c r="HGG45" s="6"/>
      <c r="HGH45" s="6"/>
      <c r="HGI45" s="6"/>
      <c r="HGJ45" s="6"/>
      <c r="HGK45" s="6"/>
      <c r="HGL45" s="6"/>
      <c r="HGM45" s="6"/>
      <c r="HGN45" s="6"/>
      <c r="HGO45" s="6"/>
      <c r="HGP45" s="6"/>
      <c r="HGQ45" s="6"/>
      <c r="HGR45" s="6"/>
      <c r="HGS45" s="6"/>
      <c r="HGT45" s="6"/>
      <c r="HGU45" s="6"/>
      <c r="HGV45" s="6"/>
      <c r="HGW45" s="6"/>
      <c r="HGX45" s="6"/>
      <c r="HGY45" s="6"/>
      <c r="HGZ45" s="6"/>
      <c r="HHA45" s="6"/>
      <c r="HHB45" s="6"/>
      <c r="HHC45" s="6"/>
      <c r="HHD45" s="6"/>
      <c r="HHE45" s="6"/>
      <c r="HHF45" s="6"/>
      <c r="HHG45" s="6"/>
      <c r="HHH45" s="6"/>
      <c r="HHI45" s="6"/>
      <c r="HHJ45" s="6"/>
      <c r="HHK45" s="6"/>
      <c r="HHL45" s="6"/>
      <c r="HHM45" s="6"/>
      <c r="HHN45" s="6"/>
      <c r="HHO45" s="6"/>
      <c r="HHP45" s="6"/>
      <c r="HHQ45" s="6"/>
      <c r="HHR45" s="6"/>
      <c r="HHS45" s="6"/>
      <c r="HHT45" s="6"/>
      <c r="HHU45" s="6"/>
      <c r="HHV45" s="6"/>
      <c r="HHW45" s="6"/>
      <c r="HHX45" s="6"/>
      <c r="HHY45" s="6"/>
      <c r="HHZ45" s="6"/>
      <c r="HIA45" s="6"/>
      <c r="HIB45" s="6"/>
      <c r="HIC45" s="6"/>
      <c r="HID45" s="6"/>
      <c r="HIE45" s="6"/>
      <c r="HIF45" s="6"/>
      <c r="HIG45" s="6"/>
      <c r="HIH45" s="6"/>
      <c r="HII45" s="6"/>
      <c r="HIJ45" s="6"/>
      <c r="HIK45" s="6"/>
      <c r="HIL45" s="6"/>
      <c r="HIM45" s="6"/>
      <c r="HIN45" s="6"/>
      <c r="HIO45" s="6"/>
      <c r="HIP45" s="6"/>
      <c r="HIQ45" s="6"/>
      <c r="HIR45" s="6"/>
      <c r="HIS45" s="6"/>
      <c r="HIT45" s="6"/>
      <c r="HIU45" s="6"/>
      <c r="HIV45" s="6"/>
      <c r="HIW45" s="6"/>
      <c r="HIX45" s="6"/>
      <c r="HIY45" s="6"/>
      <c r="HIZ45" s="6"/>
      <c r="HJA45" s="6"/>
      <c r="HJB45" s="6"/>
      <c r="HJC45" s="6"/>
      <c r="HJD45" s="6"/>
      <c r="HJE45" s="6"/>
      <c r="HJF45" s="6"/>
      <c r="HJG45" s="6"/>
      <c r="HJH45" s="6"/>
      <c r="HJI45" s="6"/>
      <c r="HJJ45" s="6"/>
      <c r="HJK45" s="6"/>
      <c r="HJL45" s="6"/>
      <c r="HJM45" s="6"/>
      <c r="HJN45" s="6"/>
      <c r="HJO45" s="6"/>
      <c r="HJP45" s="6"/>
      <c r="HJQ45" s="6"/>
      <c r="HJR45" s="6"/>
      <c r="HJS45" s="6"/>
      <c r="HJT45" s="6"/>
      <c r="HJU45" s="6"/>
      <c r="HJV45" s="6"/>
      <c r="HJW45" s="6"/>
      <c r="HJX45" s="6"/>
      <c r="HJY45" s="6"/>
      <c r="HJZ45" s="6"/>
      <c r="HKA45" s="6"/>
      <c r="HKB45" s="6"/>
      <c r="HKC45" s="6"/>
      <c r="HKD45" s="6"/>
      <c r="HKE45" s="6"/>
      <c r="HKF45" s="6"/>
      <c r="HKG45" s="6"/>
      <c r="HKH45" s="6"/>
      <c r="HKI45" s="6"/>
      <c r="HKJ45" s="6"/>
      <c r="HKK45" s="6"/>
      <c r="HKL45" s="6"/>
      <c r="HKM45" s="6"/>
      <c r="HKN45" s="6"/>
      <c r="HKO45" s="6"/>
      <c r="HKP45" s="6"/>
      <c r="HKQ45" s="6"/>
      <c r="HKR45" s="6"/>
      <c r="HKS45" s="6"/>
      <c r="HKT45" s="6"/>
      <c r="HKU45" s="6"/>
      <c r="HKV45" s="6"/>
      <c r="HKW45" s="6"/>
      <c r="HKX45" s="6"/>
      <c r="HKY45" s="6"/>
      <c r="HKZ45" s="6"/>
      <c r="HLA45" s="6"/>
      <c r="HLB45" s="6"/>
      <c r="HLC45" s="6"/>
      <c r="HLD45" s="6"/>
      <c r="HLE45" s="6"/>
      <c r="HLF45" s="6"/>
      <c r="HLG45" s="6"/>
      <c r="HLH45" s="6"/>
      <c r="HLI45" s="6"/>
      <c r="HLJ45" s="6"/>
      <c r="HLK45" s="6"/>
      <c r="HLL45" s="6"/>
      <c r="HLM45" s="6"/>
      <c r="HLN45" s="6"/>
      <c r="HLO45" s="6"/>
      <c r="HLP45" s="6"/>
      <c r="HLQ45" s="6"/>
      <c r="HLR45" s="6"/>
      <c r="HLS45" s="6"/>
      <c r="HLT45" s="6"/>
      <c r="HLU45" s="6"/>
      <c r="HLV45" s="6"/>
      <c r="HLW45" s="6"/>
      <c r="HLX45" s="6"/>
      <c r="HLY45" s="6"/>
      <c r="HLZ45" s="6"/>
      <c r="HMA45" s="6"/>
      <c r="HMB45" s="6"/>
      <c r="HMC45" s="6"/>
      <c r="HMD45" s="6"/>
      <c r="HME45" s="6"/>
      <c r="HMF45" s="6"/>
      <c r="HMG45" s="6"/>
      <c r="HMH45" s="6"/>
      <c r="HMI45" s="6"/>
      <c r="HMJ45" s="6"/>
      <c r="HMK45" s="6"/>
      <c r="HML45" s="6"/>
      <c r="HMM45" s="6"/>
      <c r="HMN45" s="6"/>
      <c r="HMO45" s="6"/>
      <c r="HMP45" s="6"/>
      <c r="HMQ45" s="6"/>
      <c r="HMR45" s="6"/>
      <c r="HMS45" s="6"/>
      <c r="HMT45" s="6"/>
      <c r="HMU45" s="6"/>
      <c r="HMV45" s="6"/>
      <c r="HMW45" s="6"/>
      <c r="HMX45" s="6"/>
      <c r="HMY45" s="6"/>
      <c r="HMZ45" s="6"/>
      <c r="HNA45" s="6"/>
      <c r="HNB45" s="6"/>
      <c r="HNC45" s="6"/>
      <c r="HND45" s="6"/>
      <c r="HNE45" s="6"/>
      <c r="HNF45" s="6"/>
      <c r="HNG45" s="6"/>
      <c r="HNH45" s="6"/>
      <c r="HNI45" s="6"/>
      <c r="HNJ45" s="6"/>
      <c r="HNK45" s="6"/>
      <c r="HNL45" s="6"/>
      <c r="HNM45" s="6"/>
      <c r="HNN45" s="6"/>
      <c r="HNO45" s="6"/>
      <c r="HNP45" s="6"/>
      <c r="HNQ45" s="6"/>
      <c r="HNR45" s="6"/>
      <c r="HNS45" s="6"/>
      <c r="HNT45" s="6"/>
      <c r="HNU45" s="6"/>
      <c r="HNV45" s="6"/>
      <c r="HNW45" s="6"/>
      <c r="HNX45" s="6"/>
      <c r="HNY45" s="6"/>
      <c r="HNZ45" s="6"/>
      <c r="HOA45" s="6"/>
      <c r="HOB45" s="6"/>
      <c r="HOC45" s="6"/>
      <c r="HOD45" s="6"/>
      <c r="HOE45" s="6"/>
      <c r="HOF45" s="6"/>
      <c r="HOG45" s="6"/>
      <c r="HOH45" s="6"/>
      <c r="HOI45" s="6"/>
      <c r="HOJ45" s="6"/>
      <c r="HOK45" s="6"/>
      <c r="HOL45" s="6"/>
      <c r="HOM45" s="6"/>
      <c r="HON45" s="6"/>
      <c r="HOO45" s="6"/>
      <c r="HOP45" s="6"/>
      <c r="HOQ45" s="6"/>
      <c r="HOR45" s="6"/>
      <c r="HOS45" s="6"/>
      <c r="HOT45" s="6"/>
      <c r="HOU45" s="6"/>
      <c r="HOV45" s="6"/>
      <c r="HOW45" s="6"/>
      <c r="HOX45" s="6"/>
      <c r="HOY45" s="6"/>
      <c r="HOZ45" s="6"/>
      <c r="HPA45" s="6"/>
      <c r="HPB45" s="6"/>
      <c r="HPC45" s="6"/>
      <c r="HPD45" s="6"/>
      <c r="HPE45" s="6"/>
      <c r="HPF45" s="6"/>
      <c r="HPG45" s="6"/>
      <c r="HPH45" s="6"/>
      <c r="HPI45" s="6"/>
      <c r="HPJ45" s="6"/>
      <c r="HPK45" s="6"/>
      <c r="HPL45" s="6"/>
      <c r="HPM45" s="6"/>
      <c r="HPN45" s="6"/>
      <c r="HPO45" s="6"/>
      <c r="HPP45" s="6"/>
      <c r="HPQ45" s="6"/>
      <c r="HPR45" s="6"/>
      <c r="HPS45" s="6"/>
      <c r="HPT45" s="6"/>
      <c r="HPU45" s="6"/>
      <c r="HPV45" s="6"/>
      <c r="HPW45" s="6"/>
      <c r="HPX45" s="6"/>
      <c r="HPY45" s="6"/>
      <c r="HPZ45" s="6"/>
      <c r="HQA45" s="6"/>
      <c r="HQB45" s="6"/>
      <c r="HQC45" s="6"/>
      <c r="HQD45" s="6"/>
      <c r="HQE45" s="6"/>
      <c r="HQF45" s="6"/>
      <c r="HQG45" s="6"/>
      <c r="HQH45" s="6"/>
      <c r="HQI45" s="6"/>
      <c r="HQJ45" s="6"/>
      <c r="HQK45" s="6"/>
      <c r="HQL45" s="6"/>
      <c r="HQM45" s="6"/>
      <c r="HQN45" s="6"/>
      <c r="HQO45" s="6"/>
      <c r="HQP45" s="6"/>
      <c r="HQQ45" s="6"/>
      <c r="HQR45" s="6"/>
      <c r="HQS45" s="6"/>
      <c r="HQT45" s="6"/>
      <c r="HQU45" s="6"/>
      <c r="HQV45" s="6"/>
      <c r="HQW45" s="6"/>
      <c r="HQX45" s="6"/>
      <c r="HQY45" s="6"/>
      <c r="HQZ45" s="6"/>
      <c r="HRA45" s="6"/>
      <c r="HRB45" s="6"/>
      <c r="HRC45" s="6"/>
      <c r="HRD45" s="6"/>
      <c r="HRE45" s="6"/>
      <c r="HRF45" s="6"/>
      <c r="HRG45" s="6"/>
      <c r="HRH45" s="6"/>
      <c r="HRI45" s="6"/>
      <c r="HRJ45" s="6"/>
      <c r="HRK45" s="6"/>
      <c r="HRL45" s="6"/>
      <c r="HRM45" s="6"/>
      <c r="HRN45" s="6"/>
      <c r="HRO45" s="6"/>
      <c r="HRP45" s="6"/>
      <c r="HRQ45" s="6"/>
      <c r="HRR45" s="6"/>
      <c r="HRS45" s="6"/>
      <c r="HRT45" s="6"/>
      <c r="HRU45" s="6"/>
      <c r="HRV45" s="6"/>
      <c r="HRW45" s="6"/>
      <c r="HRX45" s="6"/>
      <c r="HRY45" s="6"/>
      <c r="HRZ45" s="6"/>
      <c r="HSA45" s="6"/>
      <c r="HSB45" s="6"/>
      <c r="HSC45" s="6"/>
      <c r="HSD45" s="6"/>
      <c r="HSE45" s="6"/>
      <c r="HSF45" s="6"/>
      <c r="HSG45" s="6"/>
      <c r="HSH45" s="6"/>
      <c r="HSI45" s="6"/>
      <c r="HSJ45" s="6"/>
      <c r="HSK45" s="6"/>
      <c r="HSL45" s="6"/>
      <c r="HSM45" s="6"/>
      <c r="HSN45" s="6"/>
      <c r="HSO45" s="6"/>
      <c r="HSP45" s="6"/>
      <c r="HSQ45" s="6"/>
      <c r="HSR45" s="6"/>
      <c r="HSS45" s="6"/>
      <c r="HST45" s="6"/>
      <c r="HSU45" s="6"/>
      <c r="HSV45" s="6"/>
      <c r="HSW45" s="6"/>
      <c r="HSX45" s="6"/>
      <c r="HSY45" s="6"/>
      <c r="HSZ45" s="6"/>
      <c r="HTA45" s="6"/>
      <c r="HTB45" s="6"/>
      <c r="HTC45" s="6"/>
      <c r="HTD45" s="6"/>
      <c r="HTE45" s="6"/>
      <c r="HTF45" s="6"/>
      <c r="HTG45" s="6"/>
      <c r="HTH45" s="6"/>
      <c r="HTI45" s="6"/>
      <c r="HTJ45" s="6"/>
      <c r="HTK45" s="6"/>
      <c r="HTL45" s="6"/>
      <c r="HTM45" s="6"/>
      <c r="HTN45" s="6"/>
      <c r="HTO45" s="6"/>
      <c r="HTP45" s="6"/>
      <c r="HTQ45" s="6"/>
      <c r="HTR45" s="6"/>
      <c r="HTS45" s="6"/>
      <c r="HTT45" s="6"/>
      <c r="HTU45" s="6"/>
      <c r="HTV45" s="6"/>
      <c r="HTW45" s="6"/>
      <c r="HTX45" s="6"/>
      <c r="HTY45" s="6"/>
      <c r="HTZ45" s="6"/>
      <c r="HUA45" s="6"/>
      <c r="HUB45" s="6"/>
      <c r="HUC45" s="6"/>
      <c r="HUD45" s="6"/>
      <c r="HUE45" s="6"/>
      <c r="HUF45" s="6"/>
      <c r="HUG45" s="6"/>
      <c r="HUH45" s="6"/>
      <c r="HUI45" s="6"/>
      <c r="HUJ45" s="6"/>
      <c r="HUK45" s="6"/>
      <c r="HUL45" s="6"/>
      <c r="HUM45" s="6"/>
      <c r="HUN45" s="6"/>
      <c r="HUO45" s="6"/>
      <c r="HUP45" s="6"/>
      <c r="HUQ45" s="6"/>
      <c r="HUR45" s="6"/>
      <c r="HUS45" s="6"/>
      <c r="HUT45" s="6"/>
      <c r="HUU45" s="6"/>
      <c r="HUV45" s="6"/>
      <c r="HUW45" s="6"/>
      <c r="HUX45" s="6"/>
      <c r="HUY45" s="6"/>
      <c r="HUZ45" s="6"/>
      <c r="HVA45" s="6"/>
      <c r="HVB45" s="6"/>
      <c r="HVC45" s="6"/>
      <c r="HVD45" s="6"/>
      <c r="HVE45" s="6"/>
      <c r="HVF45" s="6"/>
      <c r="HVG45" s="6"/>
      <c r="HVH45" s="6"/>
      <c r="HVI45" s="6"/>
      <c r="HVJ45" s="6"/>
      <c r="HVK45" s="6"/>
      <c r="HVL45" s="6"/>
      <c r="HVM45" s="6"/>
      <c r="HVN45" s="6"/>
      <c r="HVO45" s="6"/>
      <c r="HVP45" s="6"/>
      <c r="HVQ45" s="6"/>
      <c r="HVR45" s="6"/>
      <c r="HVS45" s="6"/>
      <c r="HVT45" s="6"/>
      <c r="HVU45" s="6"/>
      <c r="HVV45" s="6"/>
      <c r="HVW45" s="6"/>
      <c r="HVX45" s="6"/>
      <c r="HVY45" s="6"/>
      <c r="HVZ45" s="6"/>
      <c r="HWA45" s="6"/>
      <c r="HWB45" s="6"/>
      <c r="HWC45" s="6"/>
      <c r="HWD45" s="6"/>
      <c r="HWE45" s="6"/>
      <c r="HWF45" s="6"/>
      <c r="HWG45" s="6"/>
      <c r="HWH45" s="6"/>
      <c r="HWI45" s="6"/>
      <c r="HWJ45" s="6"/>
      <c r="HWK45" s="6"/>
      <c r="HWL45" s="6"/>
      <c r="HWM45" s="6"/>
      <c r="HWN45" s="6"/>
      <c r="HWO45" s="6"/>
      <c r="HWP45" s="6"/>
      <c r="HWQ45" s="6"/>
      <c r="HWR45" s="6"/>
      <c r="HWS45" s="6"/>
      <c r="HWT45" s="6"/>
      <c r="HWU45" s="6"/>
      <c r="HWV45" s="6"/>
      <c r="HWW45" s="6"/>
      <c r="HWX45" s="6"/>
      <c r="HWY45" s="6"/>
      <c r="HWZ45" s="6"/>
      <c r="HXA45" s="6"/>
      <c r="HXB45" s="6"/>
      <c r="HXC45" s="6"/>
      <c r="HXD45" s="6"/>
      <c r="HXE45" s="6"/>
      <c r="HXF45" s="6"/>
      <c r="HXG45" s="6"/>
      <c r="HXH45" s="6"/>
      <c r="HXI45" s="6"/>
      <c r="HXJ45" s="6"/>
      <c r="HXK45" s="6"/>
      <c r="HXL45" s="6"/>
      <c r="HXM45" s="6"/>
      <c r="HXN45" s="6"/>
      <c r="HXO45" s="6"/>
      <c r="HXP45" s="6"/>
      <c r="HXQ45" s="6"/>
      <c r="HXR45" s="6"/>
      <c r="HXS45" s="6"/>
      <c r="HXT45" s="6"/>
      <c r="HXU45" s="6"/>
      <c r="HXV45" s="6"/>
      <c r="HXW45" s="6"/>
      <c r="HXX45" s="6"/>
      <c r="HXY45" s="6"/>
      <c r="HXZ45" s="6"/>
      <c r="HYA45" s="6"/>
      <c r="HYB45" s="6"/>
      <c r="HYC45" s="6"/>
      <c r="HYD45" s="6"/>
      <c r="HYE45" s="6"/>
      <c r="HYF45" s="6"/>
      <c r="HYG45" s="6"/>
      <c r="HYH45" s="6"/>
      <c r="HYI45" s="6"/>
      <c r="HYJ45" s="6"/>
      <c r="HYK45" s="6"/>
      <c r="HYL45" s="6"/>
      <c r="HYM45" s="6"/>
      <c r="HYN45" s="6"/>
      <c r="HYO45" s="6"/>
      <c r="HYP45" s="6"/>
      <c r="HYQ45" s="6"/>
      <c r="HYR45" s="6"/>
      <c r="HYS45" s="6"/>
      <c r="HYT45" s="6"/>
      <c r="HYU45" s="6"/>
      <c r="HYV45" s="6"/>
      <c r="HYW45" s="6"/>
      <c r="HYX45" s="6"/>
      <c r="HYY45" s="6"/>
      <c r="HYZ45" s="6"/>
      <c r="HZA45" s="6"/>
      <c r="HZB45" s="6"/>
      <c r="HZC45" s="6"/>
      <c r="HZD45" s="6"/>
      <c r="HZE45" s="6"/>
      <c r="HZF45" s="6"/>
      <c r="HZG45" s="6"/>
      <c r="HZH45" s="6"/>
      <c r="HZI45" s="6"/>
      <c r="HZJ45" s="6"/>
      <c r="HZK45" s="6"/>
      <c r="HZL45" s="6"/>
      <c r="HZM45" s="6"/>
      <c r="HZN45" s="6"/>
      <c r="HZO45" s="6"/>
      <c r="HZP45" s="6"/>
      <c r="HZQ45" s="6"/>
      <c r="HZR45" s="6"/>
      <c r="HZS45" s="6"/>
      <c r="HZT45" s="6"/>
      <c r="HZU45" s="6"/>
      <c r="HZV45" s="6"/>
      <c r="HZW45" s="6"/>
      <c r="HZX45" s="6"/>
      <c r="HZY45" s="6"/>
      <c r="HZZ45" s="6"/>
      <c r="IAA45" s="6"/>
      <c r="IAB45" s="6"/>
      <c r="IAC45" s="6"/>
      <c r="IAD45" s="6"/>
      <c r="IAE45" s="6"/>
      <c r="IAF45" s="6"/>
      <c r="IAG45" s="6"/>
      <c r="IAH45" s="6"/>
      <c r="IAI45" s="6"/>
      <c r="IAJ45" s="6"/>
      <c r="IAK45" s="6"/>
      <c r="IAL45" s="6"/>
      <c r="IAM45" s="6"/>
      <c r="IAN45" s="6"/>
      <c r="IAO45" s="6"/>
      <c r="IAP45" s="6"/>
      <c r="IAQ45" s="6"/>
      <c r="IAR45" s="6"/>
      <c r="IAS45" s="6"/>
      <c r="IAT45" s="6"/>
      <c r="IAU45" s="6"/>
      <c r="IAV45" s="6"/>
      <c r="IAW45" s="6"/>
      <c r="IAX45" s="6"/>
      <c r="IAY45" s="6"/>
      <c r="IAZ45" s="6"/>
      <c r="IBA45" s="6"/>
      <c r="IBB45" s="6"/>
      <c r="IBC45" s="6"/>
      <c r="IBD45" s="6"/>
      <c r="IBE45" s="6"/>
      <c r="IBF45" s="6"/>
      <c r="IBG45" s="6"/>
      <c r="IBH45" s="6"/>
      <c r="IBI45" s="6"/>
      <c r="IBJ45" s="6"/>
      <c r="IBK45" s="6"/>
      <c r="IBL45" s="6"/>
      <c r="IBM45" s="6"/>
      <c r="IBN45" s="6"/>
      <c r="IBO45" s="6"/>
      <c r="IBP45" s="6"/>
      <c r="IBQ45" s="6"/>
      <c r="IBR45" s="6"/>
      <c r="IBS45" s="6"/>
      <c r="IBT45" s="6"/>
      <c r="IBU45" s="6"/>
      <c r="IBV45" s="6"/>
      <c r="IBW45" s="6"/>
      <c r="IBX45" s="6"/>
      <c r="IBY45" s="6"/>
      <c r="IBZ45" s="6"/>
      <c r="ICA45" s="6"/>
      <c r="ICB45" s="6"/>
      <c r="ICC45" s="6"/>
      <c r="ICD45" s="6"/>
      <c r="ICE45" s="6"/>
      <c r="ICF45" s="6"/>
      <c r="ICG45" s="6"/>
      <c r="ICH45" s="6"/>
      <c r="ICI45" s="6"/>
      <c r="ICJ45" s="6"/>
      <c r="ICK45" s="6"/>
      <c r="ICL45" s="6"/>
      <c r="ICM45" s="6"/>
      <c r="ICN45" s="6"/>
      <c r="ICO45" s="6"/>
      <c r="ICP45" s="6"/>
      <c r="ICQ45" s="6"/>
      <c r="ICR45" s="6"/>
      <c r="ICS45" s="6"/>
      <c r="ICT45" s="6"/>
      <c r="ICU45" s="6"/>
      <c r="ICV45" s="6"/>
      <c r="ICW45" s="6"/>
      <c r="ICX45" s="6"/>
      <c r="ICY45" s="6"/>
      <c r="ICZ45" s="6"/>
      <c r="IDA45" s="6"/>
      <c r="IDB45" s="6"/>
      <c r="IDC45" s="6"/>
      <c r="IDD45" s="6"/>
      <c r="IDE45" s="6"/>
      <c r="IDF45" s="6"/>
      <c r="IDG45" s="6"/>
      <c r="IDH45" s="6"/>
      <c r="IDI45" s="6"/>
      <c r="IDJ45" s="6"/>
      <c r="IDK45" s="6"/>
      <c r="IDL45" s="6"/>
      <c r="IDM45" s="6"/>
      <c r="IDN45" s="6"/>
      <c r="IDO45" s="6"/>
      <c r="IDP45" s="6"/>
      <c r="IDQ45" s="6"/>
      <c r="IDR45" s="6"/>
      <c r="IDS45" s="6"/>
      <c r="IDT45" s="6"/>
      <c r="IDU45" s="6"/>
      <c r="IDV45" s="6"/>
      <c r="IDW45" s="6"/>
      <c r="IDX45" s="6"/>
      <c r="IDY45" s="6"/>
      <c r="IDZ45" s="6"/>
      <c r="IEA45" s="6"/>
      <c r="IEB45" s="6"/>
      <c r="IEC45" s="6"/>
      <c r="IED45" s="6"/>
      <c r="IEE45" s="6"/>
      <c r="IEF45" s="6"/>
      <c r="IEG45" s="6"/>
      <c r="IEH45" s="6"/>
      <c r="IEI45" s="6"/>
      <c r="IEJ45" s="6"/>
      <c r="IEK45" s="6"/>
      <c r="IEL45" s="6"/>
      <c r="IEM45" s="6"/>
      <c r="IEN45" s="6"/>
      <c r="IEO45" s="6"/>
      <c r="IEP45" s="6"/>
      <c r="IEQ45" s="6"/>
      <c r="IER45" s="6"/>
      <c r="IES45" s="6"/>
      <c r="IET45" s="6"/>
      <c r="IEU45" s="6"/>
      <c r="IEV45" s="6"/>
      <c r="IEW45" s="6"/>
      <c r="IEX45" s="6"/>
      <c r="IEY45" s="6"/>
      <c r="IEZ45" s="6"/>
      <c r="IFA45" s="6"/>
      <c r="IFB45" s="6"/>
      <c r="IFC45" s="6"/>
      <c r="IFD45" s="6"/>
      <c r="IFE45" s="6"/>
      <c r="IFF45" s="6"/>
      <c r="IFG45" s="6"/>
      <c r="IFH45" s="6"/>
      <c r="IFI45" s="6"/>
      <c r="IFJ45" s="6"/>
      <c r="IFK45" s="6"/>
      <c r="IFL45" s="6"/>
      <c r="IFM45" s="6"/>
      <c r="IFN45" s="6"/>
      <c r="IFO45" s="6"/>
      <c r="IFP45" s="6"/>
      <c r="IFQ45" s="6"/>
      <c r="IFR45" s="6"/>
      <c r="IFS45" s="6"/>
      <c r="IFT45" s="6"/>
      <c r="IFU45" s="6"/>
      <c r="IFV45" s="6"/>
      <c r="IFW45" s="6"/>
      <c r="IFX45" s="6"/>
      <c r="IFY45" s="6"/>
      <c r="IFZ45" s="6"/>
      <c r="IGA45" s="6"/>
      <c r="IGB45" s="6"/>
      <c r="IGC45" s="6"/>
      <c r="IGD45" s="6"/>
      <c r="IGE45" s="6"/>
      <c r="IGF45" s="6"/>
      <c r="IGG45" s="6"/>
      <c r="IGH45" s="6"/>
      <c r="IGI45" s="6"/>
      <c r="IGJ45" s="6"/>
      <c r="IGK45" s="6"/>
      <c r="IGL45" s="6"/>
      <c r="IGM45" s="6"/>
      <c r="IGN45" s="6"/>
      <c r="IGO45" s="6"/>
      <c r="IGP45" s="6"/>
      <c r="IGQ45" s="6"/>
      <c r="IGR45" s="6"/>
      <c r="IGS45" s="6"/>
      <c r="IGT45" s="6"/>
      <c r="IGU45" s="6"/>
      <c r="IGV45" s="6"/>
      <c r="IGW45" s="6"/>
      <c r="IGX45" s="6"/>
      <c r="IGY45" s="6"/>
      <c r="IGZ45" s="6"/>
      <c r="IHA45" s="6"/>
      <c r="IHB45" s="6"/>
      <c r="IHC45" s="6"/>
      <c r="IHD45" s="6"/>
      <c r="IHE45" s="6"/>
      <c r="IHF45" s="6"/>
      <c r="IHG45" s="6"/>
      <c r="IHH45" s="6"/>
      <c r="IHI45" s="6"/>
      <c r="IHJ45" s="6"/>
      <c r="IHK45" s="6"/>
      <c r="IHL45" s="6"/>
      <c r="IHM45" s="6"/>
      <c r="IHN45" s="6"/>
      <c r="IHO45" s="6"/>
      <c r="IHP45" s="6"/>
      <c r="IHQ45" s="6"/>
      <c r="IHR45" s="6"/>
      <c r="IHS45" s="6"/>
      <c r="IHT45" s="6"/>
      <c r="IHU45" s="6"/>
      <c r="IHV45" s="6"/>
      <c r="IHW45" s="6"/>
      <c r="IHX45" s="6"/>
      <c r="IHY45" s="6"/>
      <c r="IHZ45" s="6"/>
      <c r="IIA45" s="6"/>
      <c r="IIB45" s="6"/>
      <c r="IIC45" s="6"/>
      <c r="IID45" s="6"/>
      <c r="IIE45" s="6"/>
      <c r="IIF45" s="6"/>
      <c r="IIG45" s="6"/>
      <c r="IIH45" s="6"/>
      <c r="III45" s="6"/>
      <c r="IIJ45" s="6"/>
      <c r="IIK45" s="6"/>
      <c r="IIL45" s="6"/>
      <c r="IIM45" s="6"/>
      <c r="IIN45" s="6"/>
      <c r="IIO45" s="6"/>
      <c r="IIP45" s="6"/>
      <c r="IIQ45" s="6"/>
      <c r="IIR45" s="6"/>
      <c r="IIS45" s="6"/>
      <c r="IIT45" s="6"/>
      <c r="IIU45" s="6"/>
      <c r="IIV45" s="6"/>
      <c r="IIW45" s="6"/>
      <c r="IIX45" s="6"/>
      <c r="IIY45" s="6"/>
      <c r="IIZ45" s="6"/>
      <c r="IJA45" s="6"/>
      <c r="IJB45" s="6"/>
      <c r="IJC45" s="6"/>
      <c r="IJD45" s="6"/>
      <c r="IJE45" s="6"/>
      <c r="IJF45" s="6"/>
      <c r="IJG45" s="6"/>
      <c r="IJH45" s="6"/>
      <c r="IJI45" s="6"/>
      <c r="IJJ45" s="6"/>
      <c r="IJK45" s="6"/>
      <c r="IJL45" s="6"/>
      <c r="IJM45" s="6"/>
      <c r="IJN45" s="6"/>
      <c r="IJO45" s="6"/>
      <c r="IJP45" s="6"/>
      <c r="IJQ45" s="6"/>
      <c r="IJR45" s="6"/>
      <c r="IJS45" s="6"/>
      <c r="IJT45" s="6"/>
      <c r="IJU45" s="6"/>
      <c r="IJV45" s="6"/>
      <c r="IJW45" s="6"/>
      <c r="IJX45" s="6"/>
      <c r="IJY45" s="6"/>
      <c r="IJZ45" s="6"/>
      <c r="IKA45" s="6"/>
      <c r="IKB45" s="6"/>
      <c r="IKC45" s="6"/>
      <c r="IKD45" s="6"/>
      <c r="IKE45" s="6"/>
      <c r="IKF45" s="6"/>
      <c r="IKG45" s="6"/>
      <c r="IKH45" s="6"/>
      <c r="IKI45" s="6"/>
      <c r="IKJ45" s="6"/>
      <c r="IKK45" s="6"/>
      <c r="IKL45" s="6"/>
      <c r="IKM45" s="6"/>
      <c r="IKN45" s="6"/>
      <c r="IKO45" s="6"/>
      <c r="IKP45" s="6"/>
      <c r="IKQ45" s="6"/>
      <c r="IKR45" s="6"/>
      <c r="IKS45" s="6"/>
      <c r="IKT45" s="6"/>
      <c r="IKU45" s="6"/>
      <c r="IKV45" s="6"/>
      <c r="IKW45" s="6"/>
      <c r="IKX45" s="6"/>
      <c r="IKY45" s="6"/>
      <c r="IKZ45" s="6"/>
      <c r="ILA45" s="6"/>
      <c r="ILB45" s="6"/>
      <c r="ILC45" s="6"/>
      <c r="ILD45" s="6"/>
      <c r="ILE45" s="6"/>
      <c r="ILF45" s="6"/>
      <c r="ILG45" s="6"/>
      <c r="ILH45" s="6"/>
      <c r="ILI45" s="6"/>
      <c r="ILJ45" s="6"/>
      <c r="ILK45" s="6"/>
      <c r="ILL45" s="6"/>
      <c r="ILM45" s="6"/>
      <c r="ILN45" s="6"/>
      <c r="ILO45" s="6"/>
      <c r="ILP45" s="6"/>
      <c r="ILQ45" s="6"/>
      <c r="ILR45" s="6"/>
      <c r="ILS45" s="6"/>
      <c r="ILT45" s="6"/>
      <c r="ILU45" s="6"/>
      <c r="ILV45" s="6"/>
      <c r="ILW45" s="6"/>
      <c r="ILX45" s="6"/>
      <c r="ILY45" s="6"/>
      <c r="ILZ45" s="6"/>
      <c r="IMA45" s="6"/>
      <c r="IMB45" s="6"/>
      <c r="IMC45" s="6"/>
      <c r="IMD45" s="6"/>
      <c r="IME45" s="6"/>
      <c r="IMF45" s="6"/>
      <c r="IMG45" s="6"/>
      <c r="IMH45" s="6"/>
      <c r="IMI45" s="6"/>
      <c r="IMJ45" s="6"/>
      <c r="IMK45" s="6"/>
      <c r="IML45" s="6"/>
      <c r="IMM45" s="6"/>
      <c r="IMN45" s="6"/>
      <c r="IMO45" s="6"/>
      <c r="IMP45" s="6"/>
      <c r="IMQ45" s="6"/>
      <c r="IMR45" s="6"/>
      <c r="IMS45" s="6"/>
      <c r="IMT45" s="6"/>
      <c r="IMU45" s="6"/>
      <c r="IMV45" s="6"/>
      <c r="IMW45" s="6"/>
      <c r="IMX45" s="6"/>
      <c r="IMY45" s="6"/>
      <c r="IMZ45" s="6"/>
      <c r="INA45" s="6"/>
      <c r="INB45" s="6"/>
      <c r="INC45" s="6"/>
      <c r="IND45" s="6"/>
      <c r="INE45" s="6"/>
      <c r="INF45" s="6"/>
      <c r="ING45" s="6"/>
      <c r="INH45" s="6"/>
      <c r="INI45" s="6"/>
      <c r="INJ45" s="6"/>
      <c r="INK45" s="6"/>
      <c r="INL45" s="6"/>
      <c r="INM45" s="6"/>
      <c r="INN45" s="6"/>
      <c r="INO45" s="6"/>
      <c r="INP45" s="6"/>
      <c r="INQ45" s="6"/>
      <c r="INR45" s="6"/>
      <c r="INS45" s="6"/>
      <c r="INT45" s="6"/>
      <c r="INU45" s="6"/>
      <c r="INV45" s="6"/>
      <c r="INW45" s="6"/>
      <c r="INX45" s="6"/>
      <c r="INY45" s="6"/>
      <c r="INZ45" s="6"/>
      <c r="IOA45" s="6"/>
      <c r="IOB45" s="6"/>
      <c r="IOC45" s="6"/>
      <c r="IOD45" s="6"/>
      <c r="IOE45" s="6"/>
      <c r="IOF45" s="6"/>
      <c r="IOG45" s="6"/>
      <c r="IOH45" s="6"/>
      <c r="IOI45" s="6"/>
      <c r="IOJ45" s="6"/>
      <c r="IOK45" s="6"/>
      <c r="IOL45" s="6"/>
      <c r="IOM45" s="6"/>
      <c r="ION45" s="6"/>
      <c r="IOO45" s="6"/>
      <c r="IOP45" s="6"/>
      <c r="IOQ45" s="6"/>
      <c r="IOR45" s="6"/>
      <c r="IOS45" s="6"/>
      <c r="IOT45" s="6"/>
      <c r="IOU45" s="6"/>
      <c r="IOV45" s="6"/>
      <c r="IOW45" s="6"/>
      <c r="IOX45" s="6"/>
      <c r="IOY45" s="6"/>
      <c r="IOZ45" s="6"/>
      <c r="IPA45" s="6"/>
      <c r="IPB45" s="6"/>
      <c r="IPC45" s="6"/>
      <c r="IPD45" s="6"/>
      <c r="IPE45" s="6"/>
      <c r="IPF45" s="6"/>
      <c r="IPG45" s="6"/>
      <c r="IPH45" s="6"/>
      <c r="IPI45" s="6"/>
      <c r="IPJ45" s="6"/>
      <c r="IPK45" s="6"/>
      <c r="IPL45" s="6"/>
      <c r="IPM45" s="6"/>
      <c r="IPN45" s="6"/>
      <c r="IPO45" s="6"/>
      <c r="IPP45" s="6"/>
      <c r="IPQ45" s="6"/>
      <c r="IPR45" s="6"/>
      <c r="IPS45" s="6"/>
      <c r="IPT45" s="6"/>
      <c r="IPU45" s="6"/>
      <c r="IPV45" s="6"/>
      <c r="IPW45" s="6"/>
      <c r="IPX45" s="6"/>
      <c r="IPY45" s="6"/>
      <c r="IPZ45" s="6"/>
      <c r="IQA45" s="6"/>
      <c r="IQB45" s="6"/>
      <c r="IQC45" s="6"/>
      <c r="IQD45" s="6"/>
      <c r="IQE45" s="6"/>
      <c r="IQF45" s="6"/>
      <c r="IQG45" s="6"/>
      <c r="IQH45" s="6"/>
      <c r="IQI45" s="6"/>
      <c r="IQJ45" s="6"/>
      <c r="IQK45" s="6"/>
      <c r="IQL45" s="6"/>
      <c r="IQM45" s="6"/>
      <c r="IQN45" s="6"/>
      <c r="IQO45" s="6"/>
      <c r="IQP45" s="6"/>
      <c r="IQQ45" s="6"/>
      <c r="IQR45" s="6"/>
      <c r="IQS45" s="6"/>
      <c r="IQT45" s="6"/>
      <c r="IQU45" s="6"/>
      <c r="IQV45" s="6"/>
      <c r="IQW45" s="6"/>
      <c r="IQX45" s="6"/>
      <c r="IQY45" s="6"/>
      <c r="IQZ45" s="6"/>
      <c r="IRA45" s="6"/>
      <c r="IRB45" s="6"/>
      <c r="IRC45" s="6"/>
      <c r="IRD45" s="6"/>
      <c r="IRE45" s="6"/>
      <c r="IRF45" s="6"/>
      <c r="IRG45" s="6"/>
      <c r="IRH45" s="6"/>
      <c r="IRI45" s="6"/>
      <c r="IRJ45" s="6"/>
      <c r="IRK45" s="6"/>
      <c r="IRL45" s="6"/>
      <c r="IRM45" s="6"/>
      <c r="IRN45" s="6"/>
      <c r="IRO45" s="6"/>
      <c r="IRP45" s="6"/>
      <c r="IRQ45" s="6"/>
      <c r="IRR45" s="6"/>
      <c r="IRS45" s="6"/>
      <c r="IRT45" s="6"/>
      <c r="IRU45" s="6"/>
      <c r="IRV45" s="6"/>
      <c r="IRW45" s="6"/>
      <c r="IRX45" s="6"/>
      <c r="IRY45" s="6"/>
      <c r="IRZ45" s="6"/>
      <c r="ISA45" s="6"/>
      <c r="ISB45" s="6"/>
      <c r="ISC45" s="6"/>
      <c r="ISD45" s="6"/>
      <c r="ISE45" s="6"/>
      <c r="ISF45" s="6"/>
      <c r="ISG45" s="6"/>
      <c r="ISH45" s="6"/>
      <c r="ISI45" s="6"/>
      <c r="ISJ45" s="6"/>
      <c r="ISK45" s="6"/>
      <c r="ISL45" s="6"/>
      <c r="ISM45" s="6"/>
      <c r="ISN45" s="6"/>
      <c r="ISO45" s="6"/>
      <c r="ISP45" s="6"/>
      <c r="ISQ45" s="6"/>
      <c r="ISR45" s="6"/>
      <c r="ISS45" s="6"/>
      <c r="IST45" s="6"/>
      <c r="ISU45" s="6"/>
      <c r="ISV45" s="6"/>
      <c r="ISW45" s="6"/>
      <c r="ISX45" s="6"/>
      <c r="ISY45" s="6"/>
      <c r="ISZ45" s="6"/>
      <c r="ITA45" s="6"/>
      <c r="ITB45" s="6"/>
      <c r="ITC45" s="6"/>
      <c r="ITD45" s="6"/>
      <c r="ITE45" s="6"/>
      <c r="ITF45" s="6"/>
      <c r="ITG45" s="6"/>
      <c r="ITH45" s="6"/>
      <c r="ITI45" s="6"/>
      <c r="ITJ45" s="6"/>
      <c r="ITK45" s="6"/>
      <c r="ITL45" s="6"/>
      <c r="ITM45" s="6"/>
      <c r="ITN45" s="6"/>
      <c r="ITO45" s="6"/>
      <c r="ITP45" s="6"/>
      <c r="ITQ45" s="6"/>
      <c r="ITR45" s="6"/>
      <c r="ITS45" s="6"/>
      <c r="ITT45" s="6"/>
      <c r="ITU45" s="6"/>
      <c r="ITV45" s="6"/>
      <c r="ITW45" s="6"/>
      <c r="ITX45" s="6"/>
      <c r="ITY45" s="6"/>
      <c r="ITZ45" s="6"/>
      <c r="IUA45" s="6"/>
      <c r="IUB45" s="6"/>
      <c r="IUC45" s="6"/>
      <c r="IUD45" s="6"/>
      <c r="IUE45" s="6"/>
      <c r="IUF45" s="6"/>
      <c r="IUG45" s="6"/>
      <c r="IUH45" s="6"/>
      <c r="IUI45" s="6"/>
      <c r="IUJ45" s="6"/>
      <c r="IUK45" s="6"/>
      <c r="IUL45" s="6"/>
      <c r="IUM45" s="6"/>
      <c r="IUN45" s="6"/>
      <c r="IUO45" s="6"/>
      <c r="IUP45" s="6"/>
      <c r="IUQ45" s="6"/>
      <c r="IUR45" s="6"/>
      <c r="IUS45" s="6"/>
      <c r="IUT45" s="6"/>
      <c r="IUU45" s="6"/>
      <c r="IUV45" s="6"/>
      <c r="IUW45" s="6"/>
      <c r="IUX45" s="6"/>
      <c r="IUY45" s="6"/>
      <c r="IUZ45" s="6"/>
      <c r="IVA45" s="6"/>
      <c r="IVB45" s="6"/>
      <c r="IVC45" s="6"/>
      <c r="IVD45" s="6"/>
      <c r="IVE45" s="6"/>
      <c r="IVF45" s="6"/>
      <c r="IVG45" s="6"/>
      <c r="IVH45" s="6"/>
      <c r="IVI45" s="6"/>
      <c r="IVJ45" s="6"/>
      <c r="IVK45" s="6"/>
      <c r="IVL45" s="6"/>
      <c r="IVM45" s="6"/>
      <c r="IVN45" s="6"/>
      <c r="IVO45" s="6"/>
      <c r="IVP45" s="6"/>
      <c r="IVQ45" s="6"/>
      <c r="IVR45" s="6"/>
      <c r="IVS45" s="6"/>
      <c r="IVT45" s="6"/>
      <c r="IVU45" s="6"/>
      <c r="IVV45" s="6"/>
      <c r="IVW45" s="6"/>
      <c r="IVX45" s="6"/>
      <c r="IVY45" s="6"/>
      <c r="IVZ45" s="6"/>
      <c r="IWA45" s="6"/>
      <c r="IWB45" s="6"/>
      <c r="IWC45" s="6"/>
      <c r="IWD45" s="6"/>
      <c r="IWE45" s="6"/>
      <c r="IWF45" s="6"/>
      <c r="IWG45" s="6"/>
      <c r="IWH45" s="6"/>
      <c r="IWI45" s="6"/>
      <c r="IWJ45" s="6"/>
      <c r="IWK45" s="6"/>
      <c r="IWL45" s="6"/>
      <c r="IWM45" s="6"/>
      <c r="IWN45" s="6"/>
      <c r="IWO45" s="6"/>
      <c r="IWP45" s="6"/>
      <c r="IWQ45" s="6"/>
      <c r="IWR45" s="6"/>
      <c r="IWS45" s="6"/>
      <c r="IWT45" s="6"/>
      <c r="IWU45" s="6"/>
      <c r="IWV45" s="6"/>
      <c r="IWW45" s="6"/>
      <c r="IWX45" s="6"/>
      <c r="IWY45" s="6"/>
      <c r="IWZ45" s="6"/>
      <c r="IXA45" s="6"/>
      <c r="IXB45" s="6"/>
      <c r="IXC45" s="6"/>
      <c r="IXD45" s="6"/>
      <c r="IXE45" s="6"/>
      <c r="IXF45" s="6"/>
      <c r="IXG45" s="6"/>
      <c r="IXH45" s="6"/>
      <c r="IXI45" s="6"/>
      <c r="IXJ45" s="6"/>
      <c r="IXK45" s="6"/>
      <c r="IXL45" s="6"/>
      <c r="IXM45" s="6"/>
      <c r="IXN45" s="6"/>
      <c r="IXO45" s="6"/>
      <c r="IXP45" s="6"/>
      <c r="IXQ45" s="6"/>
      <c r="IXR45" s="6"/>
      <c r="IXS45" s="6"/>
      <c r="IXT45" s="6"/>
      <c r="IXU45" s="6"/>
      <c r="IXV45" s="6"/>
      <c r="IXW45" s="6"/>
      <c r="IXX45" s="6"/>
      <c r="IXY45" s="6"/>
      <c r="IXZ45" s="6"/>
      <c r="IYA45" s="6"/>
      <c r="IYB45" s="6"/>
      <c r="IYC45" s="6"/>
      <c r="IYD45" s="6"/>
      <c r="IYE45" s="6"/>
      <c r="IYF45" s="6"/>
      <c r="IYG45" s="6"/>
      <c r="IYH45" s="6"/>
      <c r="IYI45" s="6"/>
      <c r="IYJ45" s="6"/>
      <c r="IYK45" s="6"/>
      <c r="IYL45" s="6"/>
      <c r="IYM45" s="6"/>
      <c r="IYN45" s="6"/>
      <c r="IYO45" s="6"/>
      <c r="IYP45" s="6"/>
      <c r="IYQ45" s="6"/>
      <c r="IYR45" s="6"/>
      <c r="IYS45" s="6"/>
      <c r="IYT45" s="6"/>
      <c r="IYU45" s="6"/>
      <c r="IYV45" s="6"/>
      <c r="IYW45" s="6"/>
      <c r="IYX45" s="6"/>
      <c r="IYY45" s="6"/>
      <c r="IYZ45" s="6"/>
      <c r="IZA45" s="6"/>
      <c r="IZB45" s="6"/>
      <c r="IZC45" s="6"/>
      <c r="IZD45" s="6"/>
      <c r="IZE45" s="6"/>
      <c r="IZF45" s="6"/>
      <c r="IZG45" s="6"/>
      <c r="IZH45" s="6"/>
      <c r="IZI45" s="6"/>
      <c r="IZJ45" s="6"/>
      <c r="IZK45" s="6"/>
      <c r="IZL45" s="6"/>
      <c r="IZM45" s="6"/>
      <c r="IZN45" s="6"/>
      <c r="IZO45" s="6"/>
      <c r="IZP45" s="6"/>
      <c r="IZQ45" s="6"/>
      <c r="IZR45" s="6"/>
      <c r="IZS45" s="6"/>
      <c r="IZT45" s="6"/>
      <c r="IZU45" s="6"/>
      <c r="IZV45" s="6"/>
      <c r="IZW45" s="6"/>
      <c r="IZX45" s="6"/>
      <c r="IZY45" s="6"/>
      <c r="IZZ45" s="6"/>
      <c r="JAA45" s="6"/>
      <c r="JAB45" s="6"/>
      <c r="JAC45" s="6"/>
      <c r="JAD45" s="6"/>
      <c r="JAE45" s="6"/>
      <c r="JAF45" s="6"/>
      <c r="JAG45" s="6"/>
      <c r="JAH45" s="6"/>
      <c r="JAI45" s="6"/>
      <c r="JAJ45" s="6"/>
      <c r="JAK45" s="6"/>
      <c r="JAL45" s="6"/>
      <c r="JAM45" s="6"/>
      <c r="JAN45" s="6"/>
      <c r="JAO45" s="6"/>
      <c r="JAP45" s="6"/>
      <c r="JAQ45" s="6"/>
      <c r="JAR45" s="6"/>
      <c r="JAS45" s="6"/>
      <c r="JAT45" s="6"/>
      <c r="JAU45" s="6"/>
      <c r="JAV45" s="6"/>
      <c r="JAW45" s="6"/>
      <c r="JAX45" s="6"/>
      <c r="JAY45" s="6"/>
      <c r="JAZ45" s="6"/>
      <c r="JBA45" s="6"/>
      <c r="JBB45" s="6"/>
      <c r="JBC45" s="6"/>
      <c r="JBD45" s="6"/>
      <c r="JBE45" s="6"/>
      <c r="JBF45" s="6"/>
      <c r="JBG45" s="6"/>
      <c r="JBH45" s="6"/>
      <c r="JBI45" s="6"/>
      <c r="JBJ45" s="6"/>
      <c r="JBK45" s="6"/>
      <c r="JBL45" s="6"/>
      <c r="JBM45" s="6"/>
      <c r="JBN45" s="6"/>
      <c r="JBO45" s="6"/>
      <c r="JBP45" s="6"/>
      <c r="JBQ45" s="6"/>
      <c r="JBR45" s="6"/>
      <c r="JBS45" s="6"/>
      <c r="JBT45" s="6"/>
      <c r="JBU45" s="6"/>
      <c r="JBV45" s="6"/>
      <c r="JBW45" s="6"/>
      <c r="JBX45" s="6"/>
      <c r="JBY45" s="6"/>
      <c r="JBZ45" s="6"/>
      <c r="JCA45" s="6"/>
      <c r="JCB45" s="6"/>
      <c r="JCC45" s="6"/>
      <c r="JCD45" s="6"/>
      <c r="JCE45" s="6"/>
      <c r="JCF45" s="6"/>
      <c r="JCG45" s="6"/>
      <c r="JCH45" s="6"/>
      <c r="JCI45" s="6"/>
      <c r="JCJ45" s="6"/>
      <c r="JCK45" s="6"/>
      <c r="JCL45" s="6"/>
      <c r="JCM45" s="6"/>
      <c r="JCN45" s="6"/>
      <c r="JCO45" s="6"/>
      <c r="JCP45" s="6"/>
      <c r="JCQ45" s="6"/>
      <c r="JCR45" s="6"/>
      <c r="JCS45" s="6"/>
      <c r="JCT45" s="6"/>
      <c r="JCU45" s="6"/>
      <c r="JCV45" s="6"/>
      <c r="JCW45" s="6"/>
      <c r="JCX45" s="6"/>
      <c r="JCY45" s="6"/>
      <c r="JCZ45" s="6"/>
      <c r="JDA45" s="6"/>
      <c r="JDB45" s="6"/>
      <c r="JDC45" s="6"/>
      <c r="JDD45" s="6"/>
      <c r="JDE45" s="6"/>
      <c r="JDF45" s="6"/>
      <c r="JDG45" s="6"/>
      <c r="JDH45" s="6"/>
      <c r="JDI45" s="6"/>
      <c r="JDJ45" s="6"/>
      <c r="JDK45" s="6"/>
      <c r="JDL45" s="6"/>
      <c r="JDM45" s="6"/>
      <c r="JDN45" s="6"/>
      <c r="JDO45" s="6"/>
      <c r="JDP45" s="6"/>
      <c r="JDQ45" s="6"/>
      <c r="JDR45" s="6"/>
      <c r="JDS45" s="6"/>
      <c r="JDT45" s="6"/>
      <c r="JDU45" s="6"/>
      <c r="JDV45" s="6"/>
      <c r="JDW45" s="6"/>
      <c r="JDX45" s="6"/>
      <c r="JDY45" s="6"/>
      <c r="JDZ45" s="6"/>
      <c r="JEA45" s="6"/>
      <c r="JEB45" s="6"/>
      <c r="JEC45" s="6"/>
      <c r="JED45" s="6"/>
      <c r="JEE45" s="6"/>
      <c r="JEF45" s="6"/>
      <c r="JEG45" s="6"/>
      <c r="JEH45" s="6"/>
      <c r="JEI45" s="6"/>
      <c r="JEJ45" s="6"/>
      <c r="JEK45" s="6"/>
      <c r="JEL45" s="6"/>
      <c r="JEM45" s="6"/>
      <c r="JEN45" s="6"/>
      <c r="JEO45" s="6"/>
      <c r="JEP45" s="6"/>
      <c r="JEQ45" s="6"/>
      <c r="JER45" s="6"/>
      <c r="JES45" s="6"/>
      <c r="JET45" s="6"/>
      <c r="JEU45" s="6"/>
      <c r="JEV45" s="6"/>
      <c r="JEW45" s="6"/>
      <c r="JEX45" s="6"/>
      <c r="JEY45" s="6"/>
      <c r="JEZ45" s="6"/>
      <c r="JFA45" s="6"/>
      <c r="JFB45" s="6"/>
      <c r="JFC45" s="6"/>
      <c r="JFD45" s="6"/>
      <c r="JFE45" s="6"/>
      <c r="JFF45" s="6"/>
      <c r="JFG45" s="6"/>
      <c r="JFH45" s="6"/>
      <c r="JFI45" s="6"/>
      <c r="JFJ45" s="6"/>
      <c r="JFK45" s="6"/>
      <c r="JFL45" s="6"/>
      <c r="JFM45" s="6"/>
      <c r="JFN45" s="6"/>
      <c r="JFO45" s="6"/>
      <c r="JFP45" s="6"/>
      <c r="JFQ45" s="6"/>
      <c r="JFR45" s="6"/>
      <c r="JFS45" s="6"/>
      <c r="JFT45" s="6"/>
      <c r="JFU45" s="6"/>
      <c r="JFV45" s="6"/>
      <c r="JFW45" s="6"/>
      <c r="JFX45" s="6"/>
      <c r="JFY45" s="6"/>
      <c r="JFZ45" s="6"/>
      <c r="JGA45" s="6"/>
      <c r="JGB45" s="6"/>
      <c r="JGC45" s="6"/>
      <c r="JGD45" s="6"/>
      <c r="JGE45" s="6"/>
      <c r="JGF45" s="6"/>
      <c r="JGG45" s="6"/>
      <c r="JGH45" s="6"/>
      <c r="JGI45" s="6"/>
      <c r="JGJ45" s="6"/>
      <c r="JGK45" s="6"/>
      <c r="JGL45" s="6"/>
      <c r="JGM45" s="6"/>
      <c r="JGN45" s="6"/>
      <c r="JGO45" s="6"/>
      <c r="JGP45" s="6"/>
      <c r="JGQ45" s="6"/>
      <c r="JGR45" s="6"/>
      <c r="JGS45" s="6"/>
      <c r="JGT45" s="6"/>
      <c r="JGU45" s="6"/>
      <c r="JGV45" s="6"/>
      <c r="JGW45" s="6"/>
      <c r="JGX45" s="6"/>
      <c r="JGY45" s="6"/>
      <c r="JGZ45" s="6"/>
      <c r="JHA45" s="6"/>
      <c r="JHB45" s="6"/>
      <c r="JHC45" s="6"/>
      <c r="JHD45" s="6"/>
      <c r="JHE45" s="6"/>
      <c r="JHF45" s="6"/>
      <c r="JHG45" s="6"/>
      <c r="JHH45" s="6"/>
      <c r="JHI45" s="6"/>
      <c r="JHJ45" s="6"/>
      <c r="JHK45" s="6"/>
      <c r="JHL45" s="6"/>
      <c r="JHM45" s="6"/>
      <c r="JHN45" s="6"/>
      <c r="JHO45" s="6"/>
      <c r="JHP45" s="6"/>
      <c r="JHQ45" s="6"/>
      <c r="JHR45" s="6"/>
      <c r="JHS45" s="6"/>
      <c r="JHT45" s="6"/>
      <c r="JHU45" s="6"/>
      <c r="JHV45" s="6"/>
      <c r="JHW45" s="6"/>
      <c r="JHX45" s="6"/>
      <c r="JHY45" s="6"/>
      <c r="JHZ45" s="6"/>
      <c r="JIA45" s="6"/>
      <c r="JIB45" s="6"/>
      <c r="JIC45" s="6"/>
      <c r="JID45" s="6"/>
      <c r="JIE45" s="6"/>
      <c r="JIF45" s="6"/>
      <c r="JIG45" s="6"/>
      <c r="JIH45" s="6"/>
      <c r="JII45" s="6"/>
      <c r="JIJ45" s="6"/>
      <c r="JIK45" s="6"/>
      <c r="JIL45" s="6"/>
      <c r="JIM45" s="6"/>
      <c r="JIN45" s="6"/>
      <c r="JIO45" s="6"/>
      <c r="JIP45" s="6"/>
      <c r="JIQ45" s="6"/>
      <c r="JIR45" s="6"/>
      <c r="JIS45" s="6"/>
      <c r="JIT45" s="6"/>
      <c r="JIU45" s="6"/>
      <c r="JIV45" s="6"/>
      <c r="JIW45" s="6"/>
      <c r="JIX45" s="6"/>
      <c r="JIY45" s="6"/>
      <c r="JIZ45" s="6"/>
      <c r="JJA45" s="6"/>
      <c r="JJB45" s="6"/>
      <c r="JJC45" s="6"/>
      <c r="JJD45" s="6"/>
      <c r="JJE45" s="6"/>
      <c r="JJF45" s="6"/>
      <c r="JJG45" s="6"/>
      <c r="JJH45" s="6"/>
      <c r="JJI45" s="6"/>
      <c r="JJJ45" s="6"/>
      <c r="JJK45" s="6"/>
      <c r="JJL45" s="6"/>
      <c r="JJM45" s="6"/>
      <c r="JJN45" s="6"/>
      <c r="JJO45" s="6"/>
      <c r="JJP45" s="6"/>
      <c r="JJQ45" s="6"/>
      <c r="JJR45" s="6"/>
      <c r="JJS45" s="6"/>
      <c r="JJT45" s="6"/>
      <c r="JJU45" s="6"/>
      <c r="JJV45" s="6"/>
      <c r="JJW45" s="6"/>
      <c r="JJX45" s="6"/>
      <c r="JJY45" s="6"/>
      <c r="JJZ45" s="6"/>
      <c r="JKA45" s="6"/>
      <c r="JKB45" s="6"/>
      <c r="JKC45" s="6"/>
      <c r="JKD45" s="6"/>
      <c r="JKE45" s="6"/>
      <c r="JKF45" s="6"/>
      <c r="JKG45" s="6"/>
      <c r="JKH45" s="6"/>
      <c r="JKI45" s="6"/>
      <c r="JKJ45" s="6"/>
      <c r="JKK45" s="6"/>
      <c r="JKL45" s="6"/>
      <c r="JKM45" s="6"/>
      <c r="JKN45" s="6"/>
      <c r="JKO45" s="6"/>
      <c r="JKP45" s="6"/>
      <c r="JKQ45" s="6"/>
      <c r="JKR45" s="6"/>
      <c r="JKS45" s="6"/>
      <c r="JKT45" s="6"/>
      <c r="JKU45" s="6"/>
      <c r="JKV45" s="6"/>
      <c r="JKW45" s="6"/>
      <c r="JKX45" s="6"/>
      <c r="JKY45" s="6"/>
      <c r="JKZ45" s="6"/>
      <c r="JLA45" s="6"/>
      <c r="JLB45" s="6"/>
      <c r="JLC45" s="6"/>
      <c r="JLD45" s="6"/>
      <c r="JLE45" s="6"/>
      <c r="JLF45" s="6"/>
      <c r="JLG45" s="6"/>
      <c r="JLH45" s="6"/>
      <c r="JLI45" s="6"/>
      <c r="JLJ45" s="6"/>
      <c r="JLK45" s="6"/>
      <c r="JLL45" s="6"/>
      <c r="JLM45" s="6"/>
      <c r="JLN45" s="6"/>
      <c r="JLO45" s="6"/>
      <c r="JLP45" s="6"/>
      <c r="JLQ45" s="6"/>
      <c r="JLR45" s="6"/>
      <c r="JLS45" s="6"/>
      <c r="JLT45" s="6"/>
      <c r="JLU45" s="6"/>
      <c r="JLV45" s="6"/>
      <c r="JLW45" s="6"/>
      <c r="JLX45" s="6"/>
      <c r="JLY45" s="6"/>
      <c r="JLZ45" s="6"/>
      <c r="JMA45" s="6"/>
      <c r="JMB45" s="6"/>
      <c r="JMC45" s="6"/>
      <c r="JMD45" s="6"/>
      <c r="JME45" s="6"/>
      <c r="JMF45" s="6"/>
      <c r="JMG45" s="6"/>
      <c r="JMH45" s="6"/>
      <c r="JMI45" s="6"/>
      <c r="JMJ45" s="6"/>
      <c r="JMK45" s="6"/>
      <c r="JML45" s="6"/>
      <c r="JMM45" s="6"/>
      <c r="JMN45" s="6"/>
      <c r="JMO45" s="6"/>
      <c r="JMP45" s="6"/>
      <c r="JMQ45" s="6"/>
      <c r="JMR45" s="6"/>
      <c r="JMS45" s="6"/>
      <c r="JMT45" s="6"/>
      <c r="JMU45" s="6"/>
      <c r="JMV45" s="6"/>
      <c r="JMW45" s="6"/>
      <c r="JMX45" s="6"/>
      <c r="JMY45" s="6"/>
      <c r="JMZ45" s="6"/>
      <c r="JNA45" s="6"/>
      <c r="JNB45" s="6"/>
      <c r="JNC45" s="6"/>
      <c r="JND45" s="6"/>
      <c r="JNE45" s="6"/>
      <c r="JNF45" s="6"/>
      <c r="JNG45" s="6"/>
      <c r="JNH45" s="6"/>
      <c r="JNI45" s="6"/>
      <c r="JNJ45" s="6"/>
      <c r="JNK45" s="6"/>
      <c r="JNL45" s="6"/>
      <c r="JNM45" s="6"/>
      <c r="JNN45" s="6"/>
      <c r="JNO45" s="6"/>
      <c r="JNP45" s="6"/>
      <c r="JNQ45" s="6"/>
      <c r="JNR45" s="6"/>
      <c r="JNS45" s="6"/>
      <c r="JNT45" s="6"/>
      <c r="JNU45" s="6"/>
      <c r="JNV45" s="6"/>
      <c r="JNW45" s="6"/>
      <c r="JNX45" s="6"/>
      <c r="JNY45" s="6"/>
      <c r="JNZ45" s="6"/>
      <c r="JOA45" s="6"/>
      <c r="JOB45" s="6"/>
      <c r="JOC45" s="6"/>
      <c r="JOD45" s="6"/>
      <c r="JOE45" s="6"/>
      <c r="JOF45" s="6"/>
      <c r="JOG45" s="6"/>
      <c r="JOH45" s="6"/>
      <c r="JOI45" s="6"/>
      <c r="JOJ45" s="6"/>
      <c r="JOK45" s="6"/>
      <c r="JOL45" s="6"/>
      <c r="JOM45" s="6"/>
      <c r="JON45" s="6"/>
      <c r="JOO45" s="6"/>
      <c r="JOP45" s="6"/>
      <c r="JOQ45" s="6"/>
      <c r="JOR45" s="6"/>
      <c r="JOS45" s="6"/>
      <c r="JOT45" s="6"/>
      <c r="JOU45" s="6"/>
      <c r="JOV45" s="6"/>
      <c r="JOW45" s="6"/>
      <c r="JOX45" s="6"/>
      <c r="JOY45" s="6"/>
      <c r="JOZ45" s="6"/>
      <c r="JPA45" s="6"/>
      <c r="JPB45" s="6"/>
      <c r="JPC45" s="6"/>
      <c r="JPD45" s="6"/>
      <c r="JPE45" s="6"/>
      <c r="JPF45" s="6"/>
      <c r="JPG45" s="6"/>
      <c r="JPH45" s="6"/>
      <c r="JPI45" s="6"/>
      <c r="JPJ45" s="6"/>
      <c r="JPK45" s="6"/>
      <c r="JPL45" s="6"/>
      <c r="JPM45" s="6"/>
      <c r="JPN45" s="6"/>
      <c r="JPO45" s="6"/>
      <c r="JPP45" s="6"/>
      <c r="JPQ45" s="6"/>
      <c r="JPR45" s="6"/>
      <c r="JPS45" s="6"/>
      <c r="JPT45" s="6"/>
      <c r="JPU45" s="6"/>
      <c r="JPV45" s="6"/>
      <c r="JPW45" s="6"/>
      <c r="JPX45" s="6"/>
      <c r="JPY45" s="6"/>
      <c r="JPZ45" s="6"/>
      <c r="JQA45" s="6"/>
      <c r="JQB45" s="6"/>
      <c r="JQC45" s="6"/>
      <c r="JQD45" s="6"/>
      <c r="JQE45" s="6"/>
      <c r="JQF45" s="6"/>
      <c r="JQG45" s="6"/>
      <c r="JQH45" s="6"/>
      <c r="JQI45" s="6"/>
      <c r="JQJ45" s="6"/>
      <c r="JQK45" s="6"/>
      <c r="JQL45" s="6"/>
      <c r="JQM45" s="6"/>
      <c r="JQN45" s="6"/>
      <c r="JQO45" s="6"/>
      <c r="JQP45" s="6"/>
      <c r="JQQ45" s="6"/>
      <c r="JQR45" s="6"/>
      <c r="JQS45" s="6"/>
      <c r="JQT45" s="6"/>
      <c r="JQU45" s="6"/>
      <c r="JQV45" s="6"/>
      <c r="JQW45" s="6"/>
      <c r="JQX45" s="6"/>
      <c r="JQY45" s="6"/>
      <c r="JQZ45" s="6"/>
      <c r="JRA45" s="6"/>
      <c r="JRB45" s="6"/>
      <c r="JRC45" s="6"/>
      <c r="JRD45" s="6"/>
      <c r="JRE45" s="6"/>
      <c r="JRF45" s="6"/>
      <c r="JRG45" s="6"/>
      <c r="JRH45" s="6"/>
      <c r="JRI45" s="6"/>
      <c r="JRJ45" s="6"/>
      <c r="JRK45" s="6"/>
      <c r="JRL45" s="6"/>
      <c r="JRM45" s="6"/>
      <c r="JRN45" s="6"/>
      <c r="JRO45" s="6"/>
      <c r="JRP45" s="6"/>
      <c r="JRQ45" s="6"/>
      <c r="JRR45" s="6"/>
      <c r="JRS45" s="6"/>
      <c r="JRT45" s="6"/>
      <c r="JRU45" s="6"/>
      <c r="JRV45" s="6"/>
      <c r="JRW45" s="6"/>
      <c r="JRX45" s="6"/>
      <c r="JRY45" s="6"/>
      <c r="JRZ45" s="6"/>
      <c r="JSA45" s="6"/>
      <c r="JSB45" s="6"/>
      <c r="JSC45" s="6"/>
      <c r="JSD45" s="6"/>
      <c r="JSE45" s="6"/>
      <c r="JSF45" s="6"/>
      <c r="JSG45" s="6"/>
      <c r="JSH45" s="6"/>
      <c r="JSI45" s="6"/>
      <c r="JSJ45" s="6"/>
      <c r="JSK45" s="6"/>
      <c r="JSL45" s="6"/>
      <c r="JSM45" s="6"/>
      <c r="JSN45" s="6"/>
      <c r="JSO45" s="6"/>
      <c r="JSP45" s="6"/>
      <c r="JSQ45" s="6"/>
      <c r="JSR45" s="6"/>
      <c r="JSS45" s="6"/>
      <c r="JST45" s="6"/>
      <c r="JSU45" s="6"/>
      <c r="JSV45" s="6"/>
      <c r="JSW45" s="6"/>
      <c r="JSX45" s="6"/>
      <c r="JSY45" s="6"/>
      <c r="JSZ45" s="6"/>
      <c r="JTA45" s="6"/>
      <c r="JTB45" s="6"/>
      <c r="JTC45" s="6"/>
      <c r="JTD45" s="6"/>
      <c r="JTE45" s="6"/>
      <c r="JTF45" s="6"/>
      <c r="JTG45" s="6"/>
      <c r="JTH45" s="6"/>
      <c r="JTI45" s="6"/>
      <c r="JTJ45" s="6"/>
      <c r="JTK45" s="6"/>
      <c r="JTL45" s="6"/>
      <c r="JTM45" s="6"/>
      <c r="JTN45" s="6"/>
      <c r="JTO45" s="6"/>
      <c r="JTP45" s="6"/>
      <c r="JTQ45" s="6"/>
      <c r="JTR45" s="6"/>
      <c r="JTS45" s="6"/>
      <c r="JTT45" s="6"/>
      <c r="JTU45" s="6"/>
      <c r="JTV45" s="6"/>
      <c r="JTW45" s="6"/>
      <c r="JTX45" s="6"/>
      <c r="JTY45" s="6"/>
      <c r="JTZ45" s="6"/>
      <c r="JUA45" s="6"/>
      <c r="JUB45" s="6"/>
      <c r="JUC45" s="6"/>
      <c r="JUD45" s="6"/>
      <c r="JUE45" s="6"/>
      <c r="JUF45" s="6"/>
      <c r="JUG45" s="6"/>
      <c r="JUH45" s="6"/>
      <c r="JUI45" s="6"/>
      <c r="JUJ45" s="6"/>
      <c r="JUK45" s="6"/>
      <c r="JUL45" s="6"/>
      <c r="JUM45" s="6"/>
      <c r="JUN45" s="6"/>
      <c r="JUO45" s="6"/>
      <c r="JUP45" s="6"/>
      <c r="JUQ45" s="6"/>
      <c r="JUR45" s="6"/>
      <c r="JUS45" s="6"/>
      <c r="JUT45" s="6"/>
      <c r="JUU45" s="6"/>
      <c r="JUV45" s="6"/>
      <c r="JUW45" s="6"/>
      <c r="JUX45" s="6"/>
      <c r="JUY45" s="6"/>
      <c r="JUZ45" s="6"/>
      <c r="JVA45" s="6"/>
      <c r="JVB45" s="6"/>
      <c r="JVC45" s="6"/>
      <c r="JVD45" s="6"/>
      <c r="JVE45" s="6"/>
      <c r="JVF45" s="6"/>
      <c r="JVG45" s="6"/>
      <c r="JVH45" s="6"/>
      <c r="JVI45" s="6"/>
      <c r="JVJ45" s="6"/>
      <c r="JVK45" s="6"/>
      <c r="JVL45" s="6"/>
      <c r="JVM45" s="6"/>
      <c r="JVN45" s="6"/>
      <c r="JVO45" s="6"/>
      <c r="JVP45" s="6"/>
      <c r="JVQ45" s="6"/>
      <c r="JVR45" s="6"/>
      <c r="JVS45" s="6"/>
      <c r="JVT45" s="6"/>
      <c r="JVU45" s="6"/>
      <c r="JVV45" s="6"/>
      <c r="JVW45" s="6"/>
      <c r="JVX45" s="6"/>
      <c r="JVY45" s="6"/>
      <c r="JVZ45" s="6"/>
      <c r="JWA45" s="6"/>
      <c r="JWB45" s="6"/>
      <c r="JWC45" s="6"/>
      <c r="JWD45" s="6"/>
      <c r="JWE45" s="6"/>
      <c r="JWF45" s="6"/>
      <c r="JWG45" s="6"/>
      <c r="JWH45" s="6"/>
      <c r="JWI45" s="6"/>
      <c r="JWJ45" s="6"/>
      <c r="JWK45" s="6"/>
      <c r="JWL45" s="6"/>
      <c r="JWM45" s="6"/>
      <c r="JWN45" s="6"/>
      <c r="JWO45" s="6"/>
      <c r="JWP45" s="6"/>
      <c r="JWQ45" s="6"/>
      <c r="JWR45" s="6"/>
      <c r="JWS45" s="6"/>
      <c r="JWT45" s="6"/>
      <c r="JWU45" s="6"/>
      <c r="JWV45" s="6"/>
      <c r="JWW45" s="6"/>
      <c r="JWX45" s="6"/>
      <c r="JWY45" s="6"/>
      <c r="JWZ45" s="6"/>
      <c r="JXA45" s="6"/>
      <c r="JXB45" s="6"/>
      <c r="JXC45" s="6"/>
      <c r="JXD45" s="6"/>
      <c r="JXE45" s="6"/>
      <c r="JXF45" s="6"/>
      <c r="JXG45" s="6"/>
      <c r="JXH45" s="6"/>
      <c r="JXI45" s="6"/>
      <c r="JXJ45" s="6"/>
      <c r="JXK45" s="6"/>
      <c r="JXL45" s="6"/>
      <c r="JXM45" s="6"/>
      <c r="JXN45" s="6"/>
      <c r="JXO45" s="6"/>
      <c r="JXP45" s="6"/>
      <c r="JXQ45" s="6"/>
      <c r="JXR45" s="6"/>
      <c r="JXS45" s="6"/>
      <c r="JXT45" s="6"/>
      <c r="JXU45" s="6"/>
      <c r="JXV45" s="6"/>
      <c r="JXW45" s="6"/>
      <c r="JXX45" s="6"/>
      <c r="JXY45" s="6"/>
      <c r="JXZ45" s="6"/>
      <c r="JYA45" s="6"/>
      <c r="JYB45" s="6"/>
      <c r="JYC45" s="6"/>
      <c r="JYD45" s="6"/>
      <c r="JYE45" s="6"/>
      <c r="JYF45" s="6"/>
      <c r="JYG45" s="6"/>
      <c r="JYH45" s="6"/>
      <c r="JYI45" s="6"/>
      <c r="JYJ45" s="6"/>
      <c r="JYK45" s="6"/>
      <c r="JYL45" s="6"/>
      <c r="JYM45" s="6"/>
      <c r="JYN45" s="6"/>
      <c r="JYO45" s="6"/>
      <c r="JYP45" s="6"/>
      <c r="JYQ45" s="6"/>
      <c r="JYR45" s="6"/>
      <c r="JYS45" s="6"/>
      <c r="JYT45" s="6"/>
      <c r="JYU45" s="6"/>
      <c r="JYV45" s="6"/>
      <c r="JYW45" s="6"/>
      <c r="JYX45" s="6"/>
      <c r="JYY45" s="6"/>
      <c r="JYZ45" s="6"/>
      <c r="JZA45" s="6"/>
      <c r="JZB45" s="6"/>
      <c r="JZC45" s="6"/>
      <c r="JZD45" s="6"/>
      <c r="JZE45" s="6"/>
      <c r="JZF45" s="6"/>
      <c r="JZG45" s="6"/>
      <c r="JZH45" s="6"/>
      <c r="JZI45" s="6"/>
      <c r="JZJ45" s="6"/>
      <c r="JZK45" s="6"/>
      <c r="JZL45" s="6"/>
      <c r="JZM45" s="6"/>
      <c r="JZN45" s="6"/>
      <c r="JZO45" s="6"/>
      <c r="JZP45" s="6"/>
      <c r="JZQ45" s="6"/>
      <c r="JZR45" s="6"/>
      <c r="JZS45" s="6"/>
      <c r="JZT45" s="6"/>
      <c r="JZU45" s="6"/>
      <c r="JZV45" s="6"/>
      <c r="JZW45" s="6"/>
      <c r="JZX45" s="6"/>
      <c r="JZY45" s="6"/>
      <c r="JZZ45" s="6"/>
      <c r="KAA45" s="6"/>
      <c r="KAB45" s="6"/>
      <c r="KAC45" s="6"/>
      <c r="KAD45" s="6"/>
      <c r="KAE45" s="6"/>
      <c r="KAF45" s="6"/>
      <c r="KAG45" s="6"/>
      <c r="KAH45" s="6"/>
      <c r="KAI45" s="6"/>
      <c r="KAJ45" s="6"/>
      <c r="KAK45" s="6"/>
      <c r="KAL45" s="6"/>
      <c r="KAM45" s="6"/>
      <c r="KAN45" s="6"/>
      <c r="KAO45" s="6"/>
      <c r="KAP45" s="6"/>
      <c r="KAQ45" s="6"/>
      <c r="KAR45" s="6"/>
      <c r="KAS45" s="6"/>
      <c r="KAT45" s="6"/>
      <c r="KAU45" s="6"/>
      <c r="KAV45" s="6"/>
      <c r="KAW45" s="6"/>
      <c r="KAX45" s="6"/>
      <c r="KAY45" s="6"/>
      <c r="KAZ45" s="6"/>
      <c r="KBA45" s="6"/>
      <c r="KBB45" s="6"/>
      <c r="KBC45" s="6"/>
      <c r="KBD45" s="6"/>
      <c r="KBE45" s="6"/>
      <c r="KBF45" s="6"/>
      <c r="KBG45" s="6"/>
      <c r="KBH45" s="6"/>
      <c r="KBI45" s="6"/>
      <c r="KBJ45" s="6"/>
      <c r="KBK45" s="6"/>
      <c r="KBL45" s="6"/>
      <c r="KBM45" s="6"/>
      <c r="KBN45" s="6"/>
      <c r="KBO45" s="6"/>
      <c r="KBP45" s="6"/>
      <c r="KBQ45" s="6"/>
      <c r="KBR45" s="6"/>
      <c r="KBS45" s="6"/>
      <c r="KBT45" s="6"/>
      <c r="KBU45" s="6"/>
      <c r="KBV45" s="6"/>
      <c r="KBW45" s="6"/>
      <c r="KBX45" s="6"/>
      <c r="KBY45" s="6"/>
      <c r="KBZ45" s="6"/>
      <c r="KCA45" s="6"/>
      <c r="KCB45" s="6"/>
      <c r="KCC45" s="6"/>
      <c r="KCD45" s="6"/>
      <c r="KCE45" s="6"/>
      <c r="KCF45" s="6"/>
      <c r="KCG45" s="6"/>
      <c r="KCH45" s="6"/>
      <c r="KCI45" s="6"/>
      <c r="KCJ45" s="6"/>
      <c r="KCK45" s="6"/>
      <c r="KCL45" s="6"/>
      <c r="KCM45" s="6"/>
      <c r="KCN45" s="6"/>
      <c r="KCO45" s="6"/>
      <c r="KCP45" s="6"/>
      <c r="KCQ45" s="6"/>
      <c r="KCR45" s="6"/>
      <c r="KCS45" s="6"/>
      <c r="KCT45" s="6"/>
      <c r="KCU45" s="6"/>
      <c r="KCV45" s="6"/>
      <c r="KCW45" s="6"/>
      <c r="KCX45" s="6"/>
      <c r="KCY45" s="6"/>
      <c r="KCZ45" s="6"/>
      <c r="KDA45" s="6"/>
      <c r="KDB45" s="6"/>
      <c r="KDC45" s="6"/>
      <c r="KDD45" s="6"/>
      <c r="KDE45" s="6"/>
      <c r="KDF45" s="6"/>
      <c r="KDG45" s="6"/>
      <c r="KDH45" s="6"/>
      <c r="KDI45" s="6"/>
      <c r="KDJ45" s="6"/>
      <c r="KDK45" s="6"/>
      <c r="KDL45" s="6"/>
      <c r="KDM45" s="6"/>
      <c r="KDN45" s="6"/>
      <c r="KDO45" s="6"/>
      <c r="KDP45" s="6"/>
      <c r="KDQ45" s="6"/>
      <c r="KDR45" s="6"/>
      <c r="KDS45" s="6"/>
      <c r="KDT45" s="6"/>
      <c r="KDU45" s="6"/>
      <c r="KDV45" s="6"/>
      <c r="KDW45" s="6"/>
      <c r="KDX45" s="6"/>
      <c r="KDY45" s="6"/>
      <c r="KDZ45" s="6"/>
      <c r="KEA45" s="6"/>
      <c r="KEB45" s="6"/>
      <c r="KEC45" s="6"/>
      <c r="KED45" s="6"/>
      <c r="KEE45" s="6"/>
      <c r="KEF45" s="6"/>
      <c r="KEG45" s="6"/>
      <c r="KEH45" s="6"/>
      <c r="KEI45" s="6"/>
      <c r="KEJ45" s="6"/>
      <c r="KEK45" s="6"/>
      <c r="KEL45" s="6"/>
      <c r="KEM45" s="6"/>
      <c r="KEN45" s="6"/>
      <c r="KEO45" s="6"/>
      <c r="KEP45" s="6"/>
      <c r="KEQ45" s="6"/>
      <c r="KER45" s="6"/>
      <c r="KES45" s="6"/>
      <c r="KET45" s="6"/>
      <c r="KEU45" s="6"/>
      <c r="KEV45" s="6"/>
      <c r="KEW45" s="6"/>
      <c r="KEX45" s="6"/>
      <c r="KEY45" s="6"/>
      <c r="KEZ45" s="6"/>
      <c r="KFA45" s="6"/>
      <c r="KFB45" s="6"/>
      <c r="KFC45" s="6"/>
      <c r="KFD45" s="6"/>
      <c r="KFE45" s="6"/>
      <c r="KFF45" s="6"/>
      <c r="KFG45" s="6"/>
      <c r="KFH45" s="6"/>
      <c r="KFI45" s="6"/>
      <c r="KFJ45" s="6"/>
      <c r="KFK45" s="6"/>
      <c r="KFL45" s="6"/>
      <c r="KFM45" s="6"/>
      <c r="KFN45" s="6"/>
      <c r="KFO45" s="6"/>
      <c r="KFP45" s="6"/>
      <c r="KFQ45" s="6"/>
      <c r="KFR45" s="6"/>
      <c r="KFS45" s="6"/>
      <c r="KFT45" s="6"/>
      <c r="KFU45" s="6"/>
      <c r="KFV45" s="6"/>
      <c r="KFW45" s="6"/>
      <c r="KFX45" s="6"/>
      <c r="KFY45" s="6"/>
      <c r="KFZ45" s="6"/>
      <c r="KGA45" s="6"/>
      <c r="KGB45" s="6"/>
      <c r="KGC45" s="6"/>
      <c r="KGD45" s="6"/>
      <c r="KGE45" s="6"/>
      <c r="KGF45" s="6"/>
      <c r="KGG45" s="6"/>
      <c r="KGH45" s="6"/>
      <c r="KGI45" s="6"/>
      <c r="KGJ45" s="6"/>
      <c r="KGK45" s="6"/>
      <c r="KGL45" s="6"/>
      <c r="KGM45" s="6"/>
      <c r="KGN45" s="6"/>
      <c r="KGO45" s="6"/>
      <c r="KGP45" s="6"/>
      <c r="KGQ45" s="6"/>
      <c r="KGR45" s="6"/>
      <c r="KGS45" s="6"/>
      <c r="KGT45" s="6"/>
      <c r="KGU45" s="6"/>
      <c r="KGV45" s="6"/>
      <c r="KGW45" s="6"/>
      <c r="KGX45" s="6"/>
      <c r="KGY45" s="6"/>
      <c r="KGZ45" s="6"/>
      <c r="KHA45" s="6"/>
      <c r="KHB45" s="6"/>
      <c r="KHC45" s="6"/>
      <c r="KHD45" s="6"/>
      <c r="KHE45" s="6"/>
      <c r="KHF45" s="6"/>
      <c r="KHG45" s="6"/>
      <c r="KHH45" s="6"/>
      <c r="KHI45" s="6"/>
      <c r="KHJ45" s="6"/>
      <c r="KHK45" s="6"/>
      <c r="KHL45" s="6"/>
      <c r="KHM45" s="6"/>
      <c r="KHN45" s="6"/>
      <c r="KHO45" s="6"/>
      <c r="KHP45" s="6"/>
      <c r="KHQ45" s="6"/>
      <c r="KHR45" s="6"/>
      <c r="KHS45" s="6"/>
      <c r="KHT45" s="6"/>
      <c r="KHU45" s="6"/>
      <c r="KHV45" s="6"/>
      <c r="KHW45" s="6"/>
      <c r="KHX45" s="6"/>
      <c r="KHY45" s="6"/>
      <c r="KHZ45" s="6"/>
      <c r="KIA45" s="6"/>
      <c r="KIB45" s="6"/>
      <c r="KIC45" s="6"/>
      <c r="KID45" s="6"/>
      <c r="KIE45" s="6"/>
      <c r="KIF45" s="6"/>
      <c r="KIG45" s="6"/>
      <c r="KIH45" s="6"/>
      <c r="KII45" s="6"/>
      <c r="KIJ45" s="6"/>
      <c r="KIK45" s="6"/>
      <c r="KIL45" s="6"/>
      <c r="KIM45" s="6"/>
      <c r="KIN45" s="6"/>
      <c r="KIO45" s="6"/>
      <c r="KIP45" s="6"/>
      <c r="KIQ45" s="6"/>
      <c r="KIR45" s="6"/>
      <c r="KIS45" s="6"/>
      <c r="KIT45" s="6"/>
      <c r="KIU45" s="6"/>
      <c r="KIV45" s="6"/>
      <c r="KIW45" s="6"/>
      <c r="KIX45" s="6"/>
      <c r="KIY45" s="6"/>
      <c r="KIZ45" s="6"/>
      <c r="KJA45" s="6"/>
      <c r="KJB45" s="6"/>
      <c r="KJC45" s="6"/>
      <c r="KJD45" s="6"/>
      <c r="KJE45" s="6"/>
      <c r="KJF45" s="6"/>
      <c r="KJG45" s="6"/>
      <c r="KJH45" s="6"/>
      <c r="KJI45" s="6"/>
      <c r="KJJ45" s="6"/>
      <c r="KJK45" s="6"/>
      <c r="KJL45" s="6"/>
      <c r="KJM45" s="6"/>
      <c r="KJN45" s="6"/>
      <c r="KJO45" s="6"/>
      <c r="KJP45" s="6"/>
      <c r="KJQ45" s="6"/>
      <c r="KJR45" s="6"/>
      <c r="KJS45" s="6"/>
      <c r="KJT45" s="6"/>
      <c r="KJU45" s="6"/>
      <c r="KJV45" s="6"/>
      <c r="KJW45" s="6"/>
      <c r="KJX45" s="6"/>
      <c r="KJY45" s="6"/>
      <c r="KJZ45" s="6"/>
      <c r="KKA45" s="6"/>
      <c r="KKB45" s="6"/>
      <c r="KKC45" s="6"/>
      <c r="KKD45" s="6"/>
      <c r="KKE45" s="6"/>
      <c r="KKF45" s="6"/>
      <c r="KKG45" s="6"/>
      <c r="KKH45" s="6"/>
      <c r="KKI45" s="6"/>
      <c r="KKJ45" s="6"/>
      <c r="KKK45" s="6"/>
      <c r="KKL45" s="6"/>
      <c r="KKM45" s="6"/>
      <c r="KKN45" s="6"/>
      <c r="KKO45" s="6"/>
      <c r="KKP45" s="6"/>
      <c r="KKQ45" s="6"/>
      <c r="KKR45" s="6"/>
      <c r="KKS45" s="6"/>
      <c r="KKT45" s="6"/>
      <c r="KKU45" s="6"/>
      <c r="KKV45" s="6"/>
      <c r="KKW45" s="6"/>
      <c r="KKX45" s="6"/>
      <c r="KKY45" s="6"/>
      <c r="KKZ45" s="6"/>
      <c r="KLA45" s="6"/>
      <c r="KLB45" s="6"/>
      <c r="KLC45" s="6"/>
      <c r="KLD45" s="6"/>
      <c r="KLE45" s="6"/>
      <c r="KLF45" s="6"/>
      <c r="KLG45" s="6"/>
      <c r="KLH45" s="6"/>
      <c r="KLI45" s="6"/>
      <c r="KLJ45" s="6"/>
      <c r="KLK45" s="6"/>
      <c r="KLL45" s="6"/>
      <c r="KLM45" s="6"/>
      <c r="KLN45" s="6"/>
      <c r="KLO45" s="6"/>
      <c r="KLP45" s="6"/>
      <c r="KLQ45" s="6"/>
      <c r="KLR45" s="6"/>
      <c r="KLS45" s="6"/>
      <c r="KLT45" s="6"/>
      <c r="KLU45" s="6"/>
      <c r="KLV45" s="6"/>
      <c r="KLW45" s="6"/>
      <c r="KLX45" s="6"/>
      <c r="KLY45" s="6"/>
      <c r="KLZ45" s="6"/>
      <c r="KMA45" s="6"/>
      <c r="KMB45" s="6"/>
      <c r="KMC45" s="6"/>
      <c r="KMD45" s="6"/>
      <c r="KME45" s="6"/>
      <c r="KMF45" s="6"/>
      <c r="KMG45" s="6"/>
      <c r="KMH45" s="6"/>
      <c r="KMI45" s="6"/>
      <c r="KMJ45" s="6"/>
      <c r="KMK45" s="6"/>
      <c r="KML45" s="6"/>
      <c r="KMM45" s="6"/>
      <c r="KMN45" s="6"/>
      <c r="KMO45" s="6"/>
      <c r="KMP45" s="6"/>
      <c r="KMQ45" s="6"/>
      <c r="KMR45" s="6"/>
      <c r="KMS45" s="6"/>
      <c r="KMT45" s="6"/>
      <c r="KMU45" s="6"/>
      <c r="KMV45" s="6"/>
      <c r="KMW45" s="6"/>
      <c r="KMX45" s="6"/>
      <c r="KMY45" s="6"/>
      <c r="KMZ45" s="6"/>
      <c r="KNA45" s="6"/>
      <c r="KNB45" s="6"/>
      <c r="KNC45" s="6"/>
      <c r="KND45" s="6"/>
      <c r="KNE45" s="6"/>
      <c r="KNF45" s="6"/>
      <c r="KNG45" s="6"/>
      <c r="KNH45" s="6"/>
      <c r="KNI45" s="6"/>
      <c r="KNJ45" s="6"/>
      <c r="KNK45" s="6"/>
      <c r="KNL45" s="6"/>
      <c r="KNM45" s="6"/>
      <c r="KNN45" s="6"/>
      <c r="KNO45" s="6"/>
      <c r="KNP45" s="6"/>
      <c r="KNQ45" s="6"/>
      <c r="KNR45" s="6"/>
      <c r="KNS45" s="6"/>
      <c r="KNT45" s="6"/>
      <c r="KNU45" s="6"/>
      <c r="KNV45" s="6"/>
      <c r="KNW45" s="6"/>
      <c r="KNX45" s="6"/>
      <c r="KNY45" s="6"/>
      <c r="KNZ45" s="6"/>
      <c r="KOA45" s="6"/>
      <c r="KOB45" s="6"/>
      <c r="KOC45" s="6"/>
      <c r="KOD45" s="6"/>
      <c r="KOE45" s="6"/>
      <c r="KOF45" s="6"/>
      <c r="KOG45" s="6"/>
      <c r="KOH45" s="6"/>
      <c r="KOI45" s="6"/>
      <c r="KOJ45" s="6"/>
      <c r="KOK45" s="6"/>
      <c r="KOL45" s="6"/>
      <c r="KOM45" s="6"/>
      <c r="KON45" s="6"/>
      <c r="KOO45" s="6"/>
      <c r="KOP45" s="6"/>
      <c r="KOQ45" s="6"/>
      <c r="KOR45" s="6"/>
      <c r="KOS45" s="6"/>
      <c r="KOT45" s="6"/>
      <c r="KOU45" s="6"/>
      <c r="KOV45" s="6"/>
      <c r="KOW45" s="6"/>
      <c r="KOX45" s="6"/>
      <c r="KOY45" s="6"/>
      <c r="KOZ45" s="6"/>
      <c r="KPA45" s="6"/>
      <c r="KPB45" s="6"/>
      <c r="KPC45" s="6"/>
      <c r="KPD45" s="6"/>
      <c r="KPE45" s="6"/>
      <c r="KPF45" s="6"/>
      <c r="KPG45" s="6"/>
      <c r="KPH45" s="6"/>
      <c r="KPI45" s="6"/>
      <c r="KPJ45" s="6"/>
      <c r="KPK45" s="6"/>
      <c r="KPL45" s="6"/>
      <c r="KPM45" s="6"/>
      <c r="KPN45" s="6"/>
      <c r="KPO45" s="6"/>
      <c r="KPP45" s="6"/>
      <c r="KPQ45" s="6"/>
      <c r="KPR45" s="6"/>
      <c r="KPS45" s="6"/>
      <c r="KPT45" s="6"/>
      <c r="KPU45" s="6"/>
      <c r="KPV45" s="6"/>
      <c r="KPW45" s="6"/>
      <c r="KPX45" s="6"/>
      <c r="KPY45" s="6"/>
      <c r="KPZ45" s="6"/>
      <c r="KQA45" s="6"/>
      <c r="KQB45" s="6"/>
      <c r="KQC45" s="6"/>
      <c r="KQD45" s="6"/>
      <c r="KQE45" s="6"/>
      <c r="KQF45" s="6"/>
      <c r="KQG45" s="6"/>
      <c r="KQH45" s="6"/>
      <c r="KQI45" s="6"/>
      <c r="KQJ45" s="6"/>
      <c r="KQK45" s="6"/>
      <c r="KQL45" s="6"/>
      <c r="KQM45" s="6"/>
      <c r="KQN45" s="6"/>
      <c r="KQO45" s="6"/>
      <c r="KQP45" s="6"/>
      <c r="KQQ45" s="6"/>
      <c r="KQR45" s="6"/>
      <c r="KQS45" s="6"/>
      <c r="KQT45" s="6"/>
      <c r="KQU45" s="6"/>
      <c r="KQV45" s="6"/>
      <c r="KQW45" s="6"/>
      <c r="KQX45" s="6"/>
      <c r="KQY45" s="6"/>
      <c r="KQZ45" s="6"/>
      <c r="KRA45" s="6"/>
      <c r="KRB45" s="6"/>
      <c r="KRC45" s="6"/>
      <c r="KRD45" s="6"/>
      <c r="KRE45" s="6"/>
      <c r="KRF45" s="6"/>
      <c r="KRG45" s="6"/>
      <c r="KRH45" s="6"/>
      <c r="KRI45" s="6"/>
      <c r="KRJ45" s="6"/>
      <c r="KRK45" s="6"/>
      <c r="KRL45" s="6"/>
      <c r="KRM45" s="6"/>
      <c r="KRN45" s="6"/>
      <c r="KRO45" s="6"/>
      <c r="KRP45" s="6"/>
      <c r="KRQ45" s="6"/>
      <c r="KRR45" s="6"/>
      <c r="KRS45" s="6"/>
      <c r="KRT45" s="6"/>
      <c r="KRU45" s="6"/>
      <c r="KRV45" s="6"/>
      <c r="KRW45" s="6"/>
      <c r="KRX45" s="6"/>
      <c r="KRY45" s="6"/>
      <c r="KRZ45" s="6"/>
      <c r="KSA45" s="6"/>
      <c r="KSB45" s="6"/>
      <c r="KSC45" s="6"/>
      <c r="KSD45" s="6"/>
      <c r="KSE45" s="6"/>
      <c r="KSF45" s="6"/>
      <c r="KSG45" s="6"/>
      <c r="KSH45" s="6"/>
      <c r="KSI45" s="6"/>
      <c r="KSJ45" s="6"/>
      <c r="KSK45" s="6"/>
      <c r="KSL45" s="6"/>
      <c r="KSM45" s="6"/>
      <c r="KSN45" s="6"/>
      <c r="KSO45" s="6"/>
      <c r="KSP45" s="6"/>
      <c r="KSQ45" s="6"/>
      <c r="KSR45" s="6"/>
      <c r="KSS45" s="6"/>
      <c r="KST45" s="6"/>
      <c r="KSU45" s="6"/>
      <c r="KSV45" s="6"/>
      <c r="KSW45" s="6"/>
      <c r="KSX45" s="6"/>
      <c r="KSY45" s="6"/>
      <c r="KSZ45" s="6"/>
      <c r="KTA45" s="6"/>
      <c r="KTB45" s="6"/>
      <c r="KTC45" s="6"/>
      <c r="KTD45" s="6"/>
      <c r="KTE45" s="6"/>
      <c r="KTF45" s="6"/>
      <c r="KTG45" s="6"/>
      <c r="KTH45" s="6"/>
      <c r="KTI45" s="6"/>
      <c r="KTJ45" s="6"/>
      <c r="KTK45" s="6"/>
      <c r="KTL45" s="6"/>
      <c r="KTM45" s="6"/>
      <c r="KTN45" s="6"/>
      <c r="KTO45" s="6"/>
      <c r="KTP45" s="6"/>
      <c r="KTQ45" s="6"/>
      <c r="KTR45" s="6"/>
      <c r="KTS45" s="6"/>
      <c r="KTT45" s="6"/>
      <c r="KTU45" s="6"/>
      <c r="KTV45" s="6"/>
      <c r="KTW45" s="6"/>
      <c r="KTX45" s="6"/>
      <c r="KTY45" s="6"/>
      <c r="KTZ45" s="6"/>
      <c r="KUA45" s="6"/>
      <c r="KUB45" s="6"/>
      <c r="KUC45" s="6"/>
      <c r="KUD45" s="6"/>
      <c r="KUE45" s="6"/>
      <c r="KUF45" s="6"/>
      <c r="KUG45" s="6"/>
      <c r="KUH45" s="6"/>
      <c r="KUI45" s="6"/>
      <c r="KUJ45" s="6"/>
      <c r="KUK45" s="6"/>
      <c r="KUL45" s="6"/>
      <c r="KUM45" s="6"/>
      <c r="KUN45" s="6"/>
      <c r="KUO45" s="6"/>
      <c r="KUP45" s="6"/>
      <c r="KUQ45" s="6"/>
      <c r="KUR45" s="6"/>
      <c r="KUS45" s="6"/>
      <c r="KUT45" s="6"/>
      <c r="KUU45" s="6"/>
      <c r="KUV45" s="6"/>
      <c r="KUW45" s="6"/>
      <c r="KUX45" s="6"/>
      <c r="KUY45" s="6"/>
      <c r="KUZ45" s="6"/>
      <c r="KVA45" s="6"/>
      <c r="KVB45" s="6"/>
      <c r="KVC45" s="6"/>
      <c r="KVD45" s="6"/>
      <c r="KVE45" s="6"/>
      <c r="KVF45" s="6"/>
      <c r="KVG45" s="6"/>
      <c r="KVH45" s="6"/>
      <c r="KVI45" s="6"/>
      <c r="KVJ45" s="6"/>
      <c r="KVK45" s="6"/>
      <c r="KVL45" s="6"/>
      <c r="KVM45" s="6"/>
      <c r="KVN45" s="6"/>
      <c r="KVO45" s="6"/>
      <c r="KVP45" s="6"/>
      <c r="KVQ45" s="6"/>
      <c r="KVR45" s="6"/>
      <c r="KVS45" s="6"/>
      <c r="KVT45" s="6"/>
      <c r="KVU45" s="6"/>
      <c r="KVV45" s="6"/>
      <c r="KVW45" s="6"/>
      <c r="KVX45" s="6"/>
      <c r="KVY45" s="6"/>
      <c r="KVZ45" s="6"/>
      <c r="KWA45" s="6"/>
      <c r="KWB45" s="6"/>
      <c r="KWC45" s="6"/>
      <c r="KWD45" s="6"/>
      <c r="KWE45" s="6"/>
      <c r="KWF45" s="6"/>
      <c r="KWG45" s="6"/>
      <c r="KWH45" s="6"/>
      <c r="KWI45" s="6"/>
      <c r="KWJ45" s="6"/>
      <c r="KWK45" s="6"/>
      <c r="KWL45" s="6"/>
      <c r="KWM45" s="6"/>
      <c r="KWN45" s="6"/>
      <c r="KWO45" s="6"/>
      <c r="KWP45" s="6"/>
      <c r="KWQ45" s="6"/>
      <c r="KWR45" s="6"/>
      <c r="KWS45" s="6"/>
      <c r="KWT45" s="6"/>
      <c r="KWU45" s="6"/>
      <c r="KWV45" s="6"/>
      <c r="KWW45" s="6"/>
      <c r="KWX45" s="6"/>
      <c r="KWY45" s="6"/>
      <c r="KWZ45" s="6"/>
      <c r="KXA45" s="6"/>
      <c r="KXB45" s="6"/>
      <c r="KXC45" s="6"/>
      <c r="KXD45" s="6"/>
      <c r="KXE45" s="6"/>
      <c r="KXF45" s="6"/>
      <c r="KXG45" s="6"/>
      <c r="KXH45" s="6"/>
      <c r="KXI45" s="6"/>
      <c r="KXJ45" s="6"/>
      <c r="KXK45" s="6"/>
      <c r="KXL45" s="6"/>
      <c r="KXM45" s="6"/>
      <c r="KXN45" s="6"/>
      <c r="KXO45" s="6"/>
      <c r="KXP45" s="6"/>
      <c r="KXQ45" s="6"/>
      <c r="KXR45" s="6"/>
      <c r="KXS45" s="6"/>
      <c r="KXT45" s="6"/>
      <c r="KXU45" s="6"/>
      <c r="KXV45" s="6"/>
      <c r="KXW45" s="6"/>
      <c r="KXX45" s="6"/>
      <c r="KXY45" s="6"/>
      <c r="KXZ45" s="6"/>
      <c r="KYA45" s="6"/>
      <c r="KYB45" s="6"/>
      <c r="KYC45" s="6"/>
      <c r="KYD45" s="6"/>
      <c r="KYE45" s="6"/>
      <c r="KYF45" s="6"/>
      <c r="KYG45" s="6"/>
      <c r="KYH45" s="6"/>
      <c r="KYI45" s="6"/>
      <c r="KYJ45" s="6"/>
      <c r="KYK45" s="6"/>
      <c r="KYL45" s="6"/>
      <c r="KYM45" s="6"/>
      <c r="KYN45" s="6"/>
      <c r="KYO45" s="6"/>
      <c r="KYP45" s="6"/>
      <c r="KYQ45" s="6"/>
      <c r="KYR45" s="6"/>
      <c r="KYS45" s="6"/>
      <c r="KYT45" s="6"/>
      <c r="KYU45" s="6"/>
      <c r="KYV45" s="6"/>
      <c r="KYW45" s="6"/>
      <c r="KYX45" s="6"/>
      <c r="KYY45" s="6"/>
      <c r="KYZ45" s="6"/>
      <c r="KZA45" s="6"/>
      <c r="KZB45" s="6"/>
      <c r="KZC45" s="6"/>
      <c r="KZD45" s="6"/>
      <c r="KZE45" s="6"/>
      <c r="KZF45" s="6"/>
      <c r="KZG45" s="6"/>
      <c r="KZH45" s="6"/>
      <c r="KZI45" s="6"/>
      <c r="KZJ45" s="6"/>
      <c r="KZK45" s="6"/>
      <c r="KZL45" s="6"/>
      <c r="KZM45" s="6"/>
      <c r="KZN45" s="6"/>
      <c r="KZO45" s="6"/>
      <c r="KZP45" s="6"/>
      <c r="KZQ45" s="6"/>
      <c r="KZR45" s="6"/>
      <c r="KZS45" s="6"/>
      <c r="KZT45" s="6"/>
      <c r="KZU45" s="6"/>
      <c r="KZV45" s="6"/>
      <c r="KZW45" s="6"/>
      <c r="KZX45" s="6"/>
      <c r="KZY45" s="6"/>
      <c r="KZZ45" s="6"/>
      <c r="LAA45" s="6"/>
      <c r="LAB45" s="6"/>
      <c r="LAC45" s="6"/>
      <c r="LAD45" s="6"/>
      <c r="LAE45" s="6"/>
      <c r="LAF45" s="6"/>
      <c r="LAG45" s="6"/>
      <c r="LAH45" s="6"/>
      <c r="LAI45" s="6"/>
      <c r="LAJ45" s="6"/>
      <c r="LAK45" s="6"/>
      <c r="LAL45" s="6"/>
      <c r="LAM45" s="6"/>
      <c r="LAN45" s="6"/>
      <c r="LAO45" s="6"/>
      <c r="LAP45" s="6"/>
      <c r="LAQ45" s="6"/>
      <c r="LAR45" s="6"/>
      <c r="LAS45" s="6"/>
      <c r="LAT45" s="6"/>
      <c r="LAU45" s="6"/>
      <c r="LAV45" s="6"/>
      <c r="LAW45" s="6"/>
      <c r="LAX45" s="6"/>
      <c r="LAY45" s="6"/>
      <c r="LAZ45" s="6"/>
      <c r="LBA45" s="6"/>
      <c r="LBB45" s="6"/>
      <c r="LBC45" s="6"/>
      <c r="LBD45" s="6"/>
      <c r="LBE45" s="6"/>
      <c r="LBF45" s="6"/>
      <c r="LBG45" s="6"/>
      <c r="LBH45" s="6"/>
      <c r="LBI45" s="6"/>
      <c r="LBJ45" s="6"/>
      <c r="LBK45" s="6"/>
      <c r="LBL45" s="6"/>
      <c r="LBM45" s="6"/>
      <c r="LBN45" s="6"/>
      <c r="LBO45" s="6"/>
      <c r="LBP45" s="6"/>
      <c r="LBQ45" s="6"/>
      <c r="LBR45" s="6"/>
      <c r="LBS45" s="6"/>
      <c r="LBT45" s="6"/>
      <c r="LBU45" s="6"/>
      <c r="LBV45" s="6"/>
      <c r="LBW45" s="6"/>
      <c r="LBX45" s="6"/>
      <c r="LBY45" s="6"/>
      <c r="LBZ45" s="6"/>
      <c r="LCA45" s="6"/>
      <c r="LCB45" s="6"/>
      <c r="LCC45" s="6"/>
      <c r="LCD45" s="6"/>
      <c r="LCE45" s="6"/>
      <c r="LCF45" s="6"/>
      <c r="LCG45" s="6"/>
      <c r="LCH45" s="6"/>
      <c r="LCI45" s="6"/>
      <c r="LCJ45" s="6"/>
      <c r="LCK45" s="6"/>
      <c r="LCL45" s="6"/>
      <c r="LCM45" s="6"/>
      <c r="LCN45" s="6"/>
      <c r="LCO45" s="6"/>
      <c r="LCP45" s="6"/>
      <c r="LCQ45" s="6"/>
      <c r="LCR45" s="6"/>
      <c r="LCS45" s="6"/>
      <c r="LCT45" s="6"/>
      <c r="LCU45" s="6"/>
      <c r="LCV45" s="6"/>
      <c r="LCW45" s="6"/>
      <c r="LCX45" s="6"/>
      <c r="LCY45" s="6"/>
      <c r="LCZ45" s="6"/>
      <c r="LDA45" s="6"/>
      <c r="LDB45" s="6"/>
      <c r="LDC45" s="6"/>
      <c r="LDD45" s="6"/>
      <c r="LDE45" s="6"/>
      <c r="LDF45" s="6"/>
      <c r="LDG45" s="6"/>
      <c r="LDH45" s="6"/>
      <c r="LDI45" s="6"/>
      <c r="LDJ45" s="6"/>
      <c r="LDK45" s="6"/>
      <c r="LDL45" s="6"/>
      <c r="LDM45" s="6"/>
      <c r="LDN45" s="6"/>
      <c r="LDO45" s="6"/>
      <c r="LDP45" s="6"/>
      <c r="LDQ45" s="6"/>
      <c r="LDR45" s="6"/>
      <c r="LDS45" s="6"/>
      <c r="LDT45" s="6"/>
      <c r="LDU45" s="6"/>
      <c r="LDV45" s="6"/>
      <c r="LDW45" s="6"/>
      <c r="LDX45" s="6"/>
      <c r="LDY45" s="6"/>
      <c r="LDZ45" s="6"/>
      <c r="LEA45" s="6"/>
      <c r="LEB45" s="6"/>
      <c r="LEC45" s="6"/>
      <c r="LED45" s="6"/>
      <c r="LEE45" s="6"/>
      <c r="LEF45" s="6"/>
      <c r="LEG45" s="6"/>
      <c r="LEH45" s="6"/>
      <c r="LEI45" s="6"/>
      <c r="LEJ45" s="6"/>
      <c r="LEK45" s="6"/>
      <c r="LEL45" s="6"/>
      <c r="LEM45" s="6"/>
      <c r="LEN45" s="6"/>
      <c r="LEO45" s="6"/>
      <c r="LEP45" s="6"/>
      <c r="LEQ45" s="6"/>
      <c r="LER45" s="6"/>
      <c r="LES45" s="6"/>
      <c r="LET45" s="6"/>
      <c r="LEU45" s="6"/>
      <c r="LEV45" s="6"/>
      <c r="LEW45" s="6"/>
      <c r="LEX45" s="6"/>
      <c r="LEY45" s="6"/>
      <c r="LEZ45" s="6"/>
      <c r="LFA45" s="6"/>
      <c r="LFB45" s="6"/>
      <c r="LFC45" s="6"/>
      <c r="LFD45" s="6"/>
      <c r="LFE45" s="6"/>
      <c r="LFF45" s="6"/>
      <c r="LFG45" s="6"/>
      <c r="LFH45" s="6"/>
      <c r="LFI45" s="6"/>
      <c r="LFJ45" s="6"/>
      <c r="LFK45" s="6"/>
      <c r="LFL45" s="6"/>
      <c r="LFM45" s="6"/>
      <c r="LFN45" s="6"/>
      <c r="LFO45" s="6"/>
      <c r="LFP45" s="6"/>
      <c r="LFQ45" s="6"/>
      <c r="LFR45" s="6"/>
      <c r="LFS45" s="6"/>
      <c r="LFT45" s="6"/>
      <c r="LFU45" s="6"/>
      <c r="LFV45" s="6"/>
      <c r="LFW45" s="6"/>
      <c r="LFX45" s="6"/>
      <c r="LFY45" s="6"/>
      <c r="LFZ45" s="6"/>
      <c r="LGA45" s="6"/>
      <c r="LGB45" s="6"/>
      <c r="LGC45" s="6"/>
      <c r="LGD45" s="6"/>
      <c r="LGE45" s="6"/>
      <c r="LGF45" s="6"/>
      <c r="LGG45" s="6"/>
      <c r="LGH45" s="6"/>
      <c r="LGI45" s="6"/>
      <c r="LGJ45" s="6"/>
      <c r="LGK45" s="6"/>
      <c r="LGL45" s="6"/>
      <c r="LGM45" s="6"/>
      <c r="LGN45" s="6"/>
      <c r="LGO45" s="6"/>
      <c r="LGP45" s="6"/>
      <c r="LGQ45" s="6"/>
      <c r="LGR45" s="6"/>
      <c r="LGS45" s="6"/>
      <c r="LGT45" s="6"/>
      <c r="LGU45" s="6"/>
      <c r="LGV45" s="6"/>
      <c r="LGW45" s="6"/>
      <c r="LGX45" s="6"/>
      <c r="LGY45" s="6"/>
      <c r="LGZ45" s="6"/>
      <c r="LHA45" s="6"/>
      <c r="LHB45" s="6"/>
      <c r="LHC45" s="6"/>
      <c r="LHD45" s="6"/>
      <c r="LHE45" s="6"/>
      <c r="LHF45" s="6"/>
      <c r="LHG45" s="6"/>
      <c r="LHH45" s="6"/>
      <c r="LHI45" s="6"/>
      <c r="LHJ45" s="6"/>
      <c r="LHK45" s="6"/>
      <c r="LHL45" s="6"/>
      <c r="LHM45" s="6"/>
      <c r="LHN45" s="6"/>
      <c r="LHO45" s="6"/>
      <c r="LHP45" s="6"/>
      <c r="LHQ45" s="6"/>
      <c r="LHR45" s="6"/>
      <c r="LHS45" s="6"/>
      <c r="LHT45" s="6"/>
      <c r="LHU45" s="6"/>
      <c r="LHV45" s="6"/>
      <c r="LHW45" s="6"/>
      <c r="LHX45" s="6"/>
      <c r="LHY45" s="6"/>
      <c r="LHZ45" s="6"/>
      <c r="LIA45" s="6"/>
      <c r="LIB45" s="6"/>
      <c r="LIC45" s="6"/>
      <c r="LID45" s="6"/>
      <c r="LIE45" s="6"/>
      <c r="LIF45" s="6"/>
      <c r="LIG45" s="6"/>
      <c r="LIH45" s="6"/>
      <c r="LII45" s="6"/>
      <c r="LIJ45" s="6"/>
      <c r="LIK45" s="6"/>
      <c r="LIL45" s="6"/>
      <c r="LIM45" s="6"/>
      <c r="LIN45" s="6"/>
      <c r="LIO45" s="6"/>
      <c r="LIP45" s="6"/>
      <c r="LIQ45" s="6"/>
      <c r="LIR45" s="6"/>
      <c r="LIS45" s="6"/>
      <c r="LIT45" s="6"/>
      <c r="LIU45" s="6"/>
      <c r="LIV45" s="6"/>
      <c r="LIW45" s="6"/>
      <c r="LIX45" s="6"/>
      <c r="LIY45" s="6"/>
      <c r="LIZ45" s="6"/>
      <c r="LJA45" s="6"/>
      <c r="LJB45" s="6"/>
      <c r="LJC45" s="6"/>
      <c r="LJD45" s="6"/>
      <c r="LJE45" s="6"/>
      <c r="LJF45" s="6"/>
      <c r="LJG45" s="6"/>
      <c r="LJH45" s="6"/>
      <c r="LJI45" s="6"/>
      <c r="LJJ45" s="6"/>
      <c r="LJK45" s="6"/>
      <c r="LJL45" s="6"/>
      <c r="LJM45" s="6"/>
      <c r="LJN45" s="6"/>
      <c r="LJO45" s="6"/>
      <c r="LJP45" s="6"/>
      <c r="LJQ45" s="6"/>
      <c r="LJR45" s="6"/>
      <c r="LJS45" s="6"/>
      <c r="LJT45" s="6"/>
      <c r="LJU45" s="6"/>
      <c r="LJV45" s="6"/>
      <c r="LJW45" s="6"/>
      <c r="LJX45" s="6"/>
      <c r="LJY45" s="6"/>
      <c r="LJZ45" s="6"/>
      <c r="LKA45" s="6"/>
      <c r="LKB45" s="6"/>
      <c r="LKC45" s="6"/>
      <c r="LKD45" s="6"/>
      <c r="LKE45" s="6"/>
      <c r="LKF45" s="6"/>
      <c r="LKG45" s="6"/>
      <c r="LKH45" s="6"/>
      <c r="LKI45" s="6"/>
      <c r="LKJ45" s="6"/>
      <c r="LKK45" s="6"/>
      <c r="LKL45" s="6"/>
      <c r="LKM45" s="6"/>
      <c r="LKN45" s="6"/>
      <c r="LKO45" s="6"/>
      <c r="LKP45" s="6"/>
      <c r="LKQ45" s="6"/>
      <c r="LKR45" s="6"/>
      <c r="LKS45" s="6"/>
      <c r="LKT45" s="6"/>
      <c r="LKU45" s="6"/>
      <c r="LKV45" s="6"/>
      <c r="LKW45" s="6"/>
      <c r="LKX45" s="6"/>
      <c r="LKY45" s="6"/>
      <c r="LKZ45" s="6"/>
      <c r="LLA45" s="6"/>
      <c r="LLB45" s="6"/>
      <c r="LLC45" s="6"/>
      <c r="LLD45" s="6"/>
      <c r="LLE45" s="6"/>
      <c r="LLF45" s="6"/>
      <c r="LLG45" s="6"/>
      <c r="LLH45" s="6"/>
      <c r="LLI45" s="6"/>
      <c r="LLJ45" s="6"/>
      <c r="LLK45" s="6"/>
      <c r="LLL45" s="6"/>
      <c r="LLM45" s="6"/>
      <c r="LLN45" s="6"/>
      <c r="LLO45" s="6"/>
      <c r="LLP45" s="6"/>
      <c r="LLQ45" s="6"/>
      <c r="LLR45" s="6"/>
      <c r="LLS45" s="6"/>
      <c r="LLT45" s="6"/>
      <c r="LLU45" s="6"/>
      <c r="LLV45" s="6"/>
      <c r="LLW45" s="6"/>
      <c r="LLX45" s="6"/>
      <c r="LLY45" s="6"/>
      <c r="LLZ45" s="6"/>
      <c r="LMA45" s="6"/>
      <c r="LMB45" s="6"/>
      <c r="LMC45" s="6"/>
      <c r="LMD45" s="6"/>
      <c r="LME45" s="6"/>
      <c r="LMF45" s="6"/>
      <c r="LMG45" s="6"/>
      <c r="LMH45" s="6"/>
      <c r="LMI45" s="6"/>
      <c r="LMJ45" s="6"/>
      <c r="LMK45" s="6"/>
      <c r="LML45" s="6"/>
      <c r="LMM45" s="6"/>
      <c r="LMN45" s="6"/>
      <c r="LMO45" s="6"/>
      <c r="LMP45" s="6"/>
      <c r="LMQ45" s="6"/>
      <c r="LMR45" s="6"/>
      <c r="LMS45" s="6"/>
      <c r="LMT45" s="6"/>
      <c r="LMU45" s="6"/>
      <c r="LMV45" s="6"/>
      <c r="LMW45" s="6"/>
      <c r="LMX45" s="6"/>
      <c r="LMY45" s="6"/>
      <c r="LMZ45" s="6"/>
      <c r="LNA45" s="6"/>
      <c r="LNB45" s="6"/>
      <c r="LNC45" s="6"/>
      <c r="LND45" s="6"/>
      <c r="LNE45" s="6"/>
      <c r="LNF45" s="6"/>
      <c r="LNG45" s="6"/>
      <c r="LNH45" s="6"/>
      <c r="LNI45" s="6"/>
      <c r="LNJ45" s="6"/>
      <c r="LNK45" s="6"/>
      <c r="LNL45" s="6"/>
      <c r="LNM45" s="6"/>
      <c r="LNN45" s="6"/>
      <c r="LNO45" s="6"/>
      <c r="LNP45" s="6"/>
      <c r="LNQ45" s="6"/>
      <c r="LNR45" s="6"/>
      <c r="LNS45" s="6"/>
      <c r="LNT45" s="6"/>
      <c r="LNU45" s="6"/>
      <c r="LNV45" s="6"/>
      <c r="LNW45" s="6"/>
      <c r="LNX45" s="6"/>
      <c r="LNY45" s="6"/>
      <c r="LNZ45" s="6"/>
      <c r="LOA45" s="6"/>
      <c r="LOB45" s="6"/>
      <c r="LOC45" s="6"/>
      <c r="LOD45" s="6"/>
      <c r="LOE45" s="6"/>
      <c r="LOF45" s="6"/>
      <c r="LOG45" s="6"/>
      <c r="LOH45" s="6"/>
      <c r="LOI45" s="6"/>
      <c r="LOJ45" s="6"/>
      <c r="LOK45" s="6"/>
      <c r="LOL45" s="6"/>
      <c r="LOM45" s="6"/>
      <c r="LON45" s="6"/>
      <c r="LOO45" s="6"/>
      <c r="LOP45" s="6"/>
      <c r="LOQ45" s="6"/>
      <c r="LOR45" s="6"/>
      <c r="LOS45" s="6"/>
      <c r="LOT45" s="6"/>
      <c r="LOU45" s="6"/>
      <c r="LOV45" s="6"/>
      <c r="LOW45" s="6"/>
      <c r="LOX45" s="6"/>
      <c r="LOY45" s="6"/>
      <c r="LOZ45" s="6"/>
      <c r="LPA45" s="6"/>
      <c r="LPB45" s="6"/>
      <c r="LPC45" s="6"/>
      <c r="LPD45" s="6"/>
      <c r="LPE45" s="6"/>
      <c r="LPF45" s="6"/>
      <c r="LPG45" s="6"/>
      <c r="LPH45" s="6"/>
      <c r="LPI45" s="6"/>
      <c r="LPJ45" s="6"/>
      <c r="LPK45" s="6"/>
      <c r="LPL45" s="6"/>
      <c r="LPM45" s="6"/>
      <c r="LPN45" s="6"/>
      <c r="LPO45" s="6"/>
      <c r="LPP45" s="6"/>
      <c r="LPQ45" s="6"/>
      <c r="LPR45" s="6"/>
      <c r="LPS45" s="6"/>
      <c r="LPT45" s="6"/>
      <c r="LPU45" s="6"/>
      <c r="LPV45" s="6"/>
      <c r="LPW45" s="6"/>
      <c r="LPX45" s="6"/>
      <c r="LPY45" s="6"/>
      <c r="LPZ45" s="6"/>
      <c r="LQA45" s="6"/>
      <c r="LQB45" s="6"/>
      <c r="LQC45" s="6"/>
      <c r="LQD45" s="6"/>
      <c r="LQE45" s="6"/>
      <c r="LQF45" s="6"/>
      <c r="LQG45" s="6"/>
      <c r="LQH45" s="6"/>
      <c r="LQI45" s="6"/>
      <c r="LQJ45" s="6"/>
      <c r="LQK45" s="6"/>
      <c r="LQL45" s="6"/>
      <c r="LQM45" s="6"/>
      <c r="LQN45" s="6"/>
      <c r="LQO45" s="6"/>
      <c r="LQP45" s="6"/>
      <c r="LQQ45" s="6"/>
      <c r="LQR45" s="6"/>
      <c r="LQS45" s="6"/>
      <c r="LQT45" s="6"/>
      <c r="LQU45" s="6"/>
      <c r="LQV45" s="6"/>
      <c r="LQW45" s="6"/>
      <c r="LQX45" s="6"/>
      <c r="LQY45" s="6"/>
      <c r="LQZ45" s="6"/>
      <c r="LRA45" s="6"/>
      <c r="LRB45" s="6"/>
      <c r="LRC45" s="6"/>
      <c r="LRD45" s="6"/>
      <c r="LRE45" s="6"/>
      <c r="LRF45" s="6"/>
      <c r="LRG45" s="6"/>
      <c r="LRH45" s="6"/>
      <c r="LRI45" s="6"/>
      <c r="LRJ45" s="6"/>
      <c r="LRK45" s="6"/>
      <c r="LRL45" s="6"/>
      <c r="LRM45" s="6"/>
      <c r="LRN45" s="6"/>
      <c r="LRO45" s="6"/>
      <c r="LRP45" s="6"/>
      <c r="LRQ45" s="6"/>
      <c r="LRR45" s="6"/>
      <c r="LRS45" s="6"/>
      <c r="LRT45" s="6"/>
      <c r="LRU45" s="6"/>
      <c r="LRV45" s="6"/>
      <c r="LRW45" s="6"/>
      <c r="LRX45" s="6"/>
      <c r="LRY45" s="6"/>
      <c r="LRZ45" s="6"/>
      <c r="LSA45" s="6"/>
      <c r="LSB45" s="6"/>
      <c r="LSC45" s="6"/>
      <c r="LSD45" s="6"/>
      <c r="LSE45" s="6"/>
      <c r="LSF45" s="6"/>
      <c r="LSG45" s="6"/>
      <c r="LSH45" s="6"/>
      <c r="LSI45" s="6"/>
      <c r="LSJ45" s="6"/>
      <c r="LSK45" s="6"/>
      <c r="LSL45" s="6"/>
      <c r="LSM45" s="6"/>
      <c r="LSN45" s="6"/>
      <c r="LSO45" s="6"/>
      <c r="LSP45" s="6"/>
      <c r="LSQ45" s="6"/>
      <c r="LSR45" s="6"/>
      <c r="LSS45" s="6"/>
      <c r="LST45" s="6"/>
      <c r="LSU45" s="6"/>
      <c r="LSV45" s="6"/>
      <c r="LSW45" s="6"/>
      <c r="LSX45" s="6"/>
      <c r="LSY45" s="6"/>
      <c r="LSZ45" s="6"/>
      <c r="LTA45" s="6"/>
      <c r="LTB45" s="6"/>
      <c r="LTC45" s="6"/>
      <c r="LTD45" s="6"/>
      <c r="LTE45" s="6"/>
      <c r="LTF45" s="6"/>
      <c r="LTG45" s="6"/>
      <c r="LTH45" s="6"/>
      <c r="LTI45" s="6"/>
      <c r="LTJ45" s="6"/>
      <c r="LTK45" s="6"/>
      <c r="LTL45" s="6"/>
      <c r="LTM45" s="6"/>
      <c r="LTN45" s="6"/>
      <c r="LTO45" s="6"/>
      <c r="LTP45" s="6"/>
      <c r="LTQ45" s="6"/>
      <c r="LTR45" s="6"/>
      <c r="LTS45" s="6"/>
      <c r="LTT45" s="6"/>
      <c r="LTU45" s="6"/>
      <c r="LTV45" s="6"/>
      <c r="LTW45" s="6"/>
      <c r="LTX45" s="6"/>
      <c r="LTY45" s="6"/>
      <c r="LTZ45" s="6"/>
      <c r="LUA45" s="6"/>
      <c r="LUB45" s="6"/>
      <c r="LUC45" s="6"/>
      <c r="LUD45" s="6"/>
      <c r="LUE45" s="6"/>
      <c r="LUF45" s="6"/>
      <c r="LUG45" s="6"/>
      <c r="LUH45" s="6"/>
      <c r="LUI45" s="6"/>
      <c r="LUJ45" s="6"/>
      <c r="LUK45" s="6"/>
      <c r="LUL45" s="6"/>
      <c r="LUM45" s="6"/>
      <c r="LUN45" s="6"/>
      <c r="LUO45" s="6"/>
      <c r="LUP45" s="6"/>
      <c r="LUQ45" s="6"/>
      <c r="LUR45" s="6"/>
      <c r="LUS45" s="6"/>
      <c r="LUT45" s="6"/>
      <c r="LUU45" s="6"/>
      <c r="LUV45" s="6"/>
      <c r="LUW45" s="6"/>
      <c r="LUX45" s="6"/>
      <c r="LUY45" s="6"/>
      <c r="LUZ45" s="6"/>
      <c r="LVA45" s="6"/>
      <c r="LVB45" s="6"/>
      <c r="LVC45" s="6"/>
      <c r="LVD45" s="6"/>
      <c r="LVE45" s="6"/>
      <c r="LVF45" s="6"/>
      <c r="LVG45" s="6"/>
      <c r="LVH45" s="6"/>
      <c r="LVI45" s="6"/>
      <c r="LVJ45" s="6"/>
      <c r="LVK45" s="6"/>
      <c r="LVL45" s="6"/>
      <c r="LVM45" s="6"/>
      <c r="LVN45" s="6"/>
      <c r="LVO45" s="6"/>
      <c r="LVP45" s="6"/>
      <c r="LVQ45" s="6"/>
      <c r="LVR45" s="6"/>
      <c r="LVS45" s="6"/>
      <c r="LVT45" s="6"/>
      <c r="LVU45" s="6"/>
      <c r="LVV45" s="6"/>
      <c r="LVW45" s="6"/>
      <c r="LVX45" s="6"/>
      <c r="LVY45" s="6"/>
      <c r="LVZ45" s="6"/>
      <c r="LWA45" s="6"/>
      <c r="LWB45" s="6"/>
      <c r="LWC45" s="6"/>
      <c r="LWD45" s="6"/>
      <c r="LWE45" s="6"/>
      <c r="LWF45" s="6"/>
      <c r="LWG45" s="6"/>
      <c r="LWH45" s="6"/>
      <c r="LWI45" s="6"/>
      <c r="LWJ45" s="6"/>
      <c r="LWK45" s="6"/>
      <c r="LWL45" s="6"/>
      <c r="LWM45" s="6"/>
      <c r="LWN45" s="6"/>
      <c r="LWO45" s="6"/>
      <c r="LWP45" s="6"/>
      <c r="LWQ45" s="6"/>
      <c r="LWR45" s="6"/>
      <c r="LWS45" s="6"/>
      <c r="LWT45" s="6"/>
      <c r="LWU45" s="6"/>
      <c r="LWV45" s="6"/>
      <c r="LWW45" s="6"/>
      <c r="LWX45" s="6"/>
      <c r="LWY45" s="6"/>
      <c r="LWZ45" s="6"/>
      <c r="LXA45" s="6"/>
      <c r="LXB45" s="6"/>
      <c r="LXC45" s="6"/>
      <c r="LXD45" s="6"/>
      <c r="LXE45" s="6"/>
      <c r="LXF45" s="6"/>
      <c r="LXG45" s="6"/>
      <c r="LXH45" s="6"/>
      <c r="LXI45" s="6"/>
      <c r="LXJ45" s="6"/>
      <c r="LXK45" s="6"/>
      <c r="LXL45" s="6"/>
      <c r="LXM45" s="6"/>
      <c r="LXN45" s="6"/>
      <c r="LXO45" s="6"/>
      <c r="LXP45" s="6"/>
      <c r="LXQ45" s="6"/>
      <c r="LXR45" s="6"/>
      <c r="LXS45" s="6"/>
      <c r="LXT45" s="6"/>
      <c r="LXU45" s="6"/>
      <c r="LXV45" s="6"/>
      <c r="LXW45" s="6"/>
      <c r="LXX45" s="6"/>
      <c r="LXY45" s="6"/>
      <c r="LXZ45" s="6"/>
      <c r="LYA45" s="6"/>
      <c r="LYB45" s="6"/>
      <c r="LYC45" s="6"/>
      <c r="LYD45" s="6"/>
      <c r="LYE45" s="6"/>
      <c r="LYF45" s="6"/>
      <c r="LYG45" s="6"/>
      <c r="LYH45" s="6"/>
      <c r="LYI45" s="6"/>
      <c r="LYJ45" s="6"/>
      <c r="LYK45" s="6"/>
      <c r="LYL45" s="6"/>
      <c r="LYM45" s="6"/>
      <c r="LYN45" s="6"/>
      <c r="LYO45" s="6"/>
      <c r="LYP45" s="6"/>
      <c r="LYQ45" s="6"/>
      <c r="LYR45" s="6"/>
      <c r="LYS45" s="6"/>
      <c r="LYT45" s="6"/>
      <c r="LYU45" s="6"/>
      <c r="LYV45" s="6"/>
      <c r="LYW45" s="6"/>
      <c r="LYX45" s="6"/>
      <c r="LYY45" s="6"/>
      <c r="LYZ45" s="6"/>
      <c r="LZA45" s="6"/>
      <c r="LZB45" s="6"/>
      <c r="LZC45" s="6"/>
      <c r="LZD45" s="6"/>
      <c r="LZE45" s="6"/>
      <c r="LZF45" s="6"/>
      <c r="LZG45" s="6"/>
      <c r="LZH45" s="6"/>
      <c r="LZI45" s="6"/>
      <c r="LZJ45" s="6"/>
      <c r="LZK45" s="6"/>
      <c r="LZL45" s="6"/>
      <c r="LZM45" s="6"/>
      <c r="LZN45" s="6"/>
      <c r="LZO45" s="6"/>
      <c r="LZP45" s="6"/>
      <c r="LZQ45" s="6"/>
      <c r="LZR45" s="6"/>
      <c r="LZS45" s="6"/>
      <c r="LZT45" s="6"/>
      <c r="LZU45" s="6"/>
      <c r="LZV45" s="6"/>
      <c r="LZW45" s="6"/>
      <c r="LZX45" s="6"/>
      <c r="LZY45" s="6"/>
      <c r="LZZ45" s="6"/>
      <c r="MAA45" s="6"/>
      <c r="MAB45" s="6"/>
      <c r="MAC45" s="6"/>
      <c r="MAD45" s="6"/>
      <c r="MAE45" s="6"/>
      <c r="MAF45" s="6"/>
      <c r="MAG45" s="6"/>
      <c r="MAH45" s="6"/>
      <c r="MAI45" s="6"/>
      <c r="MAJ45" s="6"/>
      <c r="MAK45" s="6"/>
      <c r="MAL45" s="6"/>
      <c r="MAM45" s="6"/>
      <c r="MAN45" s="6"/>
      <c r="MAO45" s="6"/>
      <c r="MAP45" s="6"/>
      <c r="MAQ45" s="6"/>
      <c r="MAR45" s="6"/>
      <c r="MAS45" s="6"/>
      <c r="MAT45" s="6"/>
      <c r="MAU45" s="6"/>
      <c r="MAV45" s="6"/>
      <c r="MAW45" s="6"/>
      <c r="MAX45" s="6"/>
      <c r="MAY45" s="6"/>
      <c r="MAZ45" s="6"/>
      <c r="MBA45" s="6"/>
      <c r="MBB45" s="6"/>
      <c r="MBC45" s="6"/>
      <c r="MBD45" s="6"/>
      <c r="MBE45" s="6"/>
      <c r="MBF45" s="6"/>
      <c r="MBG45" s="6"/>
      <c r="MBH45" s="6"/>
      <c r="MBI45" s="6"/>
      <c r="MBJ45" s="6"/>
      <c r="MBK45" s="6"/>
      <c r="MBL45" s="6"/>
      <c r="MBM45" s="6"/>
      <c r="MBN45" s="6"/>
      <c r="MBO45" s="6"/>
      <c r="MBP45" s="6"/>
      <c r="MBQ45" s="6"/>
      <c r="MBR45" s="6"/>
      <c r="MBS45" s="6"/>
      <c r="MBT45" s="6"/>
      <c r="MBU45" s="6"/>
      <c r="MBV45" s="6"/>
      <c r="MBW45" s="6"/>
      <c r="MBX45" s="6"/>
      <c r="MBY45" s="6"/>
      <c r="MBZ45" s="6"/>
      <c r="MCA45" s="6"/>
      <c r="MCB45" s="6"/>
      <c r="MCC45" s="6"/>
      <c r="MCD45" s="6"/>
      <c r="MCE45" s="6"/>
      <c r="MCF45" s="6"/>
      <c r="MCG45" s="6"/>
      <c r="MCH45" s="6"/>
      <c r="MCI45" s="6"/>
      <c r="MCJ45" s="6"/>
      <c r="MCK45" s="6"/>
      <c r="MCL45" s="6"/>
      <c r="MCM45" s="6"/>
      <c r="MCN45" s="6"/>
      <c r="MCO45" s="6"/>
      <c r="MCP45" s="6"/>
      <c r="MCQ45" s="6"/>
      <c r="MCR45" s="6"/>
      <c r="MCS45" s="6"/>
      <c r="MCT45" s="6"/>
      <c r="MCU45" s="6"/>
      <c r="MCV45" s="6"/>
      <c r="MCW45" s="6"/>
      <c r="MCX45" s="6"/>
      <c r="MCY45" s="6"/>
      <c r="MCZ45" s="6"/>
      <c r="MDA45" s="6"/>
      <c r="MDB45" s="6"/>
      <c r="MDC45" s="6"/>
      <c r="MDD45" s="6"/>
      <c r="MDE45" s="6"/>
      <c r="MDF45" s="6"/>
      <c r="MDG45" s="6"/>
      <c r="MDH45" s="6"/>
      <c r="MDI45" s="6"/>
      <c r="MDJ45" s="6"/>
      <c r="MDK45" s="6"/>
      <c r="MDL45" s="6"/>
      <c r="MDM45" s="6"/>
      <c r="MDN45" s="6"/>
      <c r="MDO45" s="6"/>
      <c r="MDP45" s="6"/>
      <c r="MDQ45" s="6"/>
      <c r="MDR45" s="6"/>
      <c r="MDS45" s="6"/>
      <c r="MDT45" s="6"/>
      <c r="MDU45" s="6"/>
      <c r="MDV45" s="6"/>
      <c r="MDW45" s="6"/>
      <c r="MDX45" s="6"/>
      <c r="MDY45" s="6"/>
      <c r="MDZ45" s="6"/>
      <c r="MEA45" s="6"/>
      <c r="MEB45" s="6"/>
      <c r="MEC45" s="6"/>
      <c r="MED45" s="6"/>
      <c r="MEE45" s="6"/>
      <c r="MEF45" s="6"/>
      <c r="MEG45" s="6"/>
      <c r="MEH45" s="6"/>
      <c r="MEI45" s="6"/>
      <c r="MEJ45" s="6"/>
      <c r="MEK45" s="6"/>
      <c r="MEL45" s="6"/>
      <c r="MEM45" s="6"/>
      <c r="MEN45" s="6"/>
      <c r="MEO45" s="6"/>
      <c r="MEP45" s="6"/>
      <c r="MEQ45" s="6"/>
      <c r="MER45" s="6"/>
      <c r="MES45" s="6"/>
      <c r="MET45" s="6"/>
      <c r="MEU45" s="6"/>
      <c r="MEV45" s="6"/>
      <c r="MEW45" s="6"/>
      <c r="MEX45" s="6"/>
      <c r="MEY45" s="6"/>
      <c r="MEZ45" s="6"/>
      <c r="MFA45" s="6"/>
      <c r="MFB45" s="6"/>
      <c r="MFC45" s="6"/>
      <c r="MFD45" s="6"/>
      <c r="MFE45" s="6"/>
      <c r="MFF45" s="6"/>
      <c r="MFG45" s="6"/>
      <c r="MFH45" s="6"/>
      <c r="MFI45" s="6"/>
      <c r="MFJ45" s="6"/>
      <c r="MFK45" s="6"/>
      <c r="MFL45" s="6"/>
      <c r="MFM45" s="6"/>
      <c r="MFN45" s="6"/>
      <c r="MFO45" s="6"/>
      <c r="MFP45" s="6"/>
      <c r="MFQ45" s="6"/>
      <c r="MFR45" s="6"/>
      <c r="MFS45" s="6"/>
      <c r="MFT45" s="6"/>
      <c r="MFU45" s="6"/>
      <c r="MFV45" s="6"/>
      <c r="MFW45" s="6"/>
      <c r="MFX45" s="6"/>
      <c r="MFY45" s="6"/>
      <c r="MFZ45" s="6"/>
      <c r="MGA45" s="6"/>
      <c r="MGB45" s="6"/>
      <c r="MGC45" s="6"/>
      <c r="MGD45" s="6"/>
      <c r="MGE45" s="6"/>
      <c r="MGF45" s="6"/>
      <c r="MGG45" s="6"/>
      <c r="MGH45" s="6"/>
      <c r="MGI45" s="6"/>
      <c r="MGJ45" s="6"/>
      <c r="MGK45" s="6"/>
      <c r="MGL45" s="6"/>
      <c r="MGM45" s="6"/>
      <c r="MGN45" s="6"/>
      <c r="MGO45" s="6"/>
      <c r="MGP45" s="6"/>
      <c r="MGQ45" s="6"/>
      <c r="MGR45" s="6"/>
      <c r="MGS45" s="6"/>
      <c r="MGT45" s="6"/>
      <c r="MGU45" s="6"/>
      <c r="MGV45" s="6"/>
      <c r="MGW45" s="6"/>
      <c r="MGX45" s="6"/>
      <c r="MGY45" s="6"/>
      <c r="MGZ45" s="6"/>
      <c r="MHA45" s="6"/>
      <c r="MHB45" s="6"/>
      <c r="MHC45" s="6"/>
      <c r="MHD45" s="6"/>
      <c r="MHE45" s="6"/>
      <c r="MHF45" s="6"/>
      <c r="MHG45" s="6"/>
      <c r="MHH45" s="6"/>
      <c r="MHI45" s="6"/>
      <c r="MHJ45" s="6"/>
      <c r="MHK45" s="6"/>
      <c r="MHL45" s="6"/>
      <c r="MHM45" s="6"/>
      <c r="MHN45" s="6"/>
      <c r="MHO45" s="6"/>
      <c r="MHP45" s="6"/>
      <c r="MHQ45" s="6"/>
      <c r="MHR45" s="6"/>
      <c r="MHS45" s="6"/>
      <c r="MHT45" s="6"/>
      <c r="MHU45" s="6"/>
      <c r="MHV45" s="6"/>
      <c r="MHW45" s="6"/>
      <c r="MHX45" s="6"/>
      <c r="MHY45" s="6"/>
      <c r="MHZ45" s="6"/>
      <c r="MIA45" s="6"/>
      <c r="MIB45" s="6"/>
      <c r="MIC45" s="6"/>
      <c r="MID45" s="6"/>
      <c r="MIE45" s="6"/>
      <c r="MIF45" s="6"/>
      <c r="MIG45" s="6"/>
      <c r="MIH45" s="6"/>
      <c r="MII45" s="6"/>
      <c r="MIJ45" s="6"/>
      <c r="MIK45" s="6"/>
      <c r="MIL45" s="6"/>
      <c r="MIM45" s="6"/>
      <c r="MIN45" s="6"/>
      <c r="MIO45" s="6"/>
      <c r="MIP45" s="6"/>
      <c r="MIQ45" s="6"/>
      <c r="MIR45" s="6"/>
      <c r="MIS45" s="6"/>
      <c r="MIT45" s="6"/>
      <c r="MIU45" s="6"/>
      <c r="MIV45" s="6"/>
      <c r="MIW45" s="6"/>
      <c r="MIX45" s="6"/>
      <c r="MIY45" s="6"/>
      <c r="MIZ45" s="6"/>
      <c r="MJA45" s="6"/>
      <c r="MJB45" s="6"/>
      <c r="MJC45" s="6"/>
      <c r="MJD45" s="6"/>
      <c r="MJE45" s="6"/>
      <c r="MJF45" s="6"/>
      <c r="MJG45" s="6"/>
      <c r="MJH45" s="6"/>
      <c r="MJI45" s="6"/>
      <c r="MJJ45" s="6"/>
      <c r="MJK45" s="6"/>
      <c r="MJL45" s="6"/>
      <c r="MJM45" s="6"/>
      <c r="MJN45" s="6"/>
      <c r="MJO45" s="6"/>
      <c r="MJP45" s="6"/>
      <c r="MJQ45" s="6"/>
      <c r="MJR45" s="6"/>
      <c r="MJS45" s="6"/>
      <c r="MJT45" s="6"/>
      <c r="MJU45" s="6"/>
      <c r="MJV45" s="6"/>
      <c r="MJW45" s="6"/>
      <c r="MJX45" s="6"/>
      <c r="MJY45" s="6"/>
      <c r="MJZ45" s="6"/>
      <c r="MKA45" s="6"/>
      <c r="MKB45" s="6"/>
      <c r="MKC45" s="6"/>
      <c r="MKD45" s="6"/>
      <c r="MKE45" s="6"/>
      <c r="MKF45" s="6"/>
      <c r="MKG45" s="6"/>
      <c r="MKH45" s="6"/>
      <c r="MKI45" s="6"/>
      <c r="MKJ45" s="6"/>
      <c r="MKK45" s="6"/>
      <c r="MKL45" s="6"/>
      <c r="MKM45" s="6"/>
      <c r="MKN45" s="6"/>
      <c r="MKO45" s="6"/>
      <c r="MKP45" s="6"/>
      <c r="MKQ45" s="6"/>
      <c r="MKR45" s="6"/>
      <c r="MKS45" s="6"/>
      <c r="MKT45" s="6"/>
      <c r="MKU45" s="6"/>
      <c r="MKV45" s="6"/>
      <c r="MKW45" s="6"/>
      <c r="MKX45" s="6"/>
      <c r="MKY45" s="6"/>
      <c r="MKZ45" s="6"/>
      <c r="MLA45" s="6"/>
      <c r="MLB45" s="6"/>
      <c r="MLC45" s="6"/>
      <c r="MLD45" s="6"/>
      <c r="MLE45" s="6"/>
      <c r="MLF45" s="6"/>
      <c r="MLG45" s="6"/>
      <c r="MLH45" s="6"/>
      <c r="MLI45" s="6"/>
      <c r="MLJ45" s="6"/>
      <c r="MLK45" s="6"/>
      <c r="MLL45" s="6"/>
      <c r="MLM45" s="6"/>
      <c r="MLN45" s="6"/>
      <c r="MLO45" s="6"/>
      <c r="MLP45" s="6"/>
      <c r="MLQ45" s="6"/>
      <c r="MLR45" s="6"/>
      <c r="MLS45" s="6"/>
      <c r="MLT45" s="6"/>
      <c r="MLU45" s="6"/>
      <c r="MLV45" s="6"/>
      <c r="MLW45" s="6"/>
      <c r="MLX45" s="6"/>
      <c r="MLY45" s="6"/>
      <c r="MLZ45" s="6"/>
      <c r="MMA45" s="6"/>
      <c r="MMB45" s="6"/>
      <c r="MMC45" s="6"/>
      <c r="MMD45" s="6"/>
      <c r="MME45" s="6"/>
      <c r="MMF45" s="6"/>
      <c r="MMG45" s="6"/>
      <c r="MMH45" s="6"/>
      <c r="MMI45" s="6"/>
      <c r="MMJ45" s="6"/>
      <c r="MMK45" s="6"/>
      <c r="MML45" s="6"/>
      <c r="MMM45" s="6"/>
      <c r="MMN45" s="6"/>
      <c r="MMO45" s="6"/>
      <c r="MMP45" s="6"/>
      <c r="MMQ45" s="6"/>
      <c r="MMR45" s="6"/>
      <c r="MMS45" s="6"/>
      <c r="MMT45" s="6"/>
      <c r="MMU45" s="6"/>
      <c r="MMV45" s="6"/>
      <c r="MMW45" s="6"/>
      <c r="MMX45" s="6"/>
      <c r="MMY45" s="6"/>
      <c r="MMZ45" s="6"/>
      <c r="MNA45" s="6"/>
      <c r="MNB45" s="6"/>
      <c r="MNC45" s="6"/>
      <c r="MND45" s="6"/>
      <c r="MNE45" s="6"/>
      <c r="MNF45" s="6"/>
      <c r="MNG45" s="6"/>
      <c r="MNH45" s="6"/>
      <c r="MNI45" s="6"/>
      <c r="MNJ45" s="6"/>
      <c r="MNK45" s="6"/>
      <c r="MNL45" s="6"/>
      <c r="MNM45" s="6"/>
      <c r="MNN45" s="6"/>
      <c r="MNO45" s="6"/>
      <c r="MNP45" s="6"/>
      <c r="MNQ45" s="6"/>
      <c r="MNR45" s="6"/>
      <c r="MNS45" s="6"/>
      <c r="MNT45" s="6"/>
      <c r="MNU45" s="6"/>
      <c r="MNV45" s="6"/>
      <c r="MNW45" s="6"/>
      <c r="MNX45" s="6"/>
      <c r="MNY45" s="6"/>
      <c r="MNZ45" s="6"/>
      <c r="MOA45" s="6"/>
      <c r="MOB45" s="6"/>
      <c r="MOC45" s="6"/>
      <c r="MOD45" s="6"/>
      <c r="MOE45" s="6"/>
      <c r="MOF45" s="6"/>
      <c r="MOG45" s="6"/>
      <c r="MOH45" s="6"/>
      <c r="MOI45" s="6"/>
      <c r="MOJ45" s="6"/>
      <c r="MOK45" s="6"/>
      <c r="MOL45" s="6"/>
      <c r="MOM45" s="6"/>
      <c r="MON45" s="6"/>
      <c r="MOO45" s="6"/>
      <c r="MOP45" s="6"/>
      <c r="MOQ45" s="6"/>
      <c r="MOR45" s="6"/>
      <c r="MOS45" s="6"/>
      <c r="MOT45" s="6"/>
      <c r="MOU45" s="6"/>
      <c r="MOV45" s="6"/>
      <c r="MOW45" s="6"/>
      <c r="MOX45" s="6"/>
      <c r="MOY45" s="6"/>
      <c r="MOZ45" s="6"/>
      <c r="MPA45" s="6"/>
      <c r="MPB45" s="6"/>
      <c r="MPC45" s="6"/>
      <c r="MPD45" s="6"/>
      <c r="MPE45" s="6"/>
      <c r="MPF45" s="6"/>
      <c r="MPG45" s="6"/>
      <c r="MPH45" s="6"/>
      <c r="MPI45" s="6"/>
      <c r="MPJ45" s="6"/>
      <c r="MPK45" s="6"/>
      <c r="MPL45" s="6"/>
      <c r="MPM45" s="6"/>
      <c r="MPN45" s="6"/>
      <c r="MPO45" s="6"/>
      <c r="MPP45" s="6"/>
      <c r="MPQ45" s="6"/>
      <c r="MPR45" s="6"/>
      <c r="MPS45" s="6"/>
      <c r="MPT45" s="6"/>
      <c r="MPU45" s="6"/>
      <c r="MPV45" s="6"/>
      <c r="MPW45" s="6"/>
      <c r="MPX45" s="6"/>
      <c r="MPY45" s="6"/>
      <c r="MPZ45" s="6"/>
      <c r="MQA45" s="6"/>
      <c r="MQB45" s="6"/>
      <c r="MQC45" s="6"/>
      <c r="MQD45" s="6"/>
      <c r="MQE45" s="6"/>
      <c r="MQF45" s="6"/>
      <c r="MQG45" s="6"/>
      <c r="MQH45" s="6"/>
      <c r="MQI45" s="6"/>
      <c r="MQJ45" s="6"/>
      <c r="MQK45" s="6"/>
      <c r="MQL45" s="6"/>
      <c r="MQM45" s="6"/>
      <c r="MQN45" s="6"/>
      <c r="MQO45" s="6"/>
      <c r="MQP45" s="6"/>
      <c r="MQQ45" s="6"/>
      <c r="MQR45" s="6"/>
      <c r="MQS45" s="6"/>
      <c r="MQT45" s="6"/>
      <c r="MQU45" s="6"/>
      <c r="MQV45" s="6"/>
      <c r="MQW45" s="6"/>
      <c r="MQX45" s="6"/>
      <c r="MQY45" s="6"/>
      <c r="MQZ45" s="6"/>
      <c r="MRA45" s="6"/>
      <c r="MRB45" s="6"/>
      <c r="MRC45" s="6"/>
      <c r="MRD45" s="6"/>
      <c r="MRE45" s="6"/>
      <c r="MRF45" s="6"/>
      <c r="MRG45" s="6"/>
      <c r="MRH45" s="6"/>
      <c r="MRI45" s="6"/>
      <c r="MRJ45" s="6"/>
      <c r="MRK45" s="6"/>
      <c r="MRL45" s="6"/>
      <c r="MRM45" s="6"/>
      <c r="MRN45" s="6"/>
      <c r="MRO45" s="6"/>
      <c r="MRP45" s="6"/>
      <c r="MRQ45" s="6"/>
      <c r="MRR45" s="6"/>
      <c r="MRS45" s="6"/>
      <c r="MRT45" s="6"/>
      <c r="MRU45" s="6"/>
      <c r="MRV45" s="6"/>
      <c r="MRW45" s="6"/>
      <c r="MRX45" s="6"/>
      <c r="MRY45" s="6"/>
      <c r="MRZ45" s="6"/>
      <c r="MSA45" s="6"/>
      <c r="MSB45" s="6"/>
      <c r="MSC45" s="6"/>
      <c r="MSD45" s="6"/>
      <c r="MSE45" s="6"/>
      <c r="MSF45" s="6"/>
      <c r="MSG45" s="6"/>
      <c r="MSH45" s="6"/>
      <c r="MSI45" s="6"/>
      <c r="MSJ45" s="6"/>
      <c r="MSK45" s="6"/>
      <c r="MSL45" s="6"/>
      <c r="MSM45" s="6"/>
      <c r="MSN45" s="6"/>
      <c r="MSO45" s="6"/>
      <c r="MSP45" s="6"/>
      <c r="MSQ45" s="6"/>
      <c r="MSR45" s="6"/>
      <c r="MSS45" s="6"/>
      <c r="MST45" s="6"/>
      <c r="MSU45" s="6"/>
      <c r="MSV45" s="6"/>
      <c r="MSW45" s="6"/>
      <c r="MSX45" s="6"/>
      <c r="MSY45" s="6"/>
      <c r="MSZ45" s="6"/>
      <c r="MTA45" s="6"/>
      <c r="MTB45" s="6"/>
      <c r="MTC45" s="6"/>
      <c r="MTD45" s="6"/>
      <c r="MTE45" s="6"/>
      <c r="MTF45" s="6"/>
      <c r="MTG45" s="6"/>
      <c r="MTH45" s="6"/>
      <c r="MTI45" s="6"/>
      <c r="MTJ45" s="6"/>
      <c r="MTK45" s="6"/>
      <c r="MTL45" s="6"/>
      <c r="MTM45" s="6"/>
      <c r="MTN45" s="6"/>
      <c r="MTO45" s="6"/>
      <c r="MTP45" s="6"/>
      <c r="MTQ45" s="6"/>
      <c r="MTR45" s="6"/>
      <c r="MTS45" s="6"/>
      <c r="MTT45" s="6"/>
      <c r="MTU45" s="6"/>
      <c r="MTV45" s="6"/>
      <c r="MTW45" s="6"/>
      <c r="MTX45" s="6"/>
      <c r="MTY45" s="6"/>
      <c r="MTZ45" s="6"/>
      <c r="MUA45" s="6"/>
      <c r="MUB45" s="6"/>
      <c r="MUC45" s="6"/>
      <c r="MUD45" s="6"/>
      <c r="MUE45" s="6"/>
      <c r="MUF45" s="6"/>
      <c r="MUG45" s="6"/>
      <c r="MUH45" s="6"/>
      <c r="MUI45" s="6"/>
      <c r="MUJ45" s="6"/>
      <c r="MUK45" s="6"/>
      <c r="MUL45" s="6"/>
      <c r="MUM45" s="6"/>
      <c r="MUN45" s="6"/>
      <c r="MUO45" s="6"/>
      <c r="MUP45" s="6"/>
      <c r="MUQ45" s="6"/>
      <c r="MUR45" s="6"/>
      <c r="MUS45" s="6"/>
      <c r="MUT45" s="6"/>
      <c r="MUU45" s="6"/>
      <c r="MUV45" s="6"/>
      <c r="MUW45" s="6"/>
      <c r="MUX45" s="6"/>
      <c r="MUY45" s="6"/>
      <c r="MUZ45" s="6"/>
      <c r="MVA45" s="6"/>
      <c r="MVB45" s="6"/>
      <c r="MVC45" s="6"/>
      <c r="MVD45" s="6"/>
      <c r="MVE45" s="6"/>
      <c r="MVF45" s="6"/>
      <c r="MVG45" s="6"/>
      <c r="MVH45" s="6"/>
      <c r="MVI45" s="6"/>
      <c r="MVJ45" s="6"/>
      <c r="MVK45" s="6"/>
      <c r="MVL45" s="6"/>
      <c r="MVM45" s="6"/>
      <c r="MVN45" s="6"/>
      <c r="MVO45" s="6"/>
      <c r="MVP45" s="6"/>
      <c r="MVQ45" s="6"/>
      <c r="MVR45" s="6"/>
      <c r="MVS45" s="6"/>
      <c r="MVT45" s="6"/>
      <c r="MVU45" s="6"/>
      <c r="MVV45" s="6"/>
      <c r="MVW45" s="6"/>
      <c r="MVX45" s="6"/>
      <c r="MVY45" s="6"/>
      <c r="MVZ45" s="6"/>
      <c r="MWA45" s="6"/>
      <c r="MWB45" s="6"/>
      <c r="MWC45" s="6"/>
      <c r="MWD45" s="6"/>
      <c r="MWE45" s="6"/>
      <c r="MWF45" s="6"/>
      <c r="MWG45" s="6"/>
      <c r="MWH45" s="6"/>
      <c r="MWI45" s="6"/>
      <c r="MWJ45" s="6"/>
      <c r="MWK45" s="6"/>
      <c r="MWL45" s="6"/>
      <c r="MWM45" s="6"/>
      <c r="MWN45" s="6"/>
      <c r="MWO45" s="6"/>
      <c r="MWP45" s="6"/>
      <c r="MWQ45" s="6"/>
      <c r="MWR45" s="6"/>
      <c r="MWS45" s="6"/>
      <c r="MWT45" s="6"/>
      <c r="MWU45" s="6"/>
      <c r="MWV45" s="6"/>
      <c r="MWW45" s="6"/>
      <c r="MWX45" s="6"/>
      <c r="MWY45" s="6"/>
      <c r="MWZ45" s="6"/>
      <c r="MXA45" s="6"/>
      <c r="MXB45" s="6"/>
      <c r="MXC45" s="6"/>
      <c r="MXD45" s="6"/>
      <c r="MXE45" s="6"/>
      <c r="MXF45" s="6"/>
      <c r="MXG45" s="6"/>
      <c r="MXH45" s="6"/>
      <c r="MXI45" s="6"/>
      <c r="MXJ45" s="6"/>
      <c r="MXK45" s="6"/>
      <c r="MXL45" s="6"/>
      <c r="MXM45" s="6"/>
      <c r="MXN45" s="6"/>
      <c r="MXO45" s="6"/>
      <c r="MXP45" s="6"/>
      <c r="MXQ45" s="6"/>
      <c r="MXR45" s="6"/>
      <c r="MXS45" s="6"/>
      <c r="MXT45" s="6"/>
      <c r="MXU45" s="6"/>
      <c r="MXV45" s="6"/>
      <c r="MXW45" s="6"/>
      <c r="MXX45" s="6"/>
      <c r="MXY45" s="6"/>
      <c r="MXZ45" s="6"/>
      <c r="MYA45" s="6"/>
      <c r="MYB45" s="6"/>
      <c r="MYC45" s="6"/>
      <c r="MYD45" s="6"/>
      <c r="MYE45" s="6"/>
      <c r="MYF45" s="6"/>
      <c r="MYG45" s="6"/>
      <c r="MYH45" s="6"/>
      <c r="MYI45" s="6"/>
      <c r="MYJ45" s="6"/>
      <c r="MYK45" s="6"/>
      <c r="MYL45" s="6"/>
      <c r="MYM45" s="6"/>
      <c r="MYN45" s="6"/>
      <c r="MYO45" s="6"/>
      <c r="MYP45" s="6"/>
      <c r="MYQ45" s="6"/>
      <c r="MYR45" s="6"/>
      <c r="MYS45" s="6"/>
      <c r="MYT45" s="6"/>
      <c r="MYU45" s="6"/>
      <c r="MYV45" s="6"/>
      <c r="MYW45" s="6"/>
      <c r="MYX45" s="6"/>
      <c r="MYY45" s="6"/>
      <c r="MYZ45" s="6"/>
      <c r="MZA45" s="6"/>
      <c r="MZB45" s="6"/>
      <c r="MZC45" s="6"/>
      <c r="MZD45" s="6"/>
      <c r="MZE45" s="6"/>
      <c r="MZF45" s="6"/>
      <c r="MZG45" s="6"/>
      <c r="MZH45" s="6"/>
      <c r="MZI45" s="6"/>
      <c r="MZJ45" s="6"/>
      <c r="MZK45" s="6"/>
      <c r="MZL45" s="6"/>
      <c r="MZM45" s="6"/>
      <c r="MZN45" s="6"/>
      <c r="MZO45" s="6"/>
      <c r="MZP45" s="6"/>
      <c r="MZQ45" s="6"/>
      <c r="MZR45" s="6"/>
      <c r="MZS45" s="6"/>
      <c r="MZT45" s="6"/>
      <c r="MZU45" s="6"/>
      <c r="MZV45" s="6"/>
      <c r="MZW45" s="6"/>
      <c r="MZX45" s="6"/>
      <c r="MZY45" s="6"/>
      <c r="MZZ45" s="6"/>
      <c r="NAA45" s="6"/>
      <c r="NAB45" s="6"/>
      <c r="NAC45" s="6"/>
      <c r="NAD45" s="6"/>
      <c r="NAE45" s="6"/>
      <c r="NAF45" s="6"/>
      <c r="NAG45" s="6"/>
      <c r="NAH45" s="6"/>
      <c r="NAI45" s="6"/>
      <c r="NAJ45" s="6"/>
      <c r="NAK45" s="6"/>
      <c r="NAL45" s="6"/>
      <c r="NAM45" s="6"/>
      <c r="NAN45" s="6"/>
      <c r="NAO45" s="6"/>
      <c r="NAP45" s="6"/>
      <c r="NAQ45" s="6"/>
      <c r="NAR45" s="6"/>
      <c r="NAS45" s="6"/>
      <c r="NAT45" s="6"/>
      <c r="NAU45" s="6"/>
      <c r="NAV45" s="6"/>
      <c r="NAW45" s="6"/>
      <c r="NAX45" s="6"/>
      <c r="NAY45" s="6"/>
      <c r="NAZ45" s="6"/>
      <c r="NBA45" s="6"/>
      <c r="NBB45" s="6"/>
      <c r="NBC45" s="6"/>
      <c r="NBD45" s="6"/>
      <c r="NBE45" s="6"/>
      <c r="NBF45" s="6"/>
      <c r="NBG45" s="6"/>
      <c r="NBH45" s="6"/>
      <c r="NBI45" s="6"/>
      <c r="NBJ45" s="6"/>
      <c r="NBK45" s="6"/>
      <c r="NBL45" s="6"/>
      <c r="NBM45" s="6"/>
      <c r="NBN45" s="6"/>
      <c r="NBO45" s="6"/>
      <c r="NBP45" s="6"/>
      <c r="NBQ45" s="6"/>
      <c r="NBR45" s="6"/>
      <c r="NBS45" s="6"/>
      <c r="NBT45" s="6"/>
      <c r="NBU45" s="6"/>
      <c r="NBV45" s="6"/>
      <c r="NBW45" s="6"/>
      <c r="NBX45" s="6"/>
      <c r="NBY45" s="6"/>
      <c r="NBZ45" s="6"/>
      <c r="NCA45" s="6"/>
      <c r="NCB45" s="6"/>
      <c r="NCC45" s="6"/>
      <c r="NCD45" s="6"/>
      <c r="NCE45" s="6"/>
      <c r="NCF45" s="6"/>
      <c r="NCG45" s="6"/>
      <c r="NCH45" s="6"/>
      <c r="NCI45" s="6"/>
      <c r="NCJ45" s="6"/>
      <c r="NCK45" s="6"/>
      <c r="NCL45" s="6"/>
      <c r="NCM45" s="6"/>
      <c r="NCN45" s="6"/>
      <c r="NCO45" s="6"/>
      <c r="NCP45" s="6"/>
      <c r="NCQ45" s="6"/>
      <c r="NCR45" s="6"/>
      <c r="NCS45" s="6"/>
      <c r="NCT45" s="6"/>
      <c r="NCU45" s="6"/>
      <c r="NCV45" s="6"/>
      <c r="NCW45" s="6"/>
      <c r="NCX45" s="6"/>
      <c r="NCY45" s="6"/>
      <c r="NCZ45" s="6"/>
      <c r="NDA45" s="6"/>
      <c r="NDB45" s="6"/>
      <c r="NDC45" s="6"/>
      <c r="NDD45" s="6"/>
      <c r="NDE45" s="6"/>
      <c r="NDF45" s="6"/>
      <c r="NDG45" s="6"/>
      <c r="NDH45" s="6"/>
      <c r="NDI45" s="6"/>
      <c r="NDJ45" s="6"/>
      <c r="NDK45" s="6"/>
      <c r="NDL45" s="6"/>
      <c r="NDM45" s="6"/>
      <c r="NDN45" s="6"/>
      <c r="NDO45" s="6"/>
      <c r="NDP45" s="6"/>
      <c r="NDQ45" s="6"/>
      <c r="NDR45" s="6"/>
      <c r="NDS45" s="6"/>
      <c r="NDT45" s="6"/>
      <c r="NDU45" s="6"/>
      <c r="NDV45" s="6"/>
      <c r="NDW45" s="6"/>
      <c r="NDX45" s="6"/>
      <c r="NDY45" s="6"/>
      <c r="NDZ45" s="6"/>
      <c r="NEA45" s="6"/>
      <c r="NEB45" s="6"/>
      <c r="NEC45" s="6"/>
      <c r="NED45" s="6"/>
      <c r="NEE45" s="6"/>
      <c r="NEF45" s="6"/>
      <c r="NEG45" s="6"/>
      <c r="NEH45" s="6"/>
      <c r="NEI45" s="6"/>
      <c r="NEJ45" s="6"/>
      <c r="NEK45" s="6"/>
      <c r="NEL45" s="6"/>
      <c r="NEM45" s="6"/>
      <c r="NEN45" s="6"/>
      <c r="NEO45" s="6"/>
      <c r="NEP45" s="6"/>
      <c r="NEQ45" s="6"/>
      <c r="NER45" s="6"/>
      <c r="NES45" s="6"/>
      <c r="NET45" s="6"/>
      <c r="NEU45" s="6"/>
      <c r="NEV45" s="6"/>
      <c r="NEW45" s="6"/>
      <c r="NEX45" s="6"/>
      <c r="NEY45" s="6"/>
      <c r="NEZ45" s="6"/>
      <c r="NFA45" s="6"/>
      <c r="NFB45" s="6"/>
      <c r="NFC45" s="6"/>
      <c r="NFD45" s="6"/>
      <c r="NFE45" s="6"/>
      <c r="NFF45" s="6"/>
      <c r="NFG45" s="6"/>
      <c r="NFH45" s="6"/>
      <c r="NFI45" s="6"/>
      <c r="NFJ45" s="6"/>
      <c r="NFK45" s="6"/>
      <c r="NFL45" s="6"/>
      <c r="NFM45" s="6"/>
      <c r="NFN45" s="6"/>
      <c r="NFO45" s="6"/>
      <c r="NFP45" s="6"/>
      <c r="NFQ45" s="6"/>
      <c r="NFR45" s="6"/>
      <c r="NFS45" s="6"/>
      <c r="NFT45" s="6"/>
      <c r="NFU45" s="6"/>
      <c r="NFV45" s="6"/>
      <c r="NFW45" s="6"/>
      <c r="NFX45" s="6"/>
      <c r="NFY45" s="6"/>
      <c r="NFZ45" s="6"/>
      <c r="NGA45" s="6"/>
      <c r="NGB45" s="6"/>
      <c r="NGC45" s="6"/>
      <c r="NGD45" s="6"/>
      <c r="NGE45" s="6"/>
      <c r="NGF45" s="6"/>
      <c r="NGG45" s="6"/>
      <c r="NGH45" s="6"/>
      <c r="NGI45" s="6"/>
      <c r="NGJ45" s="6"/>
      <c r="NGK45" s="6"/>
      <c r="NGL45" s="6"/>
      <c r="NGM45" s="6"/>
      <c r="NGN45" s="6"/>
      <c r="NGO45" s="6"/>
      <c r="NGP45" s="6"/>
      <c r="NGQ45" s="6"/>
      <c r="NGR45" s="6"/>
      <c r="NGS45" s="6"/>
      <c r="NGT45" s="6"/>
      <c r="NGU45" s="6"/>
      <c r="NGV45" s="6"/>
      <c r="NGW45" s="6"/>
      <c r="NGX45" s="6"/>
      <c r="NGY45" s="6"/>
      <c r="NGZ45" s="6"/>
      <c r="NHA45" s="6"/>
      <c r="NHB45" s="6"/>
      <c r="NHC45" s="6"/>
      <c r="NHD45" s="6"/>
      <c r="NHE45" s="6"/>
      <c r="NHF45" s="6"/>
      <c r="NHG45" s="6"/>
      <c r="NHH45" s="6"/>
      <c r="NHI45" s="6"/>
      <c r="NHJ45" s="6"/>
      <c r="NHK45" s="6"/>
      <c r="NHL45" s="6"/>
      <c r="NHM45" s="6"/>
      <c r="NHN45" s="6"/>
      <c r="NHO45" s="6"/>
      <c r="NHP45" s="6"/>
      <c r="NHQ45" s="6"/>
      <c r="NHR45" s="6"/>
      <c r="NHS45" s="6"/>
      <c r="NHT45" s="6"/>
      <c r="NHU45" s="6"/>
      <c r="NHV45" s="6"/>
      <c r="NHW45" s="6"/>
      <c r="NHX45" s="6"/>
      <c r="NHY45" s="6"/>
      <c r="NHZ45" s="6"/>
      <c r="NIA45" s="6"/>
      <c r="NIB45" s="6"/>
      <c r="NIC45" s="6"/>
      <c r="NID45" s="6"/>
      <c r="NIE45" s="6"/>
      <c r="NIF45" s="6"/>
      <c r="NIG45" s="6"/>
      <c r="NIH45" s="6"/>
      <c r="NII45" s="6"/>
      <c r="NIJ45" s="6"/>
      <c r="NIK45" s="6"/>
      <c r="NIL45" s="6"/>
      <c r="NIM45" s="6"/>
      <c r="NIN45" s="6"/>
      <c r="NIO45" s="6"/>
      <c r="NIP45" s="6"/>
      <c r="NIQ45" s="6"/>
      <c r="NIR45" s="6"/>
      <c r="NIS45" s="6"/>
      <c r="NIT45" s="6"/>
      <c r="NIU45" s="6"/>
      <c r="NIV45" s="6"/>
      <c r="NIW45" s="6"/>
      <c r="NIX45" s="6"/>
      <c r="NIY45" s="6"/>
      <c r="NIZ45" s="6"/>
      <c r="NJA45" s="6"/>
      <c r="NJB45" s="6"/>
      <c r="NJC45" s="6"/>
      <c r="NJD45" s="6"/>
      <c r="NJE45" s="6"/>
      <c r="NJF45" s="6"/>
      <c r="NJG45" s="6"/>
      <c r="NJH45" s="6"/>
      <c r="NJI45" s="6"/>
      <c r="NJJ45" s="6"/>
      <c r="NJK45" s="6"/>
      <c r="NJL45" s="6"/>
      <c r="NJM45" s="6"/>
      <c r="NJN45" s="6"/>
      <c r="NJO45" s="6"/>
      <c r="NJP45" s="6"/>
      <c r="NJQ45" s="6"/>
      <c r="NJR45" s="6"/>
      <c r="NJS45" s="6"/>
      <c r="NJT45" s="6"/>
      <c r="NJU45" s="6"/>
      <c r="NJV45" s="6"/>
      <c r="NJW45" s="6"/>
      <c r="NJX45" s="6"/>
      <c r="NJY45" s="6"/>
      <c r="NJZ45" s="6"/>
      <c r="NKA45" s="6"/>
      <c r="NKB45" s="6"/>
      <c r="NKC45" s="6"/>
      <c r="NKD45" s="6"/>
      <c r="NKE45" s="6"/>
      <c r="NKF45" s="6"/>
      <c r="NKG45" s="6"/>
      <c r="NKH45" s="6"/>
      <c r="NKI45" s="6"/>
      <c r="NKJ45" s="6"/>
      <c r="NKK45" s="6"/>
      <c r="NKL45" s="6"/>
      <c r="NKM45" s="6"/>
      <c r="NKN45" s="6"/>
      <c r="NKO45" s="6"/>
      <c r="NKP45" s="6"/>
      <c r="NKQ45" s="6"/>
      <c r="NKR45" s="6"/>
      <c r="NKS45" s="6"/>
      <c r="NKT45" s="6"/>
      <c r="NKU45" s="6"/>
      <c r="NKV45" s="6"/>
      <c r="NKW45" s="6"/>
      <c r="NKX45" s="6"/>
      <c r="NKY45" s="6"/>
      <c r="NKZ45" s="6"/>
      <c r="NLA45" s="6"/>
      <c r="NLB45" s="6"/>
      <c r="NLC45" s="6"/>
      <c r="NLD45" s="6"/>
      <c r="NLE45" s="6"/>
      <c r="NLF45" s="6"/>
      <c r="NLG45" s="6"/>
      <c r="NLH45" s="6"/>
      <c r="NLI45" s="6"/>
      <c r="NLJ45" s="6"/>
      <c r="NLK45" s="6"/>
      <c r="NLL45" s="6"/>
      <c r="NLM45" s="6"/>
      <c r="NLN45" s="6"/>
      <c r="NLO45" s="6"/>
      <c r="NLP45" s="6"/>
      <c r="NLQ45" s="6"/>
      <c r="NLR45" s="6"/>
      <c r="NLS45" s="6"/>
      <c r="NLT45" s="6"/>
      <c r="NLU45" s="6"/>
      <c r="NLV45" s="6"/>
      <c r="NLW45" s="6"/>
      <c r="NLX45" s="6"/>
      <c r="NLY45" s="6"/>
      <c r="NLZ45" s="6"/>
      <c r="NMA45" s="6"/>
      <c r="NMB45" s="6"/>
      <c r="NMC45" s="6"/>
      <c r="NMD45" s="6"/>
      <c r="NME45" s="6"/>
      <c r="NMF45" s="6"/>
      <c r="NMG45" s="6"/>
      <c r="NMH45" s="6"/>
      <c r="NMI45" s="6"/>
      <c r="NMJ45" s="6"/>
      <c r="NMK45" s="6"/>
      <c r="NML45" s="6"/>
      <c r="NMM45" s="6"/>
      <c r="NMN45" s="6"/>
      <c r="NMO45" s="6"/>
      <c r="NMP45" s="6"/>
      <c r="NMQ45" s="6"/>
      <c r="NMR45" s="6"/>
      <c r="NMS45" s="6"/>
      <c r="NMT45" s="6"/>
      <c r="NMU45" s="6"/>
      <c r="NMV45" s="6"/>
      <c r="NMW45" s="6"/>
      <c r="NMX45" s="6"/>
      <c r="NMY45" s="6"/>
      <c r="NMZ45" s="6"/>
      <c r="NNA45" s="6"/>
      <c r="NNB45" s="6"/>
      <c r="NNC45" s="6"/>
      <c r="NND45" s="6"/>
      <c r="NNE45" s="6"/>
      <c r="NNF45" s="6"/>
      <c r="NNG45" s="6"/>
      <c r="NNH45" s="6"/>
      <c r="NNI45" s="6"/>
      <c r="NNJ45" s="6"/>
      <c r="NNK45" s="6"/>
      <c r="NNL45" s="6"/>
      <c r="NNM45" s="6"/>
      <c r="NNN45" s="6"/>
      <c r="NNO45" s="6"/>
      <c r="NNP45" s="6"/>
      <c r="NNQ45" s="6"/>
      <c r="NNR45" s="6"/>
      <c r="NNS45" s="6"/>
      <c r="NNT45" s="6"/>
      <c r="NNU45" s="6"/>
      <c r="NNV45" s="6"/>
      <c r="NNW45" s="6"/>
      <c r="NNX45" s="6"/>
      <c r="NNY45" s="6"/>
      <c r="NNZ45" s="6"/>
      <c r="NOA45" s="6"/>
      <c r="NOB45" s="6"/>
      <c r="NOC45" s="6"/>
      <c r="NOD45" s="6"/>
      <c r="NOE45" s="6"/>
      <c r="NOF45" s="6"/>
      <c r="NOG45" s="6"/>
      <c r="NOH45" s="6"/>
      <c r="NOI45" s="6"/>
      <c r="NOJ45" s="6"/>
      <c r="NOK45" s="6"/>
      <c r="NOL45" s="6"/>
      <c r="NOM45" s="6"/>
      <c r="NON45" s="6"/>
      <c r="NOO45" s="6"/>
      <c r="NOP45" s="6"/>
      <c r="NOQ45" s="6"/>
      <c r="NOR45" s="6"/>
      <c r="NOS45" s="6"/>
      <c r="NOT45" s="6"/>
      <c r="NOU45" s="6"/>
      <c r="NOV45" s="6"/>
      <c r="NOW45" s="6"/>
      <c r="NOX45" s="6"/>
      <c r="NOY45" s="6"/>
      <c r="NOZ45" s="6"/>
      <c r="NPA45" s="6"/>
      <c r="NPB45" s="6"/>
      <c r="NPC45" s="6"/>
      <c r="NPD45" s="6"/>
      <c r="NPE45" s="6"/>
      <c r="NPF45" s="6"/>
      <c r="NPG45" s="6"/>
      <c r="NPH45" s="6"/>
      <c r="NPI45" s="6"/>
      <c r="NPJ45" s="6"/>
      <c r="NPK45" s="6"/>
      <c r="NPL45" s="6"/>
      <c r="NPM45" s="6"/>
      <c r="NPN45" s="6"/>
      <c r="NPO45" s="6"/>
      <c r="NPP45" s="6"/>
      <c r="NPQ45" s="6"/>
      <c r="NPR45" s="6"/>
      <c r="NPS45" s="6"/>
      <c r="NPT45" s="6"/>
      <c r="NPU45" s="6"/>
      <c r="NPV45" s="6"/>
      <c r="NPW45" s="6"/>
      <c r="NPX45" s="6"/>
      <c r="NPY45" s="6"/>
      <c r="NPZ45" s="6"/>
      <c r="NQA45" s="6"/>
      <c r="NQB45" s="6"/>
      <c r="NQC45" s="6"/>
      <c r="NQD45" s="6"/>
      <c r="NQE45" s="6"/>
      <c r="NQF45" s="6"/>
      <c r="NQG45" s="6"/>
      <c r="NQH45" s="6"/>
      <c r="NQI45" s="6"/>
      <c r="NQJ45" s="6"/>
      <c r="NQK45" s="6"/>
      <c r="NQL45" s="6"/>
      <c r="NQM45" s="6"/>
      <c r="NQN45" s="6"/>
      <c r="NQO45" s="6"/>
      <c r="NQP45" s="6"/>
      <c r="NQQ45" s="6"/>
      <c r="NQR45" s="6"/>
      <c r="NQS45" s="6"/>
      <c r="NQT45" s="6"/>
      <c r="NQU45" s="6"/>
      <c r="NQV45" s="6"/>
      <c r="NQW45" s="6"/>
      <c r="NQX45" s="6"/>
      <c r="NQY45" s="6"/>
      <c r="NQZ45" s="6"/>
      <c r="NRA45" s="6"/>
      <c r="NRB45" s="6"/>
      <c r="NRC45" s="6"/>
      <c r="NRD45" s="6"/>
      <c r="NRE45" s="6"/>
      <c r="NRF45" s="6"/>
      <c r="NRG45" s="6"/>
      <c r="NRH45" s="6"/>
      <c r="NRI45" s="6"/>
      <c r="NRJ45" s="6"/>
      <c r="NRK45" s="6"/>
      <c r="NRL45" s="6"/>
      <c r="NRM45" s="6"/>
      <c r="NRN45" s="6"/>
      <c r="NRO45" s="6"/>
      <c r="NRP45" s="6"/>
      <c r="NRQ45" s="6"/>
      <c r="NRR45" s="6"/>
      <c r="NRS45" s="6"/>
      <c r="NRT45" s="6"/>
      <c r="NRU45" s="6"/>
      <c r="NRV45" s="6"/>
      <c r="NRW45" s="6"/>
      <c r="NRX45" s="6"/>
      <c r="NRY45" s="6"/>
      <c r="NRZ45" s="6"/>
      <c r="NSA45" s="6"/>
      <c r="NSB45" s="6"/>
      <c r="NSC45" s="6"/>
      <c r="NSD45" s="6"/>
      <c r="NSE45" s="6"/>
      <c r="NSF45" s="6"/>
      <c r="NSG45" s="6"/>
      <c r="NSH45" s="6"/>
      <c r="NSI45" s="6"/>
      <c r="NSJ45" s="6"/>
      <c r="NSK45" s="6"/>
      <c r="NSL45" s="6"/>
      <c r="NSM45" s="6"/>
      <c r="NSN45" s="6"/>
      <c r="NSO45" s="6"/>
      <c r="NSP45" s="6"/>
      <c r="NSQ45" s="6"/>
      <c r="NSR45" s="6"/>
      <c r="NSS45" s="6"/>
      <c r="NST45" s="6"/>
      <c r="NSU45" s="6"/>
      <c r="NSV45" s="6"/>
      <c r="NSW45" s="6"/>
      <c r="NSX45" s="6"/>
      <c r="NSY45" s="6"/>
      <c r="NSZ45" s="6"/>
      <c r="NTA45" s="6"/>
      <c r="NTB45" s="6"/>
      <c r="NTC45" s="6"/>
      <c r="NTD45" s="6"/>
      <c r="NTE45" s="6"/>
      <c r="NTF45" s="6"/>
      <c r="NTG45" s="6"/>
      <c r="NTH45" s="6"/>
      <c r="NTI45" s="6"/>
      <c r="NTJ45" s="6"/>
      <c r="NTK45" s="6"/>
      <c r="NTL45" s="6"/>
      <c r="NTM45" s="6"/>
      <c r="NTN45" s="6"/>
      <c r="NTO45" s="6"/>
      <c r="NTP45" s="6"/>
      <c r="NTQ45" s="6"/>
      <c r="NTR45" s="6"/>
      <c r="NTS45" s="6"/>
      <c r="NTT45" s="6"/>
      <c r="NTU45" s="6"/>
      <c r="NTV45" s="6"/>
      <c r="NTW45" s="6"/>
      <c r="NTX45" s="6"/>
      <c r="NTY45" s="6"/>
      <c r="NTZ45" s="6"/>
      <c r="NUA45" s="6"/>
      <c r="NUB45" s="6"/>
      <c r="NUC45" s="6"/>
      <c r="NUD45" s="6"/>
      <c r="NUE45" s="6"/>
      <c r="NUF45" s="6"/>
      <c r="NUG45" s="6"/>
      <c r="NUH45" s="6"/>
      <c r="NUI45" s="6"/>
      <c r="NUJ45" s="6"/>
      <c r="NUK45" s="6"/>
      <c r="NUL45" s="6"/>
      <c r="NUM45" s="6"/>
      <c r="NUN45" s="6"/>
      <c r="NUO45" s="6"/>
      <c r="NUP45" s="6"/>
      <c r="NUQ45" s="6"/>
      <c r="NUR45" s="6"/>
      <c r="NUS45" s="6"/>
      <c r="NUT45" s="6"/>
      <c r="NUU45" s="6"/>
      <c r="NUV45" s="6"/>
      <c r="NUW45" s="6"/>
      <c r="NUX45" s="6"/>
      <c r="NUY45" s="6"/>
      <c r="NUZ45" s="6"/>
      <c r="NVA45" s="6"/>
      <c r="NVB45" s="6"/>
      <c r="NVC45" s="6"/>
      <c r="NVD45" s="6"/>
      <c r="NVE45" s="6"/>
      <c r="NVF45" s="6"/>
      <c r="NVG45" s="6"/>
      <c r="NVH45" s="6"/>
      <c r="NVI45" s="6"/>
      <c r="NVJ45" s="6"/>
      <c r="NVK45" s="6"/>
      <c r="NVL45" s="6"/>
      <c r="NVM45" s="6"/>
      <c r="NVN45" s="6"/>
      <c r="NVO45" s="6"/>
      <c r="NVP45" s="6"/>
      <c r="NVQ45" s="6"/>
      <c r="NVR45" s="6"/>
      <c r="NVS45" s="6"/>
      <c r="NVT45" s="6"/>
      <c r="NVU45" s="6"/>
      <c r="NVV45" s="6"/>
      <c r="NVW45" s="6"/>
      <c r="NVX45" s="6"/>
      <c r="NVY45" s="6"/>
      <c r="NVZ45" s="6"/>
      <c r="NWA45" s="6"/>
      <c r="NWB45" s="6"/>
      <c r="NWC45" s="6"/>
      <c r="NWD45" s="6"/>
      <c r="NWE45" s="6"/>
      <c r="NWF45" s="6"/>
      <c r="NWG45" s="6"/>
      <c r="NWH45" s="6"/>
      <c r="NWI45" s="6"/>
      <c r="NWJ45" s="6"/>
      <c r="NWK45" s="6"/>
      <c r="NWL45" s="6"/>
      <c r="NWM45" s="6"/>
      <c r="NWN45" s="6"/>
      <c r="NWO45" s="6"/>
      <c r="NWP45" s="6"/>
      <c r="NWQ45" s="6"/>
      <c r="NWR45" s="6"/>
      <c r="NWS45" s="6"/>
      <c r="NWT45" s="6"/>
      <c r="NWU45" s="6"/>
      <c r="NWV45" s="6"/>
      <c r="NWW45" s="6"/>
      <c r="NWX45" s="6"/>
      <c r="NWY45" s="6"/>
      <c r="NWZ45" s="6"/>
      <c r="NXA45" s="6"/>
      <c r="NXB45" s="6"/>
      <c r="NXC45" s="6"/>
      <c r="NXD45" s="6"/>
      <c r="NXE45" s="6"/>
      <c r="NXF45" s="6"/>
      <c r="NXG45" s="6"/>
      <c r="NXH45" s="6"/>
      <c r="NXI45" s="6"/>
      <c r="NXJ45" s="6"/>
      <c r="NXK45" s="6"/>
      <c r="NXL45" s="6"/>
      <c r="NXM45" s="6"/>
      <c r="NXN45" s="6"/>
      <c r="NXO45" s="6"/>
      <c r="NXP45" s="6"/>
      <c r="NXQ45" s="6"/>
      <c r="NXR45" s="6"/>
      <c r="NXS45" s="6"/>
      <c r="NXT45" s="6"/>
      <c r="NXU45" s="6"/>
      <c r="NXV45" s="6"/>
      <c r="NXW45" s="6"/>
      <c r="NXX45" s="6"/>
      <c r="NXY45" s="6"/>
      <c r="NXZ45" s="6"/>
      <c r="NYA45" s="6"/>
      <c r="NYB45" s="6"/>
      <c r="NYC45" s="6"/>
      <c r="NYD45" s="6"/>
      <c r="NYE45" s="6"/>
      <c r="NYF45" s="6"/>
      <c r="NYG45" s="6"/>
      <c r="NYH45" s="6"/>
      <c r="NYI45" s="6"/>
      <c r="NYJ45" s="6"/>
      <c r="NYK45" s="6"/>
      <c r="NYL45" s="6"/>
      <c r="NYM45" s="6"/>
      <c r="NYN45" s="6"/>
      <c r="NYO45" s="6"/>
      <c r="NYP45" s="6"/>
      <c r="NYQ45" s="6"/>
      <c r="NYR45" s="6"/>
      <c r="NYS45" s="6"/>
      <c r="NYT45" s="6"/>
      <c r="NYU45" s="6"/>
      <c r="NYV45" s="6"/>
      <c r="NYW45" s="6"/>
      <c r="NYX45" s="6"/>
      <c r="NYY45" s="6"/>
      <c r="NYZ45" s="6"/>
      <c r="NZA45" s="6"/>
      <c r="NZB45" s="6"/>
      <c r="NZC45" s="6"/>
      <c r="NZD45" s="6"/>
      <c r="NZE45" s="6"/>
      <c r="NZF45" s="6"/>
      <c r="NZG45" s="6"/>
      <c r="NZH45" s="6"/>
      <c r="NZI45" s="6"/>
      <c r="NZJ45" s="6"/>
      <c r="NZK45" s="6"/>
      <c r="NZL45" s="6"/>
      <c r="NZM45" s="6"/>
      <c r="NZN45" s="6"/>
      <c r="NZO45" s="6"/>
      <c r="NZP45" s="6"/>
      <c r="NZQ45" s="6"/>
      <c r="NZR45" s="6"/>
      <c r="NZS45" s="6"/>
      <c r="NZT45" s="6"/>
      <c r="NZU45" s="6"/>
      <c r="NZV45" s="6"/>
      <c r="NZW45" s="6"/>
      <c r="NZX45" s="6"/>
      <c r="NZY45" s="6"/>
      <c r="NZZ45" s="6"/>
      <c r="OAA45" s="6"/>
      <c r="OAB45" s="6"/>
      <c r="OAC45" s="6"/>
      <c r="OAD45" s="6"/>
      <c r="OAE45" s="6"/>
      <c r="OAF45" s="6"/>
      <c r="OAG45" s="6"/>
      <c r="OAH45" s="6"/>
      <c r="OAI45" s="6"/>
      <c r="OAJ45" s="6"/>
      <c r="OAK45" s="6"/>
      <c r="OAL45" s="6"/>
      <c r="OAM45" s="6"/>
      <c r="OAN45" s="6"/>
      <c r="OAO45" s="6"/>
      <c r="OAP45" s="6"/>
      <c r="OAQ45" s="6"/>
      <c r="OAR45" s="6"/>
      <c r="OAS45" s="6"/>
      <c r="OAT45" s="6"/>
      <c r="OAU45" s="6"/>
      <c r="OAV45" s="6"/>
      <c r="OAW45" s="6"/>
      <c r="OAX45" s="6"/>
      <c r="OAY45" s="6"/>
      <c r="OAZ45" s="6"/>
      <c r="OBA45" s="6"/>
      <c r="OBB45" s="6"/>
      <c r="OBC45" s="6"/>
      <c r="OBD45" s="6"/>
      <c r="OBE45" s="6"/>
      <c r="OBF45" s="6"/>
      <c r="OBG45" s="6"/>
      <c r="OBH45" s="6"/>
      <c r="OBI45" s="6"/>
      <c r="OBJ45" s="6"/>
      <c r="OBK45" s="6"/>
      <c r="OBL45" s="6"/>
      <c r="OBM45" s="6"/>
      <c r="OBN45" s="6"/>
      <c r="OBO45" s="6"/>
      <c r="OBP45" s="6"/>
      <c r="OBQ45" s="6"/>
      <c r="OBR45" s="6"/>
      <c r="OBS45" s="6"/>
      <c r="OBT45" s="6"/>
      <c r="OBU45" s="6"/>
      <c r="OBV45" s="6"/>
      <c r="OBW45" s="6"/>
      <c r="OBX45" s="6"/>
      <c r="OBY45" s="6"/>
      <c r="OBZ45" s="6"/>
      <c r="OCA45" s="6"/>
      <c r="OCB45" s="6"/>
      <c r="OCC45" s="6"/>
      <c r="OCD45" s="6"/>
      <c r="OCE45" s="6"/>
      <c r="OCF45" s="6"/>
      <c r="OCG45" s="6"/>
      <c r="OCH45" s="6"/>
      <c r="OCI45" s="6"/>
      <c r="OCJ45" s="6"/>
      <c r="OCK45" s="6"/>
      <c r="OCL45" s="6"/>
      <c r="OCM45" s="6"/>
      <c r="OCN45" s="6"/>
      <c r="OCO45" s="6"/>
      <c r="OCP45" s="6"/>
      <c r="OCQ45" s="6"/>
      <c r="OCR45" s="6"/>
      <c r="OCS45" s="6"/>
      <c r="OCT45" s="6"/>
      <c r="OCU45" s="6"/>
      <c r="OCV45" s="6"/>
      <c r="OCW45" s="6"/>
      <c r="OCX45" s="6"/>
      <c r="OCY45" s="6"/>
      <c r="OCZ45" s="6"/>
      <c r="ODA45" s="6"/>
      <c r="ODB45" s="6"/>
      <c r="ODC45" s="6"/>
      <c r="ODD45" s="6"/>
      <c r="ODE45" s="6"/>
      <c r="ODF45" s="6"/>
      <c r="ODG45" s="6"/>
      <c r="ODH45" s="6"/>
      <c r="ODI45" s="6"/>
      <c r="ODJ45" s="6"/>
      <c r="ODK45" s="6"/>
      <c r="ODL45" s="6"/>
      <c r="ODM45" s="6"/>
      <c r="ODN45" s="6"/>
      <c r="ODO45" s="6"/>
      <c r="ODP45" s="6"/>
      <c r="ODQ45" s="6"/>
      <c r="ODR45" s="6"/>
      <c r="ODS45" s="6"/>
      <c r="ODT45" s="6"/>
      <c r="ODU45" s="6"/>
      <c r="ODV45" s="6"/>
      <c r="ODW45" s="6"/>
      <c r="ODX45" s="6"/>
      <c r="ODY45" s="6"/>
      <c r="ODZ45" s="6"/>
      <c r="OEA45" s="6"/>
      <c r="OEB45" s="6"/>
      <c r="OEC45" s="6"/>
      <c r="OED45" s="6"/>
      <c r="OEE45" s="6"/>
      <c r="OEF45" s="6"/>
      <c r="OEG45" s="6"/>
      <c r="OEH45" s="6"/>
      <c r="OEI45" s="6"/>
      <c r="OEJ45" s="6"/>
      <c r="OEK45" s="6"/>
      <c r="OEL45" s="6"/>
      <c r="OEM45" s="6"/>
      <c r="OEN45" s="6"/>
      <c r="OEO45" s="6"/>
      <c r="OEP45" s="6"/>
      <c r="OEQ45" s="6"/>
      <c r="OER45" s="6"/>
      <c r="OES45" s="6"/>
      <c r="OET45" s="6"/>
      <c r="OEU45" s="6"/>
      <c r="OEV45" s="6"/>
      <c r="OEW45" s="6"/>
      <c r="OEX45" s="6"/>
      <c r="OEY45" s="6"/>
      <c r="OEZ45" s="6"/>
      <c r="OFA45" s="6"/>
      <c r="OFB45" s="6"/>
      <c r="OFC45" s="6"/>
      <c r="OFD45" s="6"/>
      <c r="OFE45" s="6"/>
      <c r="OFF45" s="6"/>
      <c r="OFG45" s="6"/>
      <c r="OFH45" s="6"/>
      <c r="OFI45" s="6"/>
      <c r="OFJ45" s="6"/>
      <c r="OFK45" s="6"/>
      <c r="OFL45" s="6"/>
      <c r="OFM45" s="6"/>
      <c r="OFN45" s="6"/>
      <c r="OFO45" s="6"/>
      <c r="OFP45" s="6"/>
      <c r="OFQ45" s="6"/>
      <c r="OFR45" s="6"/>
      <c r="OFS45" s="6"/>
      <c r="OFT45" s="6"/>
      <c r="OFU45" s="6"/>
      <c r="OFV45" s="6"/>
      <c r="OFW45" s="6"/>
      <c r="OFX45" s="6"/>
      <c r="OFY45" s="6"/>
      <c r="OFZ45" s="6"/>
      <c r="OGA45" s="6"/>
      <c r="OGB45" s="6"/>
      <c r="OGC45" s="6"/>
      <c r="OGD45" s="6"/>
      <c r="OGE45" s="6"/>
      <c r="OGF45" s="6"/>
      <c r="OGG45" s="6"/>
      <c r="OGH45" s="6"/>
      <c r="OGI45" s="6"/>
      <c r="OGJ45" s="6"/>
      <c r="OGK45" s="6"/>
      <c r="OGL45" s="6"/>
      <c r="OGM45" s="6"/>
      <c r="OGN45" s="6"/>
      <c r="OGO45" s="6"/>
      <c r="OGP45" s="6"/>
      <c r="OGQ45" s="6"/>
      <c r="OGR45" s="6"/>
      <c r="OGS45" s="6"/>
      <c r="OGT45" s="6"/>
      <c r="OGU45" s="6"/>
      <c r="OGV45" s="6"/>
      <c r="OGW45" s="6"/>
      <c r="OGX45" s="6"/>
      <c r="OGY45" s="6"/>
      <c r="OGZ45" s="6"/>
      <c r="OHA45" s="6"/>
      <c r="OHB45" s="6"/>
      <c r="OHC45" s="6"/>
      <c r="OHD45" s="6"/>
      <c r="OHE45" s="6"/>
      <c r="OHF45" s="6"/>
      <c r="OHG45" s="6"/>
      <c r="OHH45" s="6"/>
      <c r="OHI45" s="6"/>
      <c r="OHJ45" s="6"/>
      <c r="OHK45" s="6"/>
      <c r="OHL45" s="6"/>
      <c r="OHM45" s="6"/>
      <c r="OHN45" s="6"/>
      <c r="OHO45" s="6"/>
      <c r="OHP45" s="6"/>
      <c r="OHQ45" s="6"/>
      <c r="OHR45" s="6"/>
      <c r="OHS45" s="6"/>
      <c r="OHT45" s="6"/>
      <c r="OHU45" s="6"/>
      <c r="OHV45" s="6"/>
      <c r="OHW45" s="6"/>
      <c r="OHX45" s="6"/>
      <c r="OHY45" s="6"/>
      <c r="OHZ45" s="6"/>
      <c r="OIA45" s="6"/>
      <c r="OIB45" s="6"/>
      <c r="OIC45" s="6"/>
      <c r="OID45" s="6"/>
      <c r="OIE45" s="6"/>
      <c r="OIF45" s="6"/>
      <c r="OIG45" s="6"/>
      <c r="OIH45" s="6"/>
      <c r="OII45" s="6"/>
      <c r="OIJ45" s="6"/>
      <c r="OIK45" s="6"/>
      <c r="OIL45" s="6"/>
      <c r="OIM45" s="6"/>
      <c r="OIN45" s="6"/>
      <c r="OIO45" s="6"/>
      <c r="OIP45" s="6"/>
      <c r="OIQ45" s="6"/>
      <c r="OIR45" s="6"/>
      <c r="OIS45" s="6"/>
      <c r="OIT45" s="6"/>
      <c r="OIU45" s="6"/>
      <c r="OIV45" s="6"/>
      <c r="OIW45" s="6"/>
      <c r="OIX45" s="6"/>
      <c r="OIY45" s="6"/>
      <c r="OIZ45" s="6"/>
      <c r="OJA45" s="6"/>
      <c r="OJB45" s="6"/>
      <c r="OJC45" s="6"/>
      <c r="OJD45" s="6"/>
      <c r="OJE45" s="6"/>
      <c r="OJF45" s="6"/>
      <c r="OJG45" s="6"/>
      <c r="OJH45" s="6"/>
      <c r="OJI45" s="6"/>
      <c r="OJJ45" s="6"/>
      <c r="OJK45" s="6"/>
      <c r="OJL45" s="6"/>
      <c r="OJM45" s="6"/>
      <c r="OJN45" s="6"/>
      <c r="OJO45" s="6"/>
      <c r="OJP45" s="6"/>
      <c r="OJQ45" s="6"/>
      <c r="OJR45" s="6"/>
      <c r="OJS45" s="6"/>
      <c r="OJT45" s="6"/>
      <c r="OJU45" s="6"/>
      <c r="OJV45" s="6"/>
      <c r="OJW45" s="6"/>
      <c r="OJX45" s="6"/>
      <c r="OJY45" s="6"/>
      <c r="OJZ45" s="6"/>
      <c r="OKA45" s="6"/>
      <c r="OKB45" s="6"/>
      <c r="OKC45" s="6"/>
      <c r="OKD45" s="6"/>
      <c r="OKE45" s="6"/>
      <c r="OKF45" s="6"/>
      <c r="OKG45" s="6"/>
      <c r="OKH45" s="6"/>
      <c r="OKI45" s="6"/>
      <c r="OKJ45" s="6"/>
      <c r="OKK45" s="6"/>
      <c r="OKL45" s="6"/>
      <c r="OKM45" s="6"/>
      <c r="OKN45" s="6"/>
      <c r="OKO45" s="6"/>
      <c r="OKP45" s="6"/>
      <c r="OKQ45" s="6"/>
      <c r="OKR45" s="6"/>
      <c r="OKS45" s="6"/>
      <c r="OKT45" s="6"/>
      <c r="OKU45" s="6"/>
      <c r="OKV45" s="6"/>
      <c r="OKW45" s="6"/>
      <c r="OKX45" s="6"/>
      <c r="OKY45" s="6"/>
      <c r="OKZ45" s="6"/>
      <c r="OLA45" s="6"/>
      <c r="OLB45" s="6"/>
      <c r="OLC45" s="6"/>
      <c r="OLD45" s="6"/>
      <c r="OLE45" s="6"/>
      <c r="OLF45" s="6"/>
      <c r="OLG45" s="6"/>
      <c r="OLH45" s="6"/>
      <c r="OLI45" s="6"/>
      <c r="OLJ45" s="6"/>
      <c r="OLK45" s="6"/>
      <c r="OLL45" s="6"/>
      <c r="OLM45" s="6"/>
      <c r="OLN45" s="6"/>
      <c r="OLO45" s="6"/>
      <c r="OLP45" s="6"/>
      <c r="OLQ45" s="6"/>
      <c r="OLR45" s="6"/>
      <c r="OLS45" s="6"/>
      <c r="OLT45" s="6"/>
      <c r="OLU45" s="6"/>
      <c r="OLV45" s="6"/>
      <c r="OLW45" s="6"/>
      <c r="OLX45" s="6"/>
      <c r="OLY45" s="6"/>
      <c r="OLZ45" s="6"/>
      <c r="OMA45" s="6"/>
      <c r="OMB45" s="6"/>
      <c r="OMC45" s="6"/>
      <c r="OMD45" s="6"/>
      <c r="OME45" s="6"/>
      <c r="OMF45" s="6"/>
      <c r="OMG45" s="6"/>
      <c r="OMH45" s="6"/>
      <c r="OMI45" s="6"/>
      <c r="OMJ45" s="6"/>
      <c r="OMK45" s="6"/>
      <c r="OML45" s="6"/>
      <c r="OMM45" s="6"/>
      <c r="OMN45" s="6"/>
      <c r="OMO45" s="6"/>
      <c r="OMP45" s="6"/>
      <c r="OMQ45" s="6"/>
      <c r="OMR45" s="6"/>
      <c r="OMS45" s="6"/>
      <c r="OMT45" s="6"/>
      <c r="OMU45" s="6"/>
      <c r="OMV45" s="6"/>
      <c r="OMW45" s="6"/>
      <c r="OMX45" s="6"/>
      <c r="OMY45" s="6"/>
      <c r="OMZ45" s="6"/>
      <c r="ONA45" s="6"/>
      <c r="ONB45" s="6"/>
      <c r="ONC45" s="6"/>
      <c r="OND45" s="6"/>
      <c r="ONE45" s="6"/>
      <c r="ONF45" s="6"/>
      <c r="ONG45" s="6"/>
      <c r="ONH45" s="6"/>
      <c r="ONI45" s="6"/>
      <c r="ONJ45" s="6"/>
      <c r="ONK45" s="6"/>
      <c r="ONL45" s="6"/>
      <c r="ONM45" s="6"/>
      <c r="ONN45" s="6"/>
      <c r="ONO45" s="6"/>
      <c r="ONP45" s="6"/>
      <c r="ONQ45" s="6"/>
      <c r="ONR45" s="6"/>
      <c r="ONS45" s="6"/>
      <c r="ONT45" s="6"/>
      <c r="ONU45" s="6"/>
      <c r="ONV45" s="6"/>
      <c r="ONW45" s="6"/>
      <c r="ONX45" s="6"/>
      <c r="ONY45" s="6"/>
      <c r="ONZ45" s="6"/>
      <c r="OOA45" s="6"/>
      <c r="OOB45" s="6"/>
      <c r="OOC45" s="6"/>
      <c r="OOD45" s="6"/>
      <c r="OOE45" s="6"/>
      <c r="OOF45" s="6"/>
      <c r="OOG45" s="6"/>
      <c r="OOH45" s="6"/>
      <c r="OOI45" s="6"/>
      <c r="OOJ45" s="6"/>
      <c r="OOK45" s="6"/>
      <c r="OOL45" s="6"/>
      <c r="OOM45" s="6"/>
      <c r="OON45" s="6"/>
      <c r="OOO45" s="6"/>
      <c r="OOP45" s="6"/>
      <c r="OOQ45" s="6"/>
      <c r="OOR45" s="6"/>
      <c r="OOS45" s="6"/>
      <c r="OOT45" s="6"/>
      <c r="OOU45" s="6"/>
      <c r="OOV45" s="6"/>
      <c r="OOW45" s="6"/>
      <c r="OOX45" s="6"/>
      <c r="OOY45" s="6"/>
      <c r="OOZ45" s="6"/>
      <c r="OPA45" s="6"/>
      <c r="OPB45" s="6"/>
      <c r="OPC45" s="6"/>
      <c r="OPD45" s="6"/>
      <c r="OPE45" s="6"/>
      <c r="OPF45" s="6"/>
      <c r="OPG45" s="6"/>
      <c r="OPH45" s="6"/>
      <c r="OPI45" s="6"/>
      <c r="OPJ45" s="6"/>
      <c r="OPK45" s="6"/>
      <c r="OPL45" s="6"/>
      <c r="OPM45" s="6"/>
      <c r="OPN45" s="6"/>
      <c r="OPO45" s="6"/>
      <c r="OPP45" s="6"/>
      <c r="OPQ45" s="6"/>
      <c r="OPR45" s="6"/>
      <c r="OPS45" s="6"/>
      <c r="OPT45" s="6"/>
      <c r="OPU45" s="6"/>
      <c r="OPV45" s="6"/>
      <c r="OPW45" s="6"/>
      <c r="OPX45" s="6"/>
      <c r="OPY45" s="6"/>
      <c r="OPZ45" s="6"/>
      <c r="OQA45" s="6"/>
      <c r="OQB45" s="6"/>
      <c r="OQC45" s="6"/>
      <c r="OQD45" s="6"/>
      <c r="OQE45" s="6"/>
      <c r="OQF45" s="6"/>
      <c r="OQG45" s="6"/>
      <c r="OQH45" s="6"/>
      <c r="OQI45" s="6"/>
      <c r="OQJ45" s="6"/>
      <c r="OQK45" s="6"/>
      <c r="OQL45" s="6"/>
      <c r="OQM45" s="6"/>
      <c r="OQN45" s="6"/>
      <c r="OQO45" s="6"/>
      <c r="OQP45" s="6"/>
      <c r="OQQ45" s="6"/>
      <c r="OQR45" s="6"/>
      <c r="OQS45" s="6"/>
      <c r="OQT45" s="6"/>
      <c r="OQU45" s="6"/>
      <c r="OQV45" s="6"/>
      <c r="OQW45" s="6"/>
      <c r="OQX45" s="6"/>
      <c r="OQY45" s="6"/>
      <c r="OQZ45" s="6"/>
      <c r="ORA45" s="6"/>
      <c r="ORB45" s="6"/>
      <c r="ORC45" s="6"/>
      <c r="ORD45" s="6"/>
      <c r="ORE45" s="6"/>
      <c r="ORF45" s="6"/>
      <c r="ORG45" s="6"/>
      <c r="ORH45" s="6"/>
      <c r="ORI45" s="6"/>
      <c r="ORJ45" s="6"/>
      <c r="ORK45" s="6"/>
      <c r="ORL45" s="6"/>
      <c r="ORM45" s="6"/>
      <c r="ORN45" s="6"/>
      <c r="ORO45" s="6"/>
      <c r="ORP45" s="6"/>
      <c r="ORQ45" s="6"/>
      <c r="ORR45" s="6"/>
      <c r="ORS45" s="6"/>
      <c r="ORT45" s="6"/>
      <c r="ORU45" s="6"/>
      <c r="ORV45" s="6"/>
      <c r="ORW45" s="6"/>
      <c r="ORX45" s="6"/>
      <c r="ORY45" s="6"/>
      <c r="ORZ45" s="6"/>
      <c r="OSA45" s="6"/>
      <c r="OSB45" s="6"/>
      <c r="OSC45" s="6"/>
      <c r="OSD45" s="6"/>
      <c r="OSE45" s="6"/>
      <c r="OSF45" s="6"/>
      <c r="OSG45" s="6"/>
      <c r="OSH45" s="6"/>
      <c r="OSI45" s="6"/>
      <c r="OSJ45" s="6"/>
      <c r="OSK45" s="6"/>
      <c r="OSL45" s="6"/>
      <c r="OSM45" s="6"/>
      <c r="OSN45" s="6"/>
      <c r="OSO45" s="6"/>
      <c r="OSP45" s="6"/>
      <c r="OSQ45" s="6"/>
      <c r="OSR45" s="6"/>
      <c r="OSS45" s="6"/>
      <c r="OST45" s="6"/>
      <c r="OSU45" s="6"/>
      <c r="OSV45" s="6"/>
      <c r="OSW45" s="6"/>
      <c r="OSX45" s="6"/>
      <c r="OSY45" s="6"/>
      <c r="OSZ45" s="6"/>
      <c r="OTA45" s="6"/>
      <c r="OTB45" s="6"/>
      <c r="OTC45" s="6"/>
      <c r="OTD45" s="6"/>
      <c r="OTE45" s="6"/>
      <c r="OTF45" s="6"/>
      <c r="OTG45" s="6"/>
      <c r="OTH45" s="6"/>
      <c r="OTI45" s="6"/>
      <c r="OTJ45" s="6"/>
      <c r="OTK45" s="6"/>
      <c r="OTL45" s="6"/>
      <c r="OTM45" s="6"/>
      <c r="OTN45" s="6"/>
      <c r="OTO45" s="6"/>
      <c r="OTP45" s="6"/>
      <c r="OTQ45" s="6"/>
      <c r="OTR45" s="6"/>
      <c r="OTS45" s="6"/>
      <c r="OTT45" s="6"/>
      <c r="OTU45" s="6"/>
      <c r="OTV45" s="6"/>
      <c r="OTW45" s="6"/>
      <c r="OTX45" s="6"/>
      <c r="OTY45" s="6"/>
      <c r="OTZ45" s="6"/>
      <c r="OUA45" s="6"/>
      <c r="OUB45" s="6"/>
      <c r="OUC45" s="6"/>
      <c r="OUD45" s="6"/>
      <c r="OUE45" s="6"/>
      <c r="OUF45" s="6"/>
      <c r="OUG45" s="6"/>
      <c r="OUH45" s="6"/>
      <c r="OUI45" s="6"/>
      <c r="OUJ45" s="6"/>
      <c r="OUK45" s="6"/>
      <c r="OUL45" s="6"/>
      <c r="OUM45" s="6"/>
      <c r="OUN45" s="6"/>
      <c r="OUO45" s="6"/>
      <c r="OUP45" s="6"/>
      <c r="OUQ45" s="6"/>
      <c r="OUR45" s="6"/>
      <c r="OUS45" s="6"/>
      <c r="OUT45" s="6"/>
      <c r="OUU45" s="6"/>
      <c r="OUV45" s="6"/>
      <c r="OUW45" s="6"/>
      <c r="OUX45" s="6"/>
      <c r="OUY45" s="6"/>
      <c r="OUZ45" s="6"/>
      <c r="OVA45" s="6"/>
      <c r="OVB45" s="6"/>
      <c r="OVC45" s="6"/>
      <c r="OVD45" s="6"/>
      <c r="OVE45" s="6"/>
      <c r="OVF45" s="6"/>
      <c r="OVG45" s="6"/>
      <c r="OVH45" s="6"/>
      <c r="OVI45" s="6"/>
      <c r="OVJ45" s="6"/>
      <c r="OVK45" s="6"/>
      <c r="OVL45" s="6"/>
      <c r="OVM45" s="6"/>
      <c r="OVN45" s="6"/>
      <c r="OVO45" s="6"/>
      <c r="OVP45" s="6"/>
      <c r="OVQ45" s="6"/>
      <c r="OVR45" s="6"/>
      <c r="OVS45" s="6"/>
      <c r="OVT45" s="6"/>
      <c r="OVU45" s="6"/>
      <c r="OVV45" s="6"/>
      <c r="OVW45" s="6"/>
      <c r="OVX45" s="6"/>
      <c r="OVY45" s="6"/>
      <c r="OVZ45" s="6"/>
      <c r="OWA45" s="6"/>
      <c r="OWB45" s="6"/>
      <c r="OWC45" s="6"/>
      <c r="OWD45" s="6"/>
      <c r="OWE45" s="6"/>
      <c r="OWF45" s="6"/>
      <c r="OWG45" s="6"/>
      <c r="OWH45" s="6"/>
      <c r="OWI45" s="6"/>
      <c r="OWJ45" s="6"/>
      <c r="OWK45" s="6"/>
      <c r="OWL45" s="6"/>
      <c r="OWM45" s="6"/>
      <c r="OWN45" s="6"/>
      <c r="OWO45" s="6"/>
      <c r="OWP45" s="6"/>
      <c r="OWQ45" s="6"/>
      <c r="OWR45" s="6"/>
      <c r="OWS45" s="6"/>
      <c r="OWT45" s="6"/>
      <c r="OWU45" s="6"/>
      <c r="OWV45" s="6"/>
      <c r="OWW45" s="6"/>
      <c r="OWX45" s="6"/>
      <c r="OWY45" s="6"/>
      <c r="OWZ45" s="6"/>
      <c r="OXA45" s="6"/>
      <c r="OXB45" s="6"/>
      <c r="OXC45" s="6"/>
      <c r="OXD45" s="6"/>
      <c r="OXE45" s="6"/>
      <c r="OXF45" s="6"/>
      <c r="OXG45" s="6"/>
      <c r="OXH45" s="6"/>
      <c r="OXI45" s="6"/>
      <c r="OXJ45" s="6"/>
      <c r="OXK45" s="6"/>
      <c r="OXL45" s="6"/>
      <c r="OXM45" s="6"/>
      <c r="OXN45" s="6"/>
      <c r="OXO45" s="6"/>
      <c r="OXP45" s="6"/>
      <c r="OXQ45" s="6"/>
      <c r="OXR45" s="6"/>
      <c r="OXS45" s="6"/>
      <c r="OXT45" s="6"/>
      <c r="OXU45" s="6"/>
      <c r="OXV45" s="6"/>
      <c r="OXW45" s="6"/>
      <c r="OXX45" s="6"/>
      <c r="OXY45" s="6"/>
      <c r="OXZ45" s="6"/>
      <c r="OYA45" s="6"/>
      <c r="OYB45" s="6"/>
      <c r="OYC45" s="6"/>
      <c r="OYD45" s="6"/>
      <c r="OYE45" s="6"/>
      <c r="OYF45" s="6"/>
      <c r="OYG45" s="6"/>
      <c r="OYH45" s="6"/>
      <c r="OYI45" s="6"/>
      <c r="OYJ45" s="6"/>
      <c r="OYK45" s="6"/>
      <c r="OYL45" s="6"/>
      <c r="OYM45" s="6"/>
      <c r="OYN45" s="6"/>
      <c r="OYO45" s="6"/>
      <c r="OYP45" s="6"/>
      <c r="OYQ45" s="6"/>
      <c r="OYR45" s="6"/>
      <c r="OYS45" s="6"/>
      <c r="OYT45" s="6"/>
      <c r="OYU45" s="6"/>
      <c r="OYV45" s="6"/>
      <c r="OYW45" s="6"/>
      <c r="OYX45" s="6"/>
      <c r="OYY45" s="6"/>
      <c r="OYZ45" s="6"/>
      <c r="OZA45" s="6"/>
      <c r="OZB45" s="6"/>
      <c r="OZC45" s="6"/>
      <c r="OZD45" s="6"/>
      <c r="OZE45" s="6"/>
      <c r="OZF45" s="6"/>
      <c r="OZG45" s="6"/>
      <c r="OZH45" s="6"/>
      <c r="OZI45" s="6"/>
      <c r="OZJ45" s="6"/>
      <c r="OZK45" s="6"/>
      <c r="OZL45" s="6"/>
      <c r="OZM45" s="6"/>
      <c r="OZN45" s="6"/>
      <c r="OZO45" s="6"/>
      <c r="OZP45" s="6"/>
      <c r="OZQ45" s="6"/>
      <c r="OZR45" s="6"/>
      <c r="OZS45" s="6"/>
      <c r="OZT45" s="6"/>
      <c r="OZU45" s="6"/>
      <c r="OZV45" s="6"/>
      <c r="OZW45" s="6"/>
      <c r="OZX45" s="6"/>
      <c r="OZY45" s="6"/>
      <c r="OZZ45" s="6"/>
      <c r="PAA45" s="6"/>
      <c r="PAB45" s="6"/>
      <c r="PAC45" s="6"/>
      <c r="PAD45" s="6"/>
      <c r="PAE45" s="6"/>
      <c r="PAF45" s="6"/>
      <c r="PAG45" s="6"/>
      <c r="PAH45" s="6"/>
      <c r="PAI45" s="6"/>
      <c r="PAJ45" s="6"/>
      <c r="PAK45" s="6"/>
      <c r="PAL45" s="6"/>
      <c r="PAM45" s="6"/>
      <c r="PAN45" s="6"/>
      <c r="PAO45" s="6"/>
      <c r="PAP45" s="6"/>
      <c r="PAQ45" s="6"/>
      <c r="PAR45" s="6"/>
      <c r="PAS45" s="6"/>
      <c r="PAT45" s="6"/>
      <c r="PAU45" s="6"/>
      <c r="PAV45" s="6"/>
      <c r="PAW45" s="6"/>
      <c r="PAX45" s="6"/>
      <c r="PAY45" s="6"/>
      <c r="PAZ45" s="6"/>
      <c r="PBA45" s="6"/>
      <c r="PBB45" s="6"/>
      <c r="PBC45" s="6"/>
      <c r="PBD45" s="6"/>
      <c r="PBE45" s="6"/>
      <c r="PBF45" s="6"/>
      <c r="PBG45" s="6"/>
      <c r="PBH45" s="6"/>
      <c r="PBI45" s="6"/>
      <c r="PBJ45" s="6"/>
      <c r="PBK45" s="6"/>
      <c r="PBL45" s="6"/>
      <c r="PBM45" s="6"/>
      <c r="PBN45" s="6"/>
      <c r="PBO45" s="6"/>
      <c r="PBP45" s="6"/>
      <c r="PBQ45" s="6"/>
      <c r="PBR45" s="6"/>
      <c r="PBS45" s="6"/>
      <c r="PBT45" s="6"/>
      <c r="PBU45" s="6"/>
      <c r="PBV45" s="6"/>
      <c r="PBW45" s="6"/>
      <c r="PBX45" s="6"/>
      <c r="PBY45" s="6"/>
      <c r="PBZ45" s="6"/>
      <c r="PCA45" s="6"/>
      <c r="PCB45" s="6"/>
      <c r="PCC45" s="6"/>
      <c r="PCD45" s="6"/>
      <c r="PCE45" s="6"/>
      <c r="PCF45" s="6"/>
      <c r="PCG45" s="6"/>
      <c r="PCH45" s="6"/>
      <c r="PCI45" s="6"/>
      <c r="PCJ45" s="6"/>
      <c r="PCK45" s="6"/>
      <c r="PCL45" s="6"/>
      <c r="PCM45" s="6"/>
      <c r="PCN45" s="6"/>
      <c r="PCO45" s="6"/>
      <c r="PCP45" s="6"/>
      <c r="PCQ45" s="6"/>
      <c r="PCR45" s="6"/>
      <c r="PCS45" s="6"/>
      <c r="PCT45" s="6"/>
      <c r="PCU45" s="6"/>
      <c r="PCV45" s="6"/>
      <c r="PCW45" s="6"/>
      <c r="PCX45" s="6"/>
      <c r="PCY45" s="6"/>
      <c r="PCZ45" s="6"/>
      <c r="PDA45" s="6"/>
      <c r="PDB45" s="6"/>
      <c r="PDC45" s="6"/>
      <c r="PDD45" s="6"/>
      <c r="PDE45" s="6"/>
      <c r="PDF45" s="6"/>
      <c r="PDG45" s="6"/>
      <c r="PDH45" s="6"/>
      <c r="PDI45" s="6"/>
      <c r="PDJ45" s="6"/>
      <c r="PDK45" s="6"/>
      <c r="PDL45" s="6"/>
      <c r="PDM45" s="6"/>
      <c r="PDN45" s="6"/>
      <c r="PDO45" s="6"/>
      <c r="PDP45" s="6"/>
      <c r="PDQ45" s="6"/>
      <c r="PDR45" s="6"/>
      <c r="PDS45" s="6"/>
      <c r="PDT45" s="6"/>
      <c r="PDU45" s="6"/>
      <c r="PDV45" s="6"/>
      <c r="PDW45" s="6"/>
      <c r="PDX45" s="6"/>
      <c r="PDY45" s="6"/>
      <c r="PDZ45" s="6"/>
      <c r="PEA45" s="6"/>
      <c r="PEB45" s="6"/>
      <c r="PEC45" s="6"/>
      <c r="PED45" s="6"/>
      <c r="PEE45" s="6"/>
      <c r="PEF45" s="6"/>
      <c r="PEG45" s="6"/>
      <c r="PEH45" s="6"/>
      <c r="PEI45" s="6"/>
      <c r="PEJ45" s="6"/>
      <c r="PEK45" s="6"/>
      <c r="PEL45" s="6"/>
      <c r="PEM45" s="6"/>
      <c r="PEN45" s="6"/>
      <c r="PEO45" s="6"/>
      <c r="PEP45" s="6"/>
      <c r="PEQ45" s="6"/>
      <c r="PER45" s="6"/>
      <c r="PES45" s="6"/>
      <c r="PET45" s="6"/>
      <c r="PEU45" s="6"/>
      <c r="PEV45" s="6"/>
      <c r="PEW45" s="6"/>
      <c r="PEX45" s="6"/>
      <c r="PEY45" s="6"/>
      <c r="PEZ45" s="6"/>
      <c r="PFA45" s="6"/>
      <c r="PFB45" s="6"/>
      <c r="PFC45" s="6"/>
      <c r="PFD45" s="6"/>
      <c r="PFE45" s="6"/>
      <c r="PFF45" s="6"/>
      <c r="PFG45" s="6"/>
      <c r="PFH45" s="6"/>
      <c r="PFI45" s="6"/>
      <c r="PFJ45" s="6"/>
      <c r="PFK45" s="6"/>
      <c r="PFL45" s="6"/>
      <c r="PFM45" s="6"/>
      <c r="PFN45" s="6"/>
      <c r="PFO45" s="6"/>
      <c r="PFP45" s="6"/>
      <c r="PFQ45" s="6"/>
      <c r="PFR45" s="6"/>
      <c r="PFS45" s="6"/>
      <c r="PFT45" s="6"/>
      <c r="PFU45" s="6"/>
      <c r="PFV45" s="6"/>
      <c r="PFW45" s="6"/>
      <c r="PFX45" s="6"/>
      <c r="PFY45" s="6"/>
      <c r="PFZ45" s="6"/>
      <c r="PGA45" s="6"/>
      <c r="PGB45" s="6"/>
      <c r="PGC45" s="6"/>
      <c r="PGD45" s="6"/>
      <c r="PGE45" s="6"/>
      <c r="PGF45" s="6"/>
      <c r="PGG45" s="6"/>
      <c r="PGH45" s="6"/>
      <c r="PGI45" s="6"/>
      <c r="PGJ45" s="6"/>
      <c r="PGK45" s="6"/>
      <c r="PGL45" s="6"/>
      <c r="PGM45" s="6"/>
      <c r="PGN45" s="6"/>
      <c r="PGO45" s="6"/>
      <c r="PGP45" s="6"/>
      <c r="PGQ45" s="6"/>
      <c r="PGR45" s="6"/>
      <c r="PGS45" s="6"/>
      <c r="PGT45" s="6"/>
      <c r="PGU45" s="6"/>
      <c r="PGV45" s="6"/>
      <c r="PGW45" s="6"/>
      <c r="PGX45" s="6"/>
      <c r="PGY45" s="6"/>
      <c r="PGZ45" s="6"/>
      <c r="PHA45" s="6"/>
      <c r="PHB45" s="6"/>
      <c r="PHC45" s="6"/>
      <c r="PHD45" s="6"/>
      <c r="PHE45" s="6"/>
      <c r="PHF45" s="6"/>
      <c r="PHG45" s="6"/>
      <c r="PHH45" s="6"/>
      <c r="PHI45" s="6"/>
      <c r="PHJ45" s="6"/>
      <c r="PHK45" s="6"/>
      <c r="PHL45" s="6"/>
      <c r="PHM45" s="6"/>
      <c r="PHN45" s="6"/>
      <c r="PHO45" s="6"/>
      <c r="PHP45" s="6"/>
      <c r="PHQ45" s="6"/>
      <c r="PHR45" s="6"/>
      <c r="PHS45" s="6"/>
      <c r="PHT45" s="6"/>
      <c r="PHU45" s="6"/>
      <c r="PHV45" s="6"/>
      <c r="PHW45" s="6"/>
      <c r="PHX45" s="6"/>
      <c r="PHY45" s="6"/>
      <c r="PHZ45" s="6"/>
      <c r="PIA45" s="6"/>
      <c r="PIB45" s="6"/>
      <c r="PIC45" s="6"/>
      <c r="PID45" s="6"/>
      <c r="PIE45" s="6"/>
      <c r="PIF45" s="6"/>
      <c r="PIG45" s="6"/>
      <c r="PIH45" s="6"/>
      <c r="PII45" s="6"/>
      <c r="PIJ45" s="6"/>
      <c r="PIK45" s="6"/>
      <c r="PIL45" s="6"/>
      <c r="PIM45" s="6"/>
      <c r="PIN45" s="6"/>
      <c r="PIO45" s="6"/>
      <c r="PIP45" s="6"/>
      <c r="PIQ45" s="6"/>
      <c r="PIR45" s="6"/>
      <c r="PIS45" s="6"/>
      <c r="PIT45" s="6"/>
      <c r="PIU45" s="6"/>
      <c r="PIV45" s="6"/>
      <c r="PIW45" s="6"/>
      <c r="PIX45" s="6"/>
      <c r="PIY45" s="6"/>
      <c r="PIZ45" s="6"/>
      <c r="PJA45" s="6"/>
      <c r="PJB45" s="6"/>
      <c r="PJC45" s="6"/>
      <c r="PJD45" s="6"/>
      <c r="PJE45" s="6"/>
      <c r="PJF45" s="6"/>
      <c r="PJG45" s="6"/>
      <c r="PJH45" s="6"/>
      <c r="PJI45" s="6"/>
      <c r="PJJ45" s="6"/>
      <c r="PJK45" s="6"/>
      <c r="PJL45" s="6"/>
      <c r="PJM45" s="6"/>
      <c r="PJN45" s="6"/>
      <c r="PJO45" s="6"/>
      <c r="PJP45" s="6"/>
      <c r="PJQ45" s="6"/>
      <c r="PJR45" s="6"/>
      <c r="PJS45" s="6"/>
      <c r="PJT45" s="6"/>
      <c r="PJU45" s="6"/>
      <c r="PJV45" s="6"/>
      <c r="PJW45" s="6"/>
      <c r="PJX45" s="6"/>
      <c r="PJY45" s="6"/>
      <c r="PJZ45" s="6"/>
      <c r="PKA45" s="6"/>
      <c r="PKB45" s="6"/>
      <c r="PKC45" s="6"/>
      <c r="PKD45" s="6"/>
      <c r="PKE45" s="6"/>
      <c r="PKF45" s="6"/>
      <c r="PKG45" s="6"/>
      <c r="PKH45" s="6"/>
      <c r="PKI45" s="6"/>
      <c r="PKJ45" s="6"/>
      <c r="PKK45" s="6"/>
      <c r="PKL45" s="6"/>
      <c r="PKM45" s="6"/>
      <c r="PKN45" s="6"/>
      <c r="PKO45" s="6"/>
      <c r="PKP45" s="6"/>
      <c r="PKQ45" s="6"/>
      <c r="PKR45" s="6"/>
      <c r="PKS45" s="6"/>
      <c r="PKT45" s="6"/>
      <c r="PKU45" s="6"/>
      <c r="PKV45" s="6"/>
      <c r="PKW45" s="6"/>
      <c r="PKX45" s="6"/>
      <c r="PKY45" s="6"/>
      <c r="PKZ45" s="6"/>
      <c r="PLA45" s="6"/>
      <c r="PLB45" s="6"/>
      <c r="PLC45" s="6"/>
      <c r="PLD45" s="6"/>
      <c r="PLE45" s="6"/>
      <c r="PLF45" s="6"/>
      <c r="PLG45" s="6"/>
      <c r="PLH45" s="6"/>
      <c r="PLI45" s="6"/>
      <c r="PLJ45" s="6"/>
      <c r="PLK45" s="6"/>
      <c r="PLL45" s="6"/>
      <c r="PLM45" s="6"/>
      <c r="PLN45" s="6"/>
      <c r="PLO45" s="6"/>
      <c r="PLP45" s="6"/>
      <c r="PLQ45" s="6"/>
      <c r="PLR45" s="6"/>
      <c r="PLS45" s="6"/>
      <c r="PLT45" s="6"/>
      <c r="PLU45" s="6"/>
      <c r="PLV45" s="6"/>
      <c r="PLW45" s="6"/>
      <c r="PLX45" s="6"/>
      <c r="PLY45" s="6"/>
      <c r="PLZ45" s="6"/>
      <c r="PMA45" s="6"/>
      <c r="PMB45" s="6"/>
      <c r="PMC45" s="6"/>
      <c r="PMD45" s="6"/>
      <c r="PME45" s="6"/>
      <c r="PMF45" s="6"/>
      <c r="PMG45" s="6"/>
      <c r="PMH45" s="6"/>
      <c r="PMI45" s="6"/>
      <c r="PMJ45" s="6"/>
      <c r="PMK45" s="6"/>
      <c r="PML45" s="6"/>
      <c r="PMM45" s="6"/>
      <c r="PMN45" s="6"/>
      <c r="PMO45" s="6"/>
      <c r="PMP45" s="6"/>
      <c r="PMQ45" s="6"/>
      <c r="PMR45" s="6"/>
      <c r="PMS45" s="6"/>
      <c r="PMT45" s="6"/>
      <c r="PMU45" s="6"/>
      <c r="PMV45" s="6"/>
      <c r="PMW45" s="6"/>
      <c r="PMX45" s="6"/>
      <c r="PMY45" s="6"/>
      <c r="PMZ45" s="6"/>
      <c r="PNA45" s="6"/>
      <c r="PNB45" s="6"/>
      <c r="PNC45" s="6"/>
      <c r="PND45" s="6"/>
      <c r="PNE45" s="6"/>
      <c r="PNF45" s="6"/>
      <c r="PNG45" s="6"/>
      <c r="PNH45" s="6"/>
      <c r="PNI45" s="6"/>
      <c r="PNJ45" s="6"/>
      <c r="PNK45" s="6"/>
      <c r="PNL45" s="6"/>
      <c r="PNM45" s="6"/>
      <c r="PNN45" s="6"/>
      <c r="PNO45" s="6"/>
      <c r="PNP45" s="6"/>
      <c r="PNQ45" s="6"/>
      <c r="PNR45" s="6"/>
      <c r="PNS45" s="6"/>
      <c r="PNT45" s="6"/>
      <c r="PNU45" s="6"/>
      <c r="PNV45" s="6"/>
      <c r="PNW45" s="6"/>
      <c r="PNX45" s="6"/>
      <c r="PNY45" s="6"/>
      <c r="PNZ45" s="6"/>
      <c r="POA45" s="6"/>
      <c r="POB45" s="6"/>
      <c r="POC45" s="6"/>
      <c r="POD45" s="6"/>
      <c r="POE45" s="6"/>
      <c r="POF45" s="6"/>
      <c r="POG45" s="6"/>
      <c r="POH45" s="6"/>
      <c r="POI45" s="6"/>
      <c r="POJ45" s="6"/>
      <c r="POK45" s="6"/>
      <c r="POL45" s="6"/>
      <c r="POM45" s="6"/>
      <c r="PON45" s="6"/>
      <c r="POO45" s="6"/>
      <c r="POP45" s="6"/>
      <c r="POQ45" s="6"/>
      <c r="POR45" s="6"/>
      <c r="POS45" s="6"/>
      <c r="POT45" s="6"/>
      <c r="POU45" s="6"/>
      <c r="POV45" s="6"/>
      <c r="POW45" s="6"/>
      <c r="POX45" s="6"/>
      <c r="POY45" s="6"/>
      <c r="POZ45" s="6"/>
      <c r="PPA45" s="6"/>
      <c r="PPB45" s="6"/>
      <c r="PPC45" s="6"/>
      <c r="PPD45" s="6"/>
      <c r="PPE45" s="6"/>
      <c r="PPF45" s="6"/>
      <c r="PPG45" s="6"/>
      <c r="PPH45" s="6"/>
      <c r="PPI45" s="6"/>
      <c r="PPJ45" s="6"/>
      <c r="PPK45" s="6"/>
      <c r="PPL45" s="6"/>
      <c r="PPM45" s="6"/>
      <c r="PPN45" s="6"/>
      <c r="PPO45" s="6"/>
      <c r="PPP45" s="6"/>
      <c r="PPQ45" s="6"/>
      <c r="PPR45" s="6"/>
      <c r="PPS45" s="6"/>
      <c r="PPT45" s="6"/>
      <c r="PPU45" s="6"/>
      <c r="PPV45" s="6"/>
      <c r="PPW45" s="6"/>
      <c r="PPX45" s="6"/>
      <c r="PPY45" s="6"/>
      <c r="PPZ45" s="6"/>
      <c r="PQA45" s="6"/>
      <c r="PQB45" s="6"/>
      <c r="PQC45" s="6"/>
      <c r="PQD45" s="6"/>
      <c r="PQE45" s="6"/>
      <c r="PQF45" s="6"/>
      <c r="PQG45" s="6"/>
      <c r="PQH45" s="6"/>
      <c r="PQI45" s="6"/>
      <c r="PQJ45" s="6"/>
      <c r="PQK45" s="6"/>
      <c r="PQL45" s="6"/>
      <c r="PQM45" s="6"/>
      <c r="PQN45" s="6"/>
      <c r="PQO45" s="6"/>
      <c r="PQP45" s="6"/>
      <c r="PQQ45" s="6"/>
      <c r="PQR45" s="6"/>
      <c r="PQS45" s="6"/>
      <c r="PQT45" s="6"/>
      <c r="PQU45" s="6"/>
      <c r="PQV45" s="6"/>
      <c r="PQW45" s="6"/>
      <c r="PQX45" s="6"/>
      <c r="PQY45" s="6"/>
      <c r="PQZ45" s="6"/>
      <c r="PRA45" s="6"/>
      <c r="PRB45" s="6"/>
      <c r="PRC45" s="6"/>
      <c r="PRD45" s="6"/>
      <c r="PRE45" s="6"/>
      <c r="PRF45" s="6"/>
      <c r="PRG45" s="6"/>
      <c r="PRH45" s="6"/>
      <c r="PRI45" s="6"/>
      <c r="PRJ45" s="6"/>
      <c r="PRK45" s="6"/>
      <c r="PRL45" s="6"/>
      <c r="PRM45" s="6"/>
      <c r="PRN45" s="6"/>
      <c r="PRO45" s="6"/>
      <c r="PRP45" s="6"/>
      <c r="PRQ45" s="6"/>
      <c r="PRR45" s="6"/>
      <c r="PRS45" s="6"/>
      <c r="PRT45" s="6"/>
      <c r="PRU45" s="6"/>
      <c r="PRV45" s="6"/>
      <c r="PRW45" s="6"/>
      <c r="PRX45" s="6"/>
      <c r="PRY45" s="6"/>
      <c r="PRZ45" s="6"/>
      <c r="PSA45" s="6"/>
      <c r="PSB45" s="6"/>
      <c r="PSC45" s="6"/>
      <c r="PSD45" s="6"/>
      <c r="PSE45" s="6"/>
      <c r="PSF45" s="6"/>
      <c r="PSG45" s="6"/>
      <c r="PSH45" s="6"/>
      <c r="PSI45" s="6"/>
      <c r="PSJ45" s="6"/>
      <c r="PSK45" s="6"/>
      <c r="PSL45" s="6"/>
      <c r="PSM45" s="6"/>
      <c r="PSN45" s="6"/>
      <c r="PSO45" s="6"/>
      <c r="PSP45" s="6"/>
      <c r="PSQ45" s="6"/>
      <c r="PSR45" s="6"/>
      <c r="PSS45" s="6"/>
      <c r="PST45" s="6"/>
      <c r="PSU45" s="6"/>
      <c r="PSV45" s="6"/>
      <c r="PSW45" s="6"/>
      <c r="PSX45" s="6"/>
      <c r="PSY45" s="6"/>
      <c r="PSZ45" s="6"/>
      <c r="PTA45" s="6"/>
      <c r="PTB45" s="6"/>
      <c r="PTC45" s="6"/>
      <c r="PTD45" s="6"/>
      <c r="PTE45" s="6"/>
      <c r="PTF45" s="6"/>
      <c r="PTG45" s="6"/>
      <c r="PTH45" s="6"/>
      <c r="PTI45" s="6"/>
      <c r="PTJ45" s="6"/>
      <c r="PTK45" s="6"/>
      <c r="PTL45" s="6"/>
      <c r="PTM45" s="6"/>
      <c r="PTN45" s="6"/>
      <c r="PTO45" s="6"/>
      <c r="PTP45" s="6"/>
      <c r="PTQ45" s="6"/>
      <c r="PTR45" s="6"/>
      <c r="PTS45" s="6"/>
      <c r="PTT45" s="6"/>
      <c r="PTU45" s="6"/>
      <c r="PTV45" s="6"/>
      <c r="PTW45" s="6"/>
      <c r="PTX45" s="6"/>
      <c r="PTY45" s="6"/>
      <c r="PTZ45" s="6"/>
      <c r="PUA45" s="6"/>
      <c r="PUB45" s="6"/>
      <c r="PUC45" s="6"/>
      <c r="PUD45" s="6"/>
      <c r="PUE45" s="6"/>
      <c r="PUF45" s="6"/>
      <c r="PUG45" s="6"/>
      <c r="PUH45" s="6"/>
      <c r="PUI45" s="6"/>
      <c r="PUJ45" s="6"/>
      <c r="PUK45" s="6"/>
      <c r="PUL45" s="6"/>
      <c r="PUM45" s="6"/>
      <c r="PUN45" s="6"/>
      <c r="PUO45" s="6"/>
      <c r="PUP45" s="6"/>
      <c r="PUQ45" s="6"/>
      <c r="PUR45" s="6"/>
      <c r="PUS45" s="6"/>
      <c r="PUT45" s="6"/>
      <c r="PUU45" s="6"/>
      <c r="PUV45" s="6"/>
      <c r="PUW45" s="6"/>
      <c r="PUX45" s="6"/>
      <c r="PUY45" s="6"/>
      <c r="PUZ45" s="6"/>
      <c r="PVA45" s="6"/>
      <c r="PVB45" s="6"/>
      <c r="PVC45" s="6"/>
      <c r="PVD45" s="6"/>
      <c r="PVE45" s="6"/>
      <c r="PVF45" s="6"/>
      <c r="PVG45" s="6"/>
      <c r="PVH45" s="6"/>
      <c r="PVI45" s="6"/>
      <c r="PVJ45" s="6"/>
      <c r="PVK45" s="6"/>
      <c r="PVL45" s="6"/>
      <c r="PVM45" s="6"/>
      <c r="PVN45" s="6"/>
      <c r="PVO45" s="6"/>
      <c r="PVP45" s="6"/>
      <c r="PVQ45" s="6"/>
      <c r="PVR45" s="6"/>
      <c r="PVS45" s="6"/>
      <c r="PVT45" s="6"/>
      <c r="PVU45" s="6"/>
      <c r="PVV45" s="6"/>
      <c r="PVW45" s="6"/>
      <c r="PVX45" s="6"/>
      <c r="PVY45" s="6"/>
      <c r="PVZ45" s="6"/>
      <c r="PWA45" s="6"/>
      <c r="PWB45" s="6"/>
      <c r="PWC45" s="6"/>
      <c r="PWD45" s="6"/>
      <c r="PWE45" s="6"/>
      <c r="PWF45" s="6"/>
      <c r="PWG45" s="6"/>
      <c r="PWH45" s="6"/>
      <c r="PWI45" s="6"/>
      <c r="PWJ45" s="6"/>
      <c r="PWK45" s="6"/>
      <c r="PWL45" s="6"/>
      <c r="PWM45" s="6"/>
      <c r="PWN45" s="6"/>
      <c r="PWO45" s="6"/>
      <c r="PWP45" s="6"/>
      <c r="PWQ45" s="6"/>
      <c r="PWR45" s="6"/>
      <c r="PWS45" s="6"/>
      <c r="PWT45" s="6"/>
      <c r="PWU45" s="6"/>
      <c r="PWV45" s="6"/>
      <c r="PWW45" s="6"/>
      <c r="PWX45" s="6"/>
      <c r="PWY45" s="6"/>
      <c r="PWZ45" s="6"/>
      <c r="PXA45" s="6"/>
      <c r="PXB45" s="6"/>
      <c r="PXC45" s="6"/>
      <c r="PXD45" s="6"/>
      <c r="PXE45" s="6"/>
      <c r="PXF45" s="6"/>
      <c r="PXG45" s="6"/>
      <c r="PXH45" s="6"/>
      <c r="PXI45" s="6"/>
      <c r="PXJ45" s="6"/>
      <c r="PXK45" s="6"/>
      <c r="PXL45" s="6"/>
      <c r="PXM45" s="6"/>
      <c r="PXN45" s="6"/>
      <c r="PXO45" s="6"/>
      <c r="PXP45" s="6"/>
      <c r="PXQ45" s="6"/>
      <c r="PXR45" s="6"/>
      <c r="PXS45" s="6"/>
      <c r="PXT45" s="6"/>
      <c r="PXU45" s="6"/>
      <c r="PXV45" s="6"/>
      <c r="PXW45" s="6"/>
      <c r="PXX45" s="6"/>
      <c r="PXY45" s="6"/>
      <c r="PXZ45" s="6"/>
      <c r="PYA45" s="6"/>
      <c r="PYB45" s="6"/>
      <c r="PYC45" s="6"/>
      <c r="PYD45" s="6"/>
      <c r="PYE45" s="6"/>
      <c r="PYF45" s="6"/>
      <c r="PYG45" s="6"/>
      <c r="PYH45" s="6"/>
      <c r="PYI45" s="6"/>
      <c r="PYJ45" s="6"/>
      <c r="PYK45" s="6"/>
      <c r="PYL45" s="6"/>
      <c r="PYM45" s="6"/>
      <c r="PYN45" s="6"/>
      <c r="PYO45" s="6"/>
      <c r="PYP45" s="6"/>
      <c r="PYQ45" s="6"/>
      <c r="PYR45" s="6"/>
      <c r="PYS45" s="6"/>
      <c r="PYT45" s="6"/>
      <c r="PYU45" s="6"/>
      <c r="PYV45" s="6"/>
      <c r="PYW45" s="6"/>
      <c r="PYX45" s="6"/>
      <c r="PYY45" s="6"/>
      <c r="PYZ45" s="6"/>
      <c r="PZA45" s="6"/>
      <c r="PZB45" s="6"/>
      <c r="PZC45" s="6"/>
      <c r="PZD45" s="6"/>
      <c r="PZE45" s="6"/>
      <c r="PZF45" s="6"/>
      <c r="PZG45" s="6"/>
      <c r="PZH45" s="6"/>
      <c r="PZI45" s="6"/>
      <c r="PZJ45" s="6"/>
      <c r="PZK45" s="6"/>
      <c r="PZL45" s="6"/>
      <c r="PZM45" s="6"/>
      <c r="PZN45" s="6"/>
      <c r="PZO45" s="6"/>
      <c r="PZP45" s="6"/>
      <c r="PZQ45" s="6"/>
      <c r="PZR45" s="6"/>
      <c r="PZS45" s="6"/>
      <c r="PZT45" s="6"/>
      <c r="PZU45" s="6"/>
      <c r="PZV45" s="6"/>
      <c r="PZW45" s="6"/>
      <c r="PZX45" s="6"/>
      <c r="PZY45" s="6"/>
      <c r="PZZ45" s="6"/>
      <c r="QAA45" s="6"/>
      <c r="QAB45" s="6"/>
      <c r="QAC45" s="6"/>
      <c r="QAD45" s="6"/>
      <c r="QAE45" s="6"/>
      <c r="QAF45" s="6"/>
      <c r="QAG45" s="6"/>
      <c r="QAH45" s="6"/>
      <c r="QAI45" s="6"/>
      <c r="QAJ45" s="6"/>
      <c r="QAK45" s="6"/>
      <c r="QAL45" s="6"/>
      <c r="QAM45" s="6"/>
      <c r="QAN45" s="6"/>
      <c r="QAO45" s="6"/>
      <c r="QAP45" s="6"/>
      <c r="QAQ45" s="6"/>
      <c r="QAR45" s="6"/>
      <c r="QAS45" s="6"/>
      <c r="QAT45" s="6"/>
      <c r="QAU45" s="6"/>
      <c r="QAV45" s="6"/>
      <c r="QAW45" s="6"/>
      <c r="QAX45" s="6"/>
      <c r="QAY45" s="6"/>
      <c r="QAZ45" s="6"/>
      <c r="QBA45" s="6"/>
      <c r="QBB45" s="6"/>
      <c r="QBC45" s="6"/>
      <c r="QBD45" s="6"/>
      <c r="QBE45" s="6"/>
      <c r="QBF45" s="6"/>
      <c r="QBG45" s="6"/>
      <c r="QBH45" s="6"/>
      <c r="QBI45" s="6"/>
      <c r="QBJ45" s="6"/>
      <c r="QBK45" s="6"/>
      <c r="QBL45" s="6"/>
      <c r="QBM45" s="6"/>
      <c r="QBN45" s="6"/>
      <c r="QBO45" s="6"/>
      <c r="QBP45" s="6"/>
      <c r="QBQ45" s="6"/>
      <c r="QBR45" s="6"/>
      <c r="QBS45" s="6"/>
      <c r="QBT45" s="6"/>
      <c r="QBU45" s="6"/>
      <c r="QBV45" s="6"/>
      <c r="QBW45" s="6"/>
      <c r="QBX45" s="6"/>
      <c r="QBY45" s="6"/>
      <c r="QBZ45" s="6"/>
      <c r="QCA45" s="6"/>
      <c r="QCB45" s="6"/>
      <c r="QCC45" s="6"/>
      <c r="QCD45" s="6"/>
      <c r="QCE45" s="6"/>
      <c r="QCF45" s="6"/>
      <c r="QCG45" s="6"/>
      <c r="QCH45" s="6"/>
      <c r="QCI45" s="6"/>
      <c r="QCJ45" s="6"/>
      <c r="QCK45" s="6"/>
      <c r="QCL45" s="6"/>
      <c r="QCM45" s="6"/>
      <c r="QCN45" s="6"/>
      <c r="QCO45" s="6"/>
      <c r="QCP45" s="6"/>
      <c r="QCQ45" s="6"/>
      <c r="QCR45" s="6"/>
      <c r="QCS45" s="6"/>
      <c r="QCT45" s="6"/>
      <c r="QCU45" s="6"/>
      <c r="QCV45" s="6"/>
      <c r="QCW45" s="6"/>
      <c r="QCX45" s="6"/>
      <c r="QCY45" s="6"/>
      <c r="QCZ45" s="6"/>
      <c r="QDA45" s="6"/>
      <c r="QDB45" s="6"/>
      <c r="QDC45" s="6"/>
      <c r="QDD45" s="6"/>
      <c r="QDE45" s="6"/>
      <c r="QDF45" s="6"/>
      <c r="QDG45" s="6"/>
      <c r="QDH45" s="6"/>
      <c r="QDI45" s="6"/>
      <c r="QDJ45" s="6"/>
      <c r="QDK45" s="6"/>
      <c r="QDL45" s="6"/>
      <c r="QDM45" s="6"/>
      <c r="QDN45" s="6"/>
      <c r="QDO45" s="6"/>
      <c r="QDP45" s="6"/>
      <c r="QDQ45" s="6"/>
      <c r="QDR45" s="6"/>
      <c r="QDS45" s="6"/>
      <c r="QDT45" s="6"/>
      <c r="QDU45" s="6"/>
      <c r="QDV45" s="6"/>
      <c r="QDW45" s="6"/>
      <c r="QDX45" s="6"/>
      <c r="QDY45" s="6"/>
      <c r="QDZ45" s="6"/>
      <c r="QEA45" s="6"/>
      <c r="QEB45" s="6"/>
      <c r="QEC45" s="6"/>
      <c r="QED45" s="6"/>
      <c r="QEE45" s="6"/>
      <c r="QEF45" s="6"/>
      <c r="QEG45" s="6"/>
      <c r="QEH45" s="6"/>
      <c r="QEI45" s="6"/>
      <c r="QEJ45" s="6"/>
      <c r="QEK45" s="6"/>
      <c r="QEL45" s="6"/>
      <c r="QEM45" s="6"/>
      <c r="QEN45" s="6"/>
      <c r="QEO45" s="6"/>
      <c r="QEP45" s="6"/>
      <c r="QEQ45" s="6"/>
      <c r="QER45" s="6"/>
      <c r="QES45" s="6"/>
      <c r="QET45" s="6"/>
      <c r="QEU45" s="6"/>
      <c r="QEV45" s="6"/>
      <c r="QEW45" s="6"/>
      <c r="QEX45" s="6"/>
      <c r="QEY45" s="6"/>
      <c r="QEZ45" s="6"/>
      <c r="QFA45" s="6"/>
      <c r="QFB45" s="6"/>
      <c r="QFC45" s="6"/>
      <c r="QFD45" s="6"/>
      <c r="QFE45" s="6"/>
      <c r="QFF45" s="6"/>
      <c r="QFG45" s="6"/>
      <c r="QFH45" s="6"/>
      <c r="QFI45" s="6"/>
      <c r="QFJ45" s="6"/>
      <c r="QFK45" s="6"/>
      <c r="QFL45" s="6"/>
      <c r="QFM45" s="6"/>
      <c r="QFN45" s="6"/>
      <c r="QFO45" s="6"/>
      <c r="QFP45" s="6"/>
      <c r="QFQ45" s="6"/>
      <c r="QFR45" s="6"/>
      <c r="QFS45" s="6"/>
      <c r="QFT45" s="6"/>
      <c r="QFU45" s="6"/>
      <c r="QFV45" s="6"/>
      <c r="QFW45" s="6"/>
      <c r="QFX45" s="6"/>
      <c r="QFY45" s="6"/>
      <c r="QFZ45" s="6"/>
      <c r="QGA45" s="6"/>
      <c r="QGB45" s="6"/>
      <c r="QGC45" s="6"/>
      <c r="QGD45" s="6"/>
      <c r="QGE45" s="6"/>
      <c r="QGF45" s="6"/>
      <c r="QGG45" s="6"/>
      <c r="QGH45" s="6"/>
      <c r="QGI45" s="6"/>
      <c r="QGJ45" s="6"/>
      <c r="QGK45" s="6"/>
      <c r="QGL45" s="6"/>
      <c r="QGM45" s="6"/>
      <c r="QGN45" s="6"/>
      <c r="QGO45" s="6"/>
      <c r="QGP45" s="6"/>
      <c r="QGQ45" s="6"/>
      <c r="QGR45" s="6"/>
      <c r="QGS45" s="6"/>
      <c r="QGT45" s="6"/>
      <c r="QGU45" s="6"/>
      <c r="QGV45" s="6"/>
      <c r="QGW45" s="6"/>
      <c r="QGX45" s="6"/>
      <c r="QGY45" s="6"/>
      <c r="QGZ45" s="6"/>
      <c r="QHA45" s="6"/>
      <c r="QHB45" s="6"/>
      <c r="QHC45" s="6"/>
      <c r="QHD45" s="6"/>
      <c r="QHE45" s="6"/>
      <c r="QHF45" s="6"/>
      <c r="QHG45" s="6"/>
      <c r="QHH45" s="6"/>
      <c r="QHI45" s="6"/>
      <c r="QHJ45" s="6"/>
      <c r="QHK45" s="6"/>
      <c r="QHL45" s="6"/>
      <c r="QHM45" s="6"/>
      <c r="QHN45" s="6"/>
      <c r="QHO45" s="6"/>
      <c r="QHP45" s="6"/>
      <c r="QHQ45" s="6"/>
      <c r="QHR45" s="6"/>
      <c r="QHS45" s="6"/>
      <c r="QHT45" s="6"/>
      <c r="QHU45" s="6"/>
      <c r="QHV45" s="6"/>
      <c r="QHW45" s="6"/>
      <c r="QHX45" s="6"/>
      <c r="QHY45" s="6"/>
      <c r="QHZ45" s="6"/>
      <c r="QIA45" s="6"/>
      <c r="QIB45" s="6"/>
      <c r="QIC45" s="6"/>
      <c r="QID45" s="6"/>
      <c r="QIE45" s="6"/>
      <c r="QIF45" s="6"/>
      <c r="QIG45" s="6"/>
      <c r="QIH45" s="6"/>
      <c r="QII45" s="6"/>
      <c r="QIJ45" s="6"/>
      <c r="QIK45" s="6"/>
      <c r="QIL45" s="6"/>
      <c r="QIM45" s="6"/>
      <c r="QIN45" s="6"/>
      <c r="QIO45" s="6"/>
      <c r="QIP45" s="6"/>
      <c r="QIQ45" s="6"/>
      <c r="QIR45" s="6"/>
      <c r="QIS45" s="6"/>
      <c r="QIT45" s="6"/>
      <c r="QIU45" s="6"/>
      <c r="QIV45" s="6"/>
      <c r="QIW45" s="6"/>
      <c r="QIX45" s="6"/>
      <c r="QIY45" s="6"/>
      <c r="QIZ45" s="6"/>
      <c r="QJA45" s="6"/>
      <c r="QJB45" s="6"/>
      <c r="QJC45" s="6"/>
      <c r="QJD45" s="6"/>
      <c r="QJE45" s="6"/>
      <c r="QJF45" s="6"/>
      <c r="QJG45" s="6"/>
      <c r="QJH45" s="6"/>
      <c r="QJI45" s="6"/>
      <c r="QJJ45" s="6"/>
      <c r="QJK45" s="6"/>
      <c r="QJL45" s="6"/>
      <c r="QJM45" s="6"/>
      <c r="QJN45" s="6"/>
      <c r="QJO45" s="6"/>
      <c r="QJP45" s="6"/>
      <c r="QJQ45" s="6"/>
      <c r="QJR45" s="6"/>
      <c r="QJS45" s="6"/>
      <c r="QJT45" s="6"/>
      <c r="QJU45" s="6"/>
      <c r="QJV45" s="6"/>
      <c r="QJW45" s="6"/>
      <c r="QJX45" s="6"/>
      <c r="QJY45" s="6"/>
      <c r="QJZ45" s="6"/>
      <c r="QKA45" s="6"/>
      <c r="QKB45" s="6"/>
      <c r="QKC45" s="6"/>
      <c r="QKD45" s="6"/>
      <c r="QKE45" s="6"/>
      <c r="QKF45" s="6"/>
      <c r="QKG45" s="6"/>
      <c r="QKH45" s="6"/>
      <c r="QKI45" s="6"/>
      <c r="QKJ45" s="6"/>
      <c r="QKK45" s="6"/>
      <c r="QKL45" s="6"/>
      <c r="QKM45" s="6"/>
      <c r="QKN45" s="6"/>
      <c r="QKO45" s="6"/>
      <c r="QKP45" s="6"/>
      <c r="QKQ45" s="6"/>
      <c r="QKR45" s="6"/>
      <c r="QKS45" s="6"/>
      <c r="QKT45" s="6"/>
      <c r="QKU45" s="6"/>
      <c r="QKV45" s="6"/>
      <c r="QKW45" s="6"/>
      <c r="QKX45" s="6"/>
      <c r="QKY45" s="6"/>
      <c r="QKZ45" s="6"/>
      <c r="QLA45" s="6"/>
      <c r="QLB45" s="6"/>
      <c r="QLC45" s="6"/>
      <c r="QLD45" s="6"/>
      <c r="QLE45" s="6"/>
      <c r="QLF45" s="6"/>
      <c r="QLG45" s="6"/>
      <c r="QLH45" s="6"/>
      <c r="QLI45" s="6"/>
      <c r="QLJ45" s="6"/>
      <c r="QLK45" s="6"/>
      <c r="QLL45" s="6"/>
      <c r="QLM45" s="6"/>
      <c r="QLN45" s="6"/>
      <c r="QLO45" s="6"/>
      <c r="QLP45" s="6"/>
      <c r="QLQ45" s="6"/>
      <c r="QLR45" s="6"/>
      <c r="QLS45" s="6"/>
      <c r="QLT45" s="6"/>
      <c r="QLU45" s="6"/>
      <c r="QLV45" s="6"/>
      <c r="QLW45" s="6"/>
      <c r="QLX45" s="6"/>
      <c r="QLY45" s="6"/>
      <c r="QLZ45" s="6"/>
      <c r="QMA45" s="6"/>
      <c r="QMB45" s="6"/>
      <c r="QMC45" s="6"/>
      <c r="QMD45" s="6"/>
      <c r="QME45" s="6"/>
      <c r="QMF45" s="6"/>
      <c r="QMG45" s="6"/>
      <c r="QMH45" s="6"/>
      <c r="QMI45" s="6"/>
      <c r="QMJ45" s="6"/>
      <c r="QMK45" s="6"/>
      <c r="QML45" s="6"/>
      <c r="QMM45" s="6"/>
      <c r="QMN45" s="6"/>
      <c r="QMO45" s="6"/>
      <c r="QMP45" s="6"/>
      <c r="QMQ45" s="6"/>
      <c r="QMR45" s="6"/>
      <c r="QMS45" s="6"/>
      <c r="QMT45" s="6"/>
      <c r="QMU45" s="6"/>
      <c r="QMV45" s="6"/>
      <c r="QMW45" s="6"/>
      <c r="QMX45" s="6"/>
      <c r="QMY45" s="6"/>
      <c r="QMZ45" s="6"/>
      <c r="QNA45" s="6"/>
      <c r="QNB45" s="6"/>
      <c r="QNC45" s="6"/>
      <c r="QND45" s="6"/>
      <c r="QNE45" s="6"/>
      <c r="QNF45" s="6"/>
      <c r="QNG45" s="6"/>
      <c r="QNH45" s="6"/>
      <c r="QNI45" s="6"/>
      <c r="QNJ45" s="6"/>
      <c r="QNK45" s="6"/>
      <c r="QNL45" s="6"/>
      <c r="QNM45" s="6"/>
      <c r="QNN45" s="6"/>
      <c r="QNO45" s="6"/>
      <c r="QNP45" s="6"/>
      <c r="QNQ45" s="6"/>
      <c r="QNR45" s="6"/>
      <c r="QNS45" s="6"/>
      <c r="QNT45" s="6"/>
      <c r="QNU45" s="6"/>
      <c r="QNV45" s="6"/>
      <c r="QNW45" s="6"/>
      <c r="QNX45" s="6"/>
      <c r="QNY45" s="6"/>
      <c r="QNZ45" s="6"/>
      <c r="QOA45" s="6"/>
      <c r="QOB45" s="6"/>
      <c r="QOC45" s="6"/>
      <c r="QOD45" s="6"/>
      <c r="QOE45" s="6"/>
      <c r="QOF45" s="6"/>
      <c r="QOG45" s="6"/>
      <c r="QOH45" s="6"/>
      <c r="QOI45" s="6"/>
      <c r="QOJ45" s="6"/>
      <c r="QOK45" s="6"/>
      <c r="QOL45" s="6"/>
      <c r="QOM45" s="6"/>
      <c r="QON45" s="6"/>
      <c r="QOO45" s="6"/>
      <c r="QOP45" s="6"/>
      <c r="QOQ45" s="6"/>
      <c r="QOR45" s="6"/>
      <c r="QOS45" s="6"/>
      <c r="QOT45" s="6"/>
      <c r="QOU45" s="6"/>
      <c r="QOV45" s="6"/>
      <c r="QOW45" s="6"/>
      <c r="QOX45" s="6"/>
      <c r="QOY45" s="6"/>
      <c r="QOZ45" s="6"/>
      <c r="QPA45" s="6"/>
      <c r="QPB45" s="6"/>
      <c r="QPC45" s="6"/>
      <c r="QPD45" s="6"/>
      <c r="QPE45" s="6"/>
      <c r="QPF45" s="6"/>
      <c r="QPG45" s="6"/>
      <c r="QPH45" s="6"/>
      <c r="QPI45" s="6"/>
      <c r="QPJ45" s="6"/>
      <c r="QPK45" s="6"/>
      <c r="QPL45" s="6"/>
      <c r="QPM45" s="6"/>
      <c r="QPN45" s="6"/>
      <c r="QPO45" s="6"/>
      <c r="QPP45" s="6"/>
      <c r="QPQ45" s="6"/>
      <c r="QPR45" s="6"/>
      <c r="QPS45" s="6"/>
      <c r="QPT45" s="6"/>
      <c r="QPU45" s="6"/>
      <c r="QPV45" s="6"/>
      <c r="QPW45" s="6"/>
      <c r="QPX45" s="6"/>
      <c r="QPY45" s="6"/>
      <c r="QPZ45" s="6"/>
      <c r="QQA45" s="6"/>
      <c r="QQB45" s="6"/>
      <c r="QQC45" s="6"/>
      <c r="QQD45" s="6"/>
      <c r="QQE45" s="6"/>
      <c r="QQF45" s="6"/>
      <c r="QQG45" s="6"/>
      <c r="QQH45" s="6"/>
      <c r="QQI45" s="6"/>
      <c r="QQJ45" s="6"/>
      <c r="QQK45" s="6"/>
      <c r="QQL45" s="6"/>
      <c r="QQM45" s="6"/>
      <c r="QQN45" s="6"/>
      <c r="QQO45" s="6"/>
      <c r="QQP45" s="6"/>
      <c r="QQQ45" s="6"/>
      <c r="QQR45" s="6"/>
      <c r="QQS45" s="6"/>
      <c r="QQT45" s="6"/>
      <c r="QQU45" s="6"/>
      <c r="QQV45" s="6"/>
      <c r="QQW45" s="6"/>
      <c r="QQX45" s="6"/>
      <c r="QQY45" s="6"/>
      <c r="QQZ45" s="6"/>
      <c r="QRA45" s="6"/>
      <c r="QRB45" s="6"/>
      <c r="QRC45" s="6"/>
      <c r="QRD45" s="6"/>
      <c r="QRE45" s="6"/>
      <c r="QRF45" s="6"/>
      <c r="QRG45" s="6"/>
      <c r="QRH45" s="6"/>
      <c r="QRI45" s="6"/>
      <c r="QRJ45" s="6"/>
      <c r="QRK45" s="6"/>
      <c r="QRL45" s="6"/>
      <c r="QRM45" s="6"/>
      <c r="QRN45" s="6"/>
      <c r="QRO45" s="6"/>
      <c r="QRP45" s="6"/>
      <c r="QRQ45" s="6"/>
      <c r="QRR45" s="6"/>
      <c r="QRS45" s="6"/>
      <c r="QRT45" s="6"/>
      <c r="QRU45" s="6"/>
      <c r="QRV45" s="6"/>
      <c r="QRW45" s="6"/>
      <c r="QRX45" s="6"/>
      <c r="QRY45" s="6"/>
      <c r="QRZ45" s="6"/>
      <c r="QSA45" s="6"/>
      <c r="QSB45" s="6"/>
      <c r="QSC45" s="6"/>
      <c r="QSD45" s="6"/>
      <c r="QSE45" s="6"/>
      <c r="QSF45" s="6"/>
      <c r="QSG45" s="6"/>
      <c r="QSH45" s="6"/>
      <c r="QSI45" s="6"/>
      <c r="QSJ45" s="6"/>
      <c r="QSK45" s="6"/>
      <c r="QSL45" s="6"/>
      <c r="QSM45" s="6"/>
      <c r="QSN45" s="6"/>
      <c r="QSO45" s="6"/>
      <c r="QSP45" s="6"/>
      <c r="QSQ45" s="6"/>
      <c r="QSR45" s="6"/>
      <c r="QSS45" s="6"/>
      <c r="QST45" s="6"/>
      <c r="QSU45" s="6"/>
      <c r="QSV45" s="6"/>
      <c r="QSW45" s="6"/>
      <c r="QSX45" s="6"/>
      <c r="QSY45" s="6"/>
      <c r="QSZ45" s="6"/>
      <c r="QTA45" s="6"/>
      <c r="QTB45" s="6"/>
      <c r="QTC45" s="6"/>
      <c r="QTD45" s="6"/>
      <c r="QTE45" s="6"/>
      <c r="QTF45" s="6"/>
      <c r="QTG45" s="6"/>
      <c r="QTH45" s="6"/>
      <c r="QTI45" s="6"/>
      <c r="QTJ45" s="6"/>
      <c r="QTK45" s="6"/>
      <c r="QTL45" s="6"/>
      <c r="QTM45" s="6"/>
      <c r="QTN45" s="6"/>
      <c r="QTO45" s="6"/>
      <c r="QTP45" s="6"/>
      <c r="QTQ45" s="6"/>
      <c r="QTR45" s="6"/>
      <c r="QTS45" s="6"/>
      <c r="QTT45" s="6"/>
      <c r="QTU45" s="6"/>
      <c r="QTV45" s="6"/>
      <c r="QTW45" s="6"/>
      <c r="QTX45" s="6"/>
      <c r="QTY45" s="6"/>
      <c r="QTZ45" s="6"/>
      <c r="QUA45" s="6"/>
      <c r="QUB45" s="6"/>
      <c r="QUC45" s="6"/>
      <c r="QUD45" s="6"/>
      <c r="QUE45" s="6"/>
      <c r="QUF45" s="6"/>
      <c r="QUG45" s="6"/>
      <c r="QUH45" s="6"/>
      <c r="QUI45" s="6"/>
      <c r="QUJ45" s="6"/>
      <c r="QUK45" s="6"/>
      <c r="QUL45" s="6"/>
      <c r="QUM45" s="6"/>
      <c r="QUN45" s="6"/>
      <c r="QUO45" s="6"/>
      <c r="QUP45" s="6"/>
      <c r="QUQ45" s="6"/>
      <c r="QUR45" s="6"/>
      <c r="QUS45" s="6"/>
      <c r="QUT45" s="6"/>
      <c r="QUU45" s="6"/>
      <c r="QUV45" s="6"/>
      <c r="QUW45" s="6"/>
      <c r="QUX45" s="6"/>
      <c r="QUY45" s="6"/>
      <c r="QUZ45" s="6"/>
      <c r="QVA45" s="6"/>
      <c r="QVB45" s="6"/>
      <c r="QVC45" s="6"/>
      <c r="QVD45" s="6"/>
      <c r="QVE45" s="6"/>
      <c r="QVF45" s="6"/>
      <c r="QVG45" s="6"/>
      <c r="QVH45" s="6"/>
      <c r="QVI45" s="6"/>
      <c r="QVJ45" s="6"/>
      <c r="QVK45" s="6"/>
      <c r="QVL45" s="6"/>
      <c r="QVM45" s="6"/>
      <c r="QVN45" s="6"/>
      <c r="QVO45" s="6"/>
      <c r="QVP45" s="6"/>
      <c r="QVQ45" s="6"/>
      <c r="QVR45" s="6"/>
      <c r="QVS45" s="6"/>
      <c r="QVT45" s="6"/>
      <c r="QVU45" s="6"/>
      <c r="QVV45" s="6"/>
      <c r="QVW45" s="6"/>
      <c r="QVX45" s="6"/>
      <c r="QVY45" s="6"/>
      <c r="QVZ45" s="6"/>
      <c r="QWA45" s="6"/>
      <c r="QWB45" s="6"/>
      <c r="QWC45" s="6"/>
      <c r="QWD45" s="6"/>
      <c r="QWE45" s="6"/>
      <c r="QWF45" s="6"/>
      <c r="QWG45" s="6"/>
      <c r="QWH45" s="6"/>
      <c r="QWI45" s="6"/>
      <c r="QWJ45" s="6"/>
      <c r="QWK45" s="6"/>
      <c r="QWL45" s="6"/>
      <c r="QWM45" s="6"/>
      <c r="QWN45" s="6"/>
      <c r="QWO45" s="6"/>
      <c r="QWP45" s="6"/>
      <c r="QWQ45" s="6"/>
      <c r="QWR45" s="6"/>
      <c r="QWS45" s="6"/>
      <c r="QWT45" s="6"/>
      <c r="QWU45" s="6"/>
      <c r="QWV45" s="6"/>
      <c r="QWW45" s="6"/>
      <c r="QWX45" s="6"/>
      <c r="QWY45" s="6"/>
      <c r="QWZ45" s="6"/>
      <c r="QXA45" s="6"/>
      <c r="QXB45" s="6"/>
      <c r="QXC45" s="6"/>
      <c r="QXD45" s="6"/>
      <c r="QXE45" s="6"/>
      <c r="QXF45" s="6"/>
      <c r="QXG45" s="6"/>
      <c r="QXH45" s="6"/>
      <c r="QXI45" s="6"/>
      <c r="QXJ45" s="6"/>
      <c r="QXK45" s="6"/>
      <c r="QXL45" s="6"/>
      <c r="QXM45" s="6"/>
      <c r="QXN45" s="6"/>
      <c r="QXO45" s="6"/>
      <c r="QXP45" s="6"/>
      <c r="QXQ45" s="6"/>
      <c r="QXR45" s="6"/>
      <c r="QXS45" s="6"/>
      <c r="QXT45" s="6"/>
      <c r="QXU45" s="6"/>
      <c r="QXV45" s="6"/>
      <c r="QXW45" s="6"/>
      <c r="QXX45" s="6"/>
      <c r="QXY45" s="6"/>
      <c r="QXZ45" s="6"/>
      <c r="QYA45" s="6"/>
      <c r="QYB45" s="6"/>
      <c r="QYC45" s="6"/>
      <c r="QYD45" s="6"/>
      <c r="QYE45" s="6"/>
      <c r="QYF45" s="6"/>
      <c r="QYG45" s="6"/>
      <c r="QYH45" s="6"/>
      <c r="QYI45" s="6"/>
      <c r="QYJ45" s="6"/>
      <c r="QYK45" s="6"/>
      <c r="QYL45" s="6"/>
      <c r="QYM45" s="6"/>
      <c r="QYN45" s="6"/>
      <c r="QYO45" s="6"/>
      <c r="QYP45" s="6"/>
      <c r="QYQ45" s="6"/>
      <c r="QYR45" s="6"/>
      <c r="QYS45" s="6"/>
      <c r="QYT45" s="6"/>
      <c r="QYU45" s="6"/>
      <c r="QYV45" s="6"/>
      <c r="QYW45" s="6"/>
      <c r="QYX45" s="6"/>
      <c r="QYY45" s="6"/>
      <c r="QYZ45" s="6"/>
      <c r="QZA45" s="6"/>
      <c r="QZB45" s="6"/>
      <c r="QZC45" s="6"/>
      <c r="QZD45" s="6"/>
      <c r="QZE45" s="6"/>
      <c r="QZF45" s="6"/>
      <c r="QZG45" s="6"/>
      <c r="QZH45" s="6"/>
      <c r="QZI45" s="6"/>
      <c r="QZJ45" s="6"/>
      <c r="QZK45" s="6"/>
      <c r="QZL45" s="6"/>
      <c r="QZM45" s="6"/>
      <c r="QZN45" s="6"/>
      <c r="QZO45" s="6"/>
      <c r="QZP45" s="6"/>
      <c r="QZQ45" s="6"/>
      <c r="QZR45" s="6"/>
      <c r="QZS45" s="6"/>
      <c r="QZT45" s="6"/>
      <c r="QZU45" s="6"/>
      <c r="QZV45" s="6"/>
      <c r="QZW45" s="6"/>
      <c r="QZX45" s="6"/>
      <c r="QZY45" s="6"/>
      <c r="QZZ45" s="6"/>
      <c r="RAA45" s="6"/>
      <c r="RAB45" s="6"/>
      <c r="RAC45" s="6"/>
      <c r="RAD45" s="6"/>
      <c r="RAE45" s="6"/>
      <c r="RAF45" s="6"/>
      <c r="RAG45" s="6"/>
      <c r="RAH45" s="6"/>
      <c r="RAI45" s="6"/>
      <c r="RAJ45" s="6"/>
      <c r="RAK45" s="6"/>
      <c r="RAL45" s="6"/>
      <c r="RAM45" s="6"/>
      <c r="RAN45" s="6"/>
      <c r="RAO45" s="6"/>
      <c r="RAP45" s="6"/>
      <c r="RAQ45" s="6"/>
      <c r="RAR45" s="6"/>
      <c r="RAS45" s="6"/>
      <c r="RAT45" s="6"/>
      <c r="RAU45" s="6"/>
      <c r="RAV45" s="6"/>
      <c r="RAW45" s="6"/>
      <c r="RAX45" s="6"/>
      <c r="RAY45" s="6"/>
      <c r="RAZ45" s="6"/>
      <c r="RBA45" s="6"/>
      <c r="RBB45" s="6"/>
      <c r="RBC45" s="6"/>
      <c r="RBD45" s="6"/>
      <c r="RBE45" s="6"/>
      <c r="RBF45" s="6"/>
      <c r="RBG45" s="6"/>
      <c r="RBH45" s="6"/>
      <c r="RBI45" s="6"/>
      <c r="RBJ45" s="6"/>
      <c r="RBK45" s="6"/>
      <c r="RBL45" s="6"/>
      <c r="RBM45" s="6"/>
      <c r="RBN45" s="6"/>
      <c r="RBO45" s="6"/>
      <c r="RBP45" s="6"/>
      <c r="RBQ45" s="6"/>
      <c r="RBR45" s="6"/>
      <c r="RBS45" s="6"/>
      <c r="RBT45" s="6"/>
      <c r="RBU45" s="6"/>
      <c r="RBV45" s="6"/>
      <c r="RBW45" s="6"/>
      <c r="RBX45" s="6"/>
      <c r="RBY45" s="6"/>
      <c r="RBZ45" s="6"/>
      <c r="RCA45" s="6"/>
      <c r="RCB45" s="6"/>
      <c r="RCC45" s="6"/>
      <c r="RCD45" s="6"/>
      <c r="RCE45" s="6"/>
      <c r="RCF45" s="6"/>
      <c r="RCG45" s="6"/>
      <c r="RCH45" s="6"/>
      <c r="RCI45" s="6"/>
      <c r="RCJ45" s="6"/>
      <c r="RCK45" s="6"/>
      <c r="RCL45" s="6"/>
      <c r="RCM45" s="6"/>
      <c r="RCN45" s="6"/>
      <c r="RCO45" s="6"/>
      <c r="RCP45" s="6"/>
      <c r="RCQ45" s="6"/>
      <c r="RCR45" s="6"/>
      <c r="RCS45" s="6"/>
      <c r="RCT45" s="6"/>
      <c r="RCU45" s="6"/>
      <c r="RCV45" s="6"/>
      <c r="RCW45" s="6"/>
      <c r="RCX45" s="6"/>
      <c r="RCY45" s="6"/>
      <c r="RCZ45" s="6"/>
      <c r="RDA45" s="6"/>
      <c r="RDB45" s="6"/>
      <c r="RDC45" s="6"/>
      <c r="RDD45" s="6"/>
      <c r="RDE45" s="6"/>
      <c r="RDF45" s="6"/>
      <c r="RDG45" s="6"/>
      <c r="RDH45" s="6"/>
      <c r="RDI45" s="6"/>
      <c r="RDJ45" s="6"/>
      <c r="RDK45" s="6"/>
      <c r="RDL45" s="6"/>
      <c r="RDM45" s="6"/>
      <c r="RDN45" s="6"/>
      <c r="RDO45" s="6"/>
      <c r="RDP45" s="6"/>
      <c r="RDQ45" s="6"/>
      <c r="RDR45" s="6"/>
      <c r="RDS45" s="6"/>
      <c r="RDT45" s="6"/>
      <c r="RDU45" s="6"/>
      <c r="RDV45" s="6"/>
      <c r="RDW45" s="6"/>
      <c r="RDX45" s="6"/>
      <c r="RDY45" s="6"/>
      <c r="RDZ45" s="6"/>
      <c r="REA45" s="6"/>
      <c r="REB45" s="6"/>
      <c r="REC45" s="6"/>
      <c r="RED45" s="6"/>
      <c r="REE45" s="6"/>
      <c r="REF45" s="6"/>
      <c r="REG45" s="6"/>
      <c r="REH45" s="6"/>
      <c r="REI45" s="6"/>
      <c r="REJ45" s="6"/>
      <c r="REK45" s="6"/>
      <c r="REL45" s="6"/>
      <c r="REM45" s="6"/>
      <c r="REN45" s="6"/>
      <c r="REO45" s="6"/>
      <c r="REP45" s="6"/>
      <c r="REQ45" s="6"/>
      <c r="RER45" s="6"/>
      <c r="RES45" s="6"/>
      <c r="RET45" s="6"/>
      <c r="REU45" s="6"/>
      <c r="REV45" s="6"/>
      <c r="REW45" s="6"/>
      <c r="REX45" s="6"/>
      <c r="REY45" s="6"/>
      <c r="REZ45" s="6"/>
      <c r="RFA45" s="6"/>
      <c r="RFB45" s="6"/>
      <c r="RFC45" s="6"/>
      <c r="RFD45" s="6"/>
      <c r="RFE45" s="6"/>
      <c r="RFF45" s="6"/>
      <c r="RFG45" s="6"/>
      <c r="RFH45" s="6"/>
      <c r="RFI45" s="6"/>
      <c r="RFJ45" s="6"/>
      <c r="RFK45" s="6"/>
      <c r="RFL45" s="6"/>
      <c r="RFM45" s="6"/>
      <c r="RFN45" s="6"/>
      <c r="RFO45" s="6"/>
      <c r="RFP45" s="6"/>
      <c r="RFQ45" s="6"/>
      <c r="RFR45" s="6"/>
      <c r="RFS45" s="6"/>
      <c r="RFT45" s="6"/>
      <c r="RFU45" s="6"/>
      <c r="RFV45" s="6"/>
      <c r="RFW45" s="6"/>
      <c r="RFX45" s="6"/>
      <c r="RFY45" s="6"/>
      <c r="RFZ45" s="6"/>
      <c r="RGA45" s="6"/>
      <c r="RGB45" s="6"/>
      <c r="RGC45" s="6"/>
      <c r="RGD45" s="6"/>
      <c r="RGE45" s="6"/>
      <c r="RGF45" s="6"/>
      <c r="RGG45" s="6"/>
      <c r="RGH45" s="6"/>
      <c r="RGI45" s="6"/>
      <c r="RGJ45" s="6"/>
      <c r="RGK45" s="6"/>
      <c r="RGL45" s="6"/>
      <c r="RGM45" s="6"/>
      <c r="RGN45" s="6"/>
      <c r="RGO45" s="6"/>
      <c r="RGP45" s="6"/>
      <c r="RGQ45" s="6"/>
      <c r="RGR45" s="6"/>
      <c r="RGS45" s="6"/>
      <c r="RGT45" s="6"/>
      <c r="RGU45" s="6"/>
      <c r="RGV45" s="6"/>
      <c r="RGW45" s="6"/>
      <c r="RGX45" s="6"/>
      <c r="RGY45" s="6"/>
      <c r="RGZ45" s="6"/>
      <c r="RHA45" s="6"/>
      <c r="RHB45" s="6"/>
      <c r="RHC45" s="6"/>
      <c r="RHD45" s="6"/>
      <c r="RHE45" s="6"/>
      <c r="RHF45" s="6"/>
      <c r="RHG45" s="6"/>
      <c r="RHH45" s="6"/>
      <c r="RHI45" s="6"/>
      <c r="RHJ45" s="6"/>
      <c r="RHK45" s="6"/>
      <c r="RHL45" s="6"/>
      <c r="RHM45" s="6"/>
      <c r="RHN45" s="6"/>
      <c r="RHO45" s="6"/>
      <c r="RHP45" s="6"/>
      <c r="RHQ45" s="6"/>
      <c r="RHR45" s="6"/>
      <c r="RHS45" s="6"/>
      <c r="RHT45" s="6"/>
      <c r="RHU45" s="6"/>
      <c r="RHV45" s="6"/>
      <c r="RHW45" s="6"/>
      <c r="RHX45" s="6"/>
      <c r="RHY45" s="6"/>
      <c r="RHZ45" s="6"/>
      <c r="RIA45" s="6"/>
      <c r="RIB45" s="6"/>
      <c r="RIC45" s="6"/>
      <c r="RID45" s="6"/>
      <c r="RIE45" s="6"/>
      <c r="RIF45" s="6"/>
      <c r="RIG45" s="6"/>
      <c r="RIH45" s="6"/>
      <c r="RII45" s="6"/>
      <c r="RIJ45" s="6"/>
      <c r="RIK45" s="6"/>
      <c r="RIL45" s="6"/>
      <c r="RIM45" s="6"/>
      <c r="RIN45" s="6"/>
      <c r="RIO45" s="6"/>
      <c r="RIP45" s="6"/>
      <c r="RIQ45" s="6"/>
      <c r="RIR45" s="6"/>
      <c r="RIS45" s="6"/>
      <c r="RIT45" s="6"/>
      <c r="RIU45" s="6"/>
      <c r="RIV45" s="6"/>
      <c r="RIW45" s="6"/>
      <c r="RIX45" s="6"/>
      <c r="RIY45" s="6"/>
      <c r="RIZ45" s="6"/>
      <c r="RJA45" s="6"/>
      <c r="RJB45" s="6"/>
      <c r="RJC45" s="6"/>
      <c r="RJD45" s="6"/>
      <c r="RJE45" s="6"/>
      <c r="RJF45" s="6"/>
      <c r="RJG45" s="6"/>
      <c r="RJH45" s="6"/>
      <c r="RJI45" s="6"/>
      <c r="RJJ45" s="6"/>
      <c r="RJK45" s="6"/>
      <c r="RJL45" s="6"/>
      <c r="RJM45" s="6"/>
      <c r="RJN45" s="6"/>
      <c r="RJO45" s="6"/>
      <c r="RJP45" s="6"/>
      <c r="RJQ45" s="6"/>
      <c r="RJR45" s="6"/>
      <c r="RJS45" s="6"/>
      <c r="RJT45" s="6"/>
      <c r="RJU45" s="6"/>
      <c r="RJV45" s="6"/>
      <c r="RJW45" s="6"/>
      <c r="RJX45" s="6"/>
      <c r="RJY45" s="6"/>
      <c r="RJZ45" s="6"/>
      <c r="RKA45" s="6"/>
      <c r="RKB45" s="6"/>
      <c r="RKC45" s="6"/>
      <c r="RKD45" s="6"/>
      <c r="RKE45" s="6"/>
      <c r="RKF45" s="6"/>
      <c r="RKG45" s="6"/>
      <c r="RKH45" s="6"/>
      <c r="RKI45" s="6"/>
      <c r="RKJ45" s="6"/>
      <c r="RKK45" s="6"/>
      <c r="RKL45" s="6"/>
      <c r="RKM45" s="6"/>
      <c r="RKN45" s="6"/>
      <c r="RKO45" s="6"/>
      <c r="RKP45" s="6"/>
      <c r="RKQ45" s="6"/>
      <c r="RKR45" s="6"/>
      <c r="RKS45" s="6"/>
      <c r="RKT45" s="6"/>
      <c r="RKU45" s="6"/>
      <c r="RKV45" s="6"/>
      <c r="RKW45" s="6"/>
      <c r="RKX45" s="6"/>
      <c r="RKY45" s="6"/>
      <c r="RKZ45" s="6"/>
      <c r="RLA45" s="6"/>
      <c r="RLB45" s="6"/>
      <c r="RLC45" s="6"/>
      <c r="RLD45" s="6"/>
      <c r="RLE45" s="6"/>
      <c r="RLF45" s="6"/>
      <c r="RLG45" s="6"/>
      <c r="RLH45" s="6"/>
      <c r="RLI45" s="6"/>
      <c r="RLJ45" s="6"/>
      <c r="RLK45" s="6"/>
      <c r="RLL45" s="6"/>
      <c r="RLM45" s="6"/>
      <c r="RLN45" s="6"/>
      <c r="RLO45" s="6"/>
      <c r="RLP45" s="6"/>
      <c r="RLQ45" s="6"/>
      <c r="RLR45" s="6"/>
      <c r="RLS45" s="6"/>
      <c r="RLT45" s="6"/>
      <c r="RLU45" s="6"/>
      <c r="RLV45" s="6"/>
      <c r="RLW45" s="6"/>
      <c r="RLX45" s="6"/>
      <c r="RLY45" s="6"/>
      <c r="RLZ45" s="6"/>
      <c r="RMA45" s="6"/>
      <c r="RMB45" s="6"/>
      <c r="RMC45" s="6"/>
      <c r="RMD45" s="6"/>
      <c r="RME45" s="6"/>
      <c r="RMF45" s="6"/>
      <c r="RMG45" s="6"/>
      <c r="RMH45" s="6"/>
      <c r="RMI45" s="6"/>
      <c r="RMJ45" s="6"/>
      <c r="RMK45" s="6"/>
      <c r="RML45" s="6"/>
      <c r="RMM45" s="6"/>
      <c r="RMN45" s="6"/>
      <c r="RMO45" s="6"/>
      <c r="RMP45" s="6"/>
      <c r="RMQ45" s="6"/>
      <c r="RMR45" s="6"/>
      <c r="RMS45" s="6"/>
      <c r="RMT45" s="6"/>
      <c r="RMU45" s="6"/>
      <c r="RMV45" s="6"/>
      <c r="RMW45" s="6"/>
      <c r="RMX45" s="6"/>
      <c r="RMY45" s="6"/>
      <c r="RMZ45" s="6"/>
      <c r="RNA45" s="6"/>
      <c r="RNB45" s="6"/>
      <c r="RNC45" s="6"/>
      <c r="RND45" s="6"/>
      <c r="RNE45" s="6"/>
      <c r="RNF45" s="6"/>
      <c r="RNG45" s="6"/>
      <c r="RNH45" s="6"/>
      <c r="RNI45" s="6"/>
      <c r="RNJ45" s="6"/>
      <c r="RNK45" s="6"/>
      <c r="RNL45" s="6"/>
      <c r="RNM45" s="6"/>
      <c r="RNN45" s="6"/>
      <c r="RNO45" s="6"/>
      <c r="RNP45" s="6"/>
      <c r="RNQ45" s="6"/>
      <c r="RNR45" s="6"/>
      <c r="RNS45" s="6"/>
      <c r="RNT45" s="6"/>
      <c r="RNU45" s="6"/>
      <c r="RNV45" s="6"/>
      <c r="RNW45" s="6"/>
      <c r="RNX45" s="6"/>
      <c r="RNY45" s="6"/>
      <c r="RNZ45" s="6"/>
      <c r="ROA45" s="6"/>
      <c r="ROB45" s="6"/>
      <c r="ROC45" s="6"/>
      <c r="ROD45" s="6"/>
      <c r="ROE45" s="6"/>
      <c r="ROF45" s="6"/>
      <c r="ROG45" s="6"/>
      <c r="ROH45" s="6"/>
      <c r="ROI45" s="6"/>
      <c r="ROJ45" s="6"/>
      <c r="ROK45" s="6"/>
      <c r="ROL45" s="6"/>
      <c r="ROM45" s="6"/>
      <c r="RON45" s="6"/>
      <c r="ROO45" s="6"/>
      <c r="ROP45" s="6"/>
      <c r="ROQ45" s="6"/>
      <c r="ROR45" s="6"/>
      <c r="ROS45" s="6"/>
      <c r="ROT45" s="6"/>
      <c r="ROU45" s="6"/>
      <c r="ROV45" s="6"/>
      <c r="ROW45" s="6"/>
      <c r="ROX45" s="6"/>
      <c r="ROY45" s="6"/>
      <c r="ROZ45" s="6"/>
      <c r="RPA45" s="6"/>
      <c r="RPB45" s="6"/>
      <c r="RPC45" s="6"/>
      <c r="RPD45" s="6"/>
      <c r="RPE45" s="6"/>
      <c r="RPF45" s="6"/>
      <c r="RPG45" s="6"/>
      <c r="RPH45" s="6"/>
      <c r="RPI45" s="6"/>
      <c r="RPJ45" s="6"/>
      <c r="RPK45" s="6"/>
      <c r="RPL45" s="6"/>
      <c r="RPM45" s="6"/>
      <c r="RPN45" s="6"/>
      <c r="RPO45" s="6"/>
      <c r="RPP45" s="6"/>
      <c r="RPQ45" s="6"/>
      <c r="RPR45" s="6"/>
      <c r="RPS45" s="6"/>
      <c r="RPT45" s="6"/>
      <c r="RPU45" s="6"/>
      <c r="RPV45" s="6"/>
      <c r="RPW45" s="6"/>
      <c r="RPX45" s="6"/>
      <c r="RPY45" s="6"/>
      <c r="RPZ45" s="6"/>
      <c r="RQA45" s="6"/>
      <c r="RQB45" s="6"/>
      <c r="RQC45" s="6"/>
      <c r="RQD45" s="6"/>
      <c r="RQE45" s="6"/>
      <c r="RQF45" s="6"/>
      <c r="RQG45" s="6"/>
      <c r="RQH45" s="6"/>
      <c r="RQI45" s="6"/>
      <c r="RQJ45" s="6"/>
      <c r="RQK45" s="6"/>
      <c r="RQL45" s="6"/>
      <c r="RQM45" s="6"/>
      <c r="RQN45" s="6"/>
      <c r="RQO45" s="6"/>
      <c r="RQP45" s="6"/>
      <c r="RQQ45" s="6"/>
      <c r="RQR45" s="6"/>
      <c r="RQS45" s="6"/>
      <c r="RQT45" s="6"/>
      <c r="RQU45" s="6"/>
      <c r="RQV45" s="6"/>
      <c r="RQW45" s="6"/>
      <c r="RQX45" s="6"/>
      <c r="RQY45" s="6"/>
      <c r="RQZ45" s="6"/>
      <c r="RRA45" s="6"/>
      <c r="RRB45" s="6"/>
      <c r="RRC45" s="6"/>
      <c r="RRD45" s="6"/>
      <c r="RRE45" s="6"/>
      <c r="RRF45" s="6"/>
      <c r="RRG45" s="6"/>
      <c r="RRH45" s="6"/>
      <c r="RRI45" s="6"/>
      <c r="RRJ45" s="6"/>
      <c r="RRK45" s="6"/>
      <c r="RRL45" s="6"/>
      <c r="RRM45" s="6"/>
      <c r="RRN45" s="6"/>
      <c r="RRO45" s="6"/>
      <c r="RRP45" s="6"/>
      <c r="RRQ45" s="6"/>
      <c r="RRR45" s="6"/>
      <c r="RRS45" s="6"/>
      <c r="RRT45" s="6"/>
      <c r="RRU45" s="6"/>
      <c r="RRV45" s="6"/>
      <c r="RRW45" s="6"/>
      <c r="RRX45" s="6"/>
      <c r="RRY45" s="6"/>
      <c r="RRZ45" s="6"/>
      <c r="RSA45" s="6"/>
      <c r="RSB45" s="6"/>
      <c r="RSC45" s="6"/>
      <c r="RSD45" s="6"/>
      <c r="RSE45" s="6"/>
      <c r="RSF45" s="6"/>
      <c r="RSG45" s="6"/>
      <c r="RSH45" s="6"/>
      <c r="RSI45" s="6"/>
      <c r="RSJ45" s="6"/>
      <c r="RSK45" s="6"/>
      <c r="RSL45" s="6"/>
      <c r="RSM45" s="6"/>
      <c r="RSN45" s="6"/>
      <c r="RSO45" s="6"/>
      <c r="RSP45" s="6"/>
      <c r="RSQ45" s="6"/>
      <c r="RSR45" s="6"/>
      <c r="RSS45" s="6"/>
      <c r="RST45" s="6"/>
      <c r="RSU45" s="6"/>
      <c r="RSV45" s="6"/>
      <c r="RSW45" s="6"/>
      <c r="RSX45" s="6"/>
      <c r="RSY45" s="6"/>
      <c r="RSZ45" s="6"/>
      <c r="RTA45" s="6"/>
      <c r="RTB45" s="6"/>
      <c r="RTC45" s="6"/>
      <c r="RTD45" s="6"/>
      <c r="RTE45" s="6"/>
      <c r="RTF45" s="6"/>
      <c r="RTG45" s="6"/>
      <c r="RTH45" s="6"/>
      <c r="RTI45" s="6"/>
      <c r="RTJ45" s="6"/>
      <c r="RTK45" s="6"/>
      <c r="RTL45" s="6"/>
      <c r="RTM45" s="6"/>
      <c r="RTN45" s="6"/>
      <c r="RTO45" s="6"/>
      <c r="RTP45" s="6"/>
      <c r="RTQ45" s="6"/>
      <c r="RTR45" s="6"/>
      <c r="RTS45" s="6"/>
      <c r="RTT45" s="6"/>
      <c r="RTU45" s="6"/>
      <c r="RTV45" s="6"/>
      <c r="RTW45" s="6"/>
      <c r="RTX45" s="6"/>
      <c r="RTY45" s="6"/>
      <c r="RTZ45" s="6"/>
      <c r="RUA45" s="6"/>
      <c r="RUB45" s="6"/>
      <c r="RUC45" s="6"/>
      <c r="RUD45" s="6"/>
      <c r="RUE45" s="6"/>
      <c r="RUF45" s="6"/>
      <c r="RUG45" s="6"/>
      <c r="RUH45" s="6"/>
      <c r="RUI45" s="6"/>
      <c r="RUJ45" s="6"/>
      <c r="RUK45" s="6"/>
      <c r="RUL45" s="6"/>
      <c r="RUM45" s="6"/>
      <c r="RUN45" s="6"/>
      <c r="RUO45" s="6"/>
      <c r="RUP45" s="6"/>
      <c r="RUQ45" s="6"/>
      <c r="RUR45" s="6"/>
      <c r="RUS45" s="6"/>
      <c r="RUT45" s="6"/>
      <c r="RUU45" s="6"/>
      <c r="RUV45" s="6"/>
      <c r="RUW45" s="6"/>
      <c r="RUX45" s="6"/>
      <c r="RUY45" s="6"/>
      <c r="RUZ45" s="6"/>
      <c r="RVA45" s="6"/>
      <c r="RVB45" s="6"/>
      <c r="RVC45" s="6"/>
      <c r="RVD45" s="6"/>
      <c r="RVE45" s="6"/>
      <c r="RVF45" s="6"/>
      <c r="RVG45" s="6"/>
      <c r="RVH45" s="6"/>
      <c r="RVI45" s="6"/>
      <c r="RVJ45" s="6"/>
      <c r="RVK45" s="6"/>
      <c r="RVL45" s="6"/>
      <c r="RVM45" s="6"/>
      <c r="RVN45" s="6"/>
      <c r="RVO45" s="6"/>
      <c r="RVP45" s="6"/>
      <c r="RVQ45" s="6"/>
      <c r="RVR45" s="6"/>
      <c r="RVS45" s="6"/>
      <c r="RVT45" s="6"/>
      <c r="RVU45" s="6"/>
      <c r="RVV45" s="6"/>
      <c r="RVW45" s="6"/>
      <c r="RVX45" s="6"/>
      <c r="RVY45" s="6"/>
      <c r="RVZ45" s="6"/>
      <c r="RWA45" s="6"/>
      <c r="RWB45" s="6"/>
      <c r="RWC45" s="6"/>
      <c r="RWD45" s="6"/>
      <c r="RWE45" s="6"/>
      <c r="RWF45" s="6"/>
      <c r="RWG45" s="6"/>
      <c r="RWH45" s="6"/>
      <c r="RWI45" s="6"/>
      <c r="RWJ45" s="6"/>
      <c r="RWK45" s="6"/>
      <c r="RWL45" s="6"/>
      <c r="RWM45" s="6"/>
      <c r="RWN45" s="6"/>
      <c r="RWO45" s="6"/>
      <c r="RWP45" s="6"/>
      <c r="RWQ45" s="6"/>
      <c r="RWR45" s="6"/>
      <c r="RWS45" s="6"/>
      <c r="RWT45" s="6"/>
      <c r="RWU45" s="6"/>
      <c r="RWV45" s="6"/>
      <c r="RWW45" s="6"/>
      <c r="RWX45" s="6"/>
      <c r="RWY45" s="6"/>
      <c r="RWZ45" s="6"/>
      <c r="RXA45" s="6"/>
      <c r="RXB45" s="6"/>
      <c r="RXC45" s="6"/>
      <c r="RXD45" s="6"/>
      <c r="RXE45" s="6"/>
      <c r="RXF45" s="6"/>
      <c r="RXG45" s="6"/>
      <c r="RXH45" s="6"/>
      <c r="RXI45" s="6"/>
      <c r="RXJ45" s="6"/>
      <c r="RXK45" s="6"/>
      <c r="RXL45" s="6"/>
      <c r="RXM45" s="6"/>
      <c r="RXN45" s="6"/>
      <c r="RXO45" s="6"/>
      <c r="RXP45" s="6"/>
      <c r="RXQ45" s="6"/>
      <c r="RXR45" s="6"/>
      <c r="RXS45" s="6"/>
      <c r="RXT45" s="6"/>
      <c r="RXU45" s="6"/>
      <c r="RXV45" s="6"/>
      <c r="RXW45" s="6"/>
      <c r="RXX45" s="6"/>
      <c r="RXY45" s="6"/>
      <c r="RXZ45" s="6"/>
      <c r="RYA45" s="6"/>
      <c r="RYB45" s="6"/>
      <c r="RYC45" s="6"/>
      <c r="RYD45" s="6"/>
      <c r="RYE45" s="6"/>
      <c r="RYF45" s="6"/>
      <c r="RYG45" s="6"/>
      <c r="RYH45" s="6"/>
      <c r="RYI45" s="6"/>
      <c r="RYJ45" s="6"/>
      <c r="RYK45" s="6"/>
      <c r="RYL45" s="6"/>
      <c r="RYM45" s="6"/>
      <c r="RYN45" s="6"/>
      <c r="RYO45" s="6"/>
      <c r="RYP45" s="6"/>
      <c r="RYQ45" s="6"/>
      <c r="RYR45" s="6"/>
      <c r="RYS45" s="6"/>
      <c r="RYT45" s="6"/>
      <c r="RYU45" s="6"/>
      <c r="RYV45" s="6"/>
      <c r="RYW45" s="6"/>
      <c r="RYX45" s="6"/>
      <c r="RYY45" s="6"/>
      <c r="RYZ45" s="6"/>
      <c r="RZA45" s="6"/>
      <c r="RZB45" s="6"/>
      <c r="RZC45" s="6"/>
      <c r="RZD45" s="6"/>
      <c r="RZE45" s="6"/>
      <c r="RZF45" s="6"/>
      <c r="RZG45" s="6"/>
      <c r="RZH45" s="6"/>
      <c r="RZI45" s="6"/>
      <c r="RZJ45" s="6"/>
      <c r="RZK45" s="6"/>
      <c r="RZL45" s="6"/>
      <c r="RZM45" s="6"/>
      <c r="RZN45" s="6"/>
      <c r="RZO45" s="6"/>
      <c r="RZP45" s="6"/>
      <c r="RZQ45" s="6"/>
      <c r="RZR45" s="6"/>
      <c r="RZS45" s="6"/>
      <c r="RZT45" s="6"/>
      <c r="RZU45" s="6"/>
      <c r="RZV45" s="6"/>
      <c r="RZW45" s="6"/>
      <c r="RZX45" s="6"/>
      <c r="RZY45" s="6"/>
      <c r="RZZ45" s="6"/>
      <c r="SAA45" s="6"/>
      <c r="SAB45" s="6"/>
      <c r="SAC45" s="6"/>
      <c r="SAD45" s="6"/>
      <c r="SAE45" s="6"/>
      <c r="SAF45" s="6"/>
      <c r="SAG45" s="6"/>
      <c r="SAH45" s="6"/>
      <c r="SAI45" s="6"/>
      <c r="SAJ45" s="6"/>
      <c r="SAK45" s="6"/>
      <c r="SAL45" s="6"/>
      <c r="SAM45" s="6"/>
      <c r="SAN45" s="6"/>
      <c r="SAO45" s="6"/>
      <c r="SAP45" s="6"/>
      <c r="SAQ45" s="6"/>
      <c r="SAR45" s="6"/>
      <c r="SAS45" s="6"/>
      <c r="SAT45" s="6"/>
      <c r="SAU45" s="6"/>
      <c r="SAV45" s="6"/>
      <c r="SAW45" s="6"/>
      <c r="SAX45" s="6"/>
      <c r="SAY45" s="6"/>
      <c r="SAZ45" s="6"/>
      <c r="SBA45" s="6"/>
      <c r="SBB45" s="6"/>
      <c r="SBC45" s="6"/>
      <c r="SBD45" s="6"/>
      <c r="SBE45" s="6"/>
      <c r="SBF45" s="6"/>
      <c r="SBG45" s="6"/>
      <c r="SBH45" s="6"/>
      <c r="SBI45" s="6"/>
      <c r="SBJ45" s="6"/>
      <c r="SBK45" s="6"/>
      <c r="SBL45" s="6"/>
      <c r="SBM45" s="6"/>
      <c r="SBN45" s="6"/>
      <c r="SBO45" s="6"/>
      <c r="SBP45" s="6"/>
      <c r="SBQ45" s="6"/>
      <c r="SBR45" s="6"/>
      <c r="SBS45" s="6"/>
      <c r="SBT45" s="6"/>
      <c r="SBU45" s="6"/>
      <c r="SBV45" s="6"/>
      <c r="SBW45" s="6"/>
      <c r="SBX45" s="6"/>
      <c r="SBY45" s="6"/>
      <c r="SBZ45" s="6"/>
      <c r="SCA45" s="6"/>
      <c r="SCB45" s="6"/>
      <c r="SCC45" s="6"/>
      <c r="SCD45" s="6"/>
      <c r="SCE45" s="6"/>
      <c r="SCF45" s="6"/>
      <c r="SCG45" s="6"/>
      <c r="SCH45" s="6"/>
      <c r="SCI45" s="6"/>
      <c r="SCJ45" s="6"/>
      <c r="SCK45" s="6"/>
      <c r="SCL45" s="6"/>
      <c r="SCM45" s="6"/>
      <c r="SCN45" s="6"/>
      <c r="SCO45" s="6"/>
      <c r="SCP45" s="6"/>
      <c r="SCQ45" s="6"/>
      <c r="SCR45" s="6"/>
      <c r="SCS45" s="6"/>
      <c r="SCT45" s="6"/>
      <c r="SCU45" s="6"/>
      <c r="SCV45" s="6"/>
      <c r="SCW45" s="6"/>
      <c r="SCX45" s="6"/>
      <c r="SCY45" s="6"/>
      <c r="SCZ45" s="6"/>
      <c r="SDA45" s="6"/>
      <c r="SDB45" s="6"/>
      <c r="SDC45" s="6"/>
      <c r="SDD45" s="6"/>
      <c r="SDE45" s="6"/>
      <c r="SDF45" s="6"/>
      <c r="SDG45" s="6"/>
      <c r="SDH45" s="6"/>
      <c r="SDI45" s="6"/>
      <c r="SDJ45" s="6"/>
      <c r="SDK45" s="6"/>
      <c r="SDL45" s="6"/>
      <c r="SDM45" s="6"/>
      <c r="SDN45" s="6"/>
      <c r="SDO45" s="6"/>
      <c r="SDP45" s="6"/>
      <c r="SDQ45" s="6"/>
      <c r="SDR45" s="6"/>
      <c r="SDS45" s="6"/>
      <c r="SDT45" s="6"/>
      <c r="SDU45" s="6"/>
      <c r="SDV45" s="6"/>
      <c r="SDW45" s="6"/>
      <c r="SDX45" s="6"/>
      <c r="SDY45" s="6"/>
      <c r="SDZ45" s="6"/>
      <c r="SEA45" s="6"/>
      <c r="SEB45" s="6"/>
      <c r="SEC45" s="6"/>
      <c r="SED45" s="6"/>
      <c r="SEE45" s="6"/>
      <c r="SEF45" s="6"/>
      <c r="SEG45" s="6"/>
      <c r="SEH45" s="6"/>
      <c r="SEI45" s="6"/>
      <c r="SEJ45" s="6"/>
      <c r="SEK45" s="6"/>
      <c r="SEL45" s="6"/>
      <c r="SEM45" s="6"/>
      <c r="SEN45" s="6"/>
      <c r="SEO45" s="6"/>
      <c r="SEP45" s="6"/>
      <c r="SEQ45" s="6"/>
      <c r="SER45" s="6"/>
      <c r="SES45" s="6"/>
      <c r="SET45" s="6"/>
      <c r="SEU45" s="6"/>
      <c r="SEV45" s="6"/>
      <c r="SEW45" s="6"/>
      <c r="SEX45" s="6"/>
      <c r="SEY45" s="6"/>
      <c r="SEZ45" s="6"/>
      <c r="SFA45" s="6"/>
      <c r="SFB45" s="6"/>
      <c r="SFC45" s="6"/>
      <c r="SFD45" s="6"/>
      <c r="SFE45" s="6"/>
      <c r="SFF45" s="6"/>
      <c r="SFG45" s="6"/>
      <c r="SFH45" s="6"/>
      <c r="SFI45" s="6"/>
      <c r="SFJ45" s="6"/>
      <c r="SFK45" s="6"/>
      <c r="SFL45" s="6"/>
      <c r="SFM45" s="6"/>
      <c r="SFN45" s="6"/>
      <c r="SFO45" s="6"/>
      <c r="SFP45" s="6"/>
      <c r="SFQ45" s="6"/>
      <c r="SFR45" s="6"/>
      <c r="SFS45" s="6"/>
      <c r="SFT45" s="6"/>
      <c r="SFU45" s="6"/>
      <c r="SFV45" s="6"/>
      <c r="SFW45" s="6"/>
      <c r="SFX45" s="6"/>
      <c r="SFY45" s="6"/>
      <c r="SFZ45" s="6"/>
      <c r="SGA45" s="6"/>
      <c r="SGB45" s="6"/>
      <c r="SGC45" s="6"/>
      <c r="SGD45" s="6"/>
      <c r="SGE45" s="6"/>
      <c r="SGF45" s="6"/>
      <c r="SGG45" s="6"/>
      <c r="SGH45" s="6"/>
      <c r="SGI45" s="6"/>
      <c r="SGJ45" s="6"/>
      <c r="SGK45" s="6"/>
      <c r="SGL45" s="6"/>
      <c r="SGM45" s="6"/>
      <c r="SGN45" s="6"/>
      <c r="SGO45" s="6"/>
      <c r="SGP45" s="6"/>
      <c r="SGQ45" s="6"/>
      <c r="SGR45" s="6"/>
      <c r="SGS45" s="6"/>
      <c r="SGT45" s="6"/>
      <c r="SGU45" s="6"/>
      <c r="SGV45" s="6"/>
      <c r="SGW45" s="6"/>
      <c r="SGX45" s="6"/>
      <c r="SGY45" s="6"/>
      <c r="SGZ45" s="6"/>
      <c r="SHA45" s="6"/>
      <c r="SHB45" s="6"/>
      <c r="SHC45" s="6"/>
      <c r="SHD45" s="6"/>
      <c r="SHE45" s="6"/>
      <c r="SHF45" s="6"/>
      <c r="SHG45" s="6"/>
      <c r="SHH45" s="6"/>
      <c r="SHI45" s="6"/>
      <c r="SHJ45" s="6"/>
      <c r="SHK45" s="6"/>
      <c r="SHL45" s="6"/>
      <c r="SHM45" s="6"/>
      <c r="SHN45" s="6"/>
      <c r="SHO45" s="6"/>
      <c r="SHP45" s="6"/>
      <c r="SHQ45" s="6"/>
      <c r="SHR45" s="6"/>
      <c r="SHS45" s="6"/>
      <c r="SHT45" s="6"/>
      <c r="SHU45" s="6"/>
      <c r="SHV45" s="6"/>
      <c r="SHW45" s="6"/>
      <c r="SHX45" s="6"/>
      <c r="SHY45" s="6"/>
      <c r="SHZ45" s="6"/>
      <c r="SIA45" s="6"/>
      <c r="SIB45" s="6"/>
      <c r="SIC45" s="6"/>
      <c r="SID45" s="6"/>
      <c r="SIE45" s="6"/>
      <c r="SIF45" s="6"/>
      <c r="SIG45" s="6"/>
      <c r="SIH45" s="6"/>
      <c r="SII45" s="6"/>
      <c r="SIJ45" s="6"/>
      <c r="SIK45" s="6"/>
      <c r="SIL45" s="6"/>
      <c r="SIM45" s="6"/>
      <c r="SIN45" s="6"/>
      <c r="SIO45" s="6"/>
      <c r="SIP45" s="6"/>
      <c r="SIQ45" s="6"/>
      <c r="SIR45" s="6"/>
      <c r="SIS45" s="6"/>
      <c r="SIT45" s="6"/>
      <c r="SIU45" s="6"/>
      <c r="SIV45" s="6"/>
      <c r="SIW45" s="6"/>
      <c r="SIX45" s="6"/>
      <c r="SIY45" s="6"/>
      <c r="SIZ45" s="6"/>
      <c r="SJA45" s="6"/>
      <c r="SJB45" s="6"/>
      <c r="SJC45" s="6"/>
      <c r="SJD45" s="6"/>
      <c r="SJE45" s="6"/>
      <c r="SJF45" s="6"/>
      <c r="SJG45" s="6"/>
      <c r="SJH45" s="6"/>
      <c r="SJI45" s="6"/>
      <c r="SJJ45" s="6"/>
      <c r="SJK45" s="6"/>
      <c r="SJL45" s="6"/>
      <c r="SJM45" s="6"/>
      <c r="SJN45" s="6"/>
      <c r="SJO45" s="6"/>
      <c r="SJP45" s="6"/>
      <c r="SJQ45" s="6"/>
      <c r="SJR45" s="6"/>
      <c r="SJS45" s="6"/>
      <c r="SJT45" s="6"/>
      <c r="SJU45" s="6"/>
      <c r="SJV45" s="6"/>
      <c r="SJW45" s="6"/>
      <c r="SJX45" s="6"/>
      <c r="SJY45" s="6"/>
      <c r="SJZ45" s="6"/>
      <c r="SKA45" s="6"/>
      <c r="SKB45" s="6"/>
      <c r="SKC45" s="6"/>
      <c r="SKD45" s="6"/>
      <c r="SKE45" s="6"/>
      <c r="SKF45" s="6"/>
      <c r="SKG45" s="6"/>
      <c r="SKH45" s="6"/>
      <c r="SKI45" s="6"/>
      <c r="SKJ45" s="6"/>
      <c r="SKK45" s="6"/>
      <c r="SKL45" s="6"/>
      <c r="SKM45" s="6"/>
      <c r="SKN45" s="6"/>
      <c r="SKO45" s="6"/>
      <c r="SKP45" s="6"/>
      <c r="SKQ45" s="6"/>
      <c r="SKR45" s="6"/>
      <c r="SKS45" s="6"/>
      <c r="SKT45" s="6"/>
      <c r="SKU45" s="6"/>
      <c r="SKV45" s="6"/>
      <c r="SKW45" s="6"/>
      <c r="SKX45" s="6"/>
      <c r="SKY45" s="6"/>
      <c r="SKZ45" s="6"/>
      <c r="SLA45" s="6"/>
      <c r="SLB45" s="6"/>
      <c r="SLC45" s="6"/>
      <c r="SLD45" s="6"/>
      <c r="SLE45" s="6"/>
      <c r="SLF45" s="6"/>
      <c r="SLG45" s="6"/>
      <c r="SLH45" s="6"/>
      <c r="SLI45" s="6"/>
      <c r="SLJ45" s="6"/>
      <c r="SLK45" s="6"/>
      <c r="SLL45" s="6"/>
      <c r="SLM45" s="6"/>
      <c r="SLN45" s="6"/>
      <c r="SLO45" s="6"/>
      <c r="SLP45" s="6"/>
      <c r="SLQ45" s="6"/>
      <c r="SLR45" s="6"/>
      <c r="SLS45" s="6"/>
      <c r="SLT45" s="6"/>
      <c r="SLU45" s="6"/>
      <c r="SLV45" s="6"/>
      <c r="SLW45" s="6"/>
      <c r="SLX45" s="6"/>
      <c r="SLY45" s="6"/>
      <c r="SLZ45" s="6"/>
      <c r="SMA45" s="6"/>
      <c r="SMB45" s="6"/>
      <c r="SMC45" s="6"/>
      <c r="SMD45" s="6"/>
      <c r="SME45" s="6"/>
      <c r="SMF45" s="6"/>
      <c r="SMG45" s="6"/>
      <c r="SMH45" s="6"/>
      <c r="SMI45" s="6"/>
      <c r="SMJ45" s="6"/>
      <c r="SMK45" s="6"/>
      <c r="SML45" s="6"/>
      <c r="SMM45" s="6"/>
      <c r="SMN45" s="6"/>
      <c r="SMO45" s="6"/>
      <c r="SMP45" s="6"/>
      <c r="SMQ45" s="6"/>
      <c r="SMR45" s="6"/>
      <c r="SMS45" s="6"/>
      <c r="SMT45" s="6"/>
      <c r="SMU45" s="6"/>
      <c r="SMV45" s="6"/>
      <c r="SMW45" s="6"/>
      <c r="SMX45" s="6"/>
      <c r="SMY45" s="6"/>
      <c r="SMZ45" s="6"/>
      <c r="SNA45" s="6"/>
      <c r="SNB45" s="6"/>
      <c r="SNC45" s="6"/>
      <c r="SND45" s="6"/>
      <c r="SNE45" s="6"/>
      <c r="SNF45" s="6"/>
      <c r="SNG45" s="6"/>
      <c r="SNH45" s="6"/>
      <c r="SNI45" s="6"/>
      <c r="SNJ45" s="6"/>
      <c r="SNK45" s="6"/>
      <c r="SNL45" s="6"/>
      <c r="SNM45" s="6"/>
      <c r="SNN45" s="6"/>
      <c r="SNO45" s="6"/>
      <c r="SNP45" s="6"/>
      <c r="SNQ45" s="6"/>
      <c r="SNR45" s="6"/>
      <c r="SNS45" s="6"/>
      <c r="SNT45" s="6"/>
      <c r="SNU45" s="6"/>
      <c r="SNV45" s="6"/>
      <c r="SNW45" s="6"/>
      <c r="SNX45" s="6"/>
      <c r="SNY45" s="6"/>
      <c r="SNZ45" s="6"/>
      <c r="SOA45" s="6"/>
      <c r="SOB45" s="6"/>
      <c r="SOC45" s="6"/>
      <c r="SOD45" s="6"/>
      <c r="SOE45" s="6"/>
      <c r="SOF45" s="6"/>
      <c r="SOG45" s="6"/>
      <c r="SOH45" s="6"/>
      <c r="SOI45" s="6"/>
      <c r="SOJ45" s="6"/>
      <c r="SOK45" s="6"/>
      <c r="SOL45" s="6"/>
      <c r="SOM45" s="6"/>
      <c r="SON45" s="6"/>
      <c r="SOO45" s="6"/>
      <c r="SOP45" s="6"/>
      <c r="SOQ45" s="6"/>
      <c r="SOR45" s="6"/>
      <c r="SOS45" s="6"/>
      <c r="SOT45" s="6"/>
      <c r="SOU45" s="6"/>
      <c r="SOV45" s="6"/>
      <c r="SOW45" s="6"/>
      <c r="SOX45" s="6"/>
      <c r="SOY45" s="6"/>
      <c r="SOZ45" s="6"/>
      <c r="SPA45" s="6"/>
      <c r="SPB45" s="6"/>
      <c r="SPC45" s="6"/>
      <c r="SPD45" s="6"/>
      <c r="SPE45" s="6"/>
      <c r="SPF45" s="6"/>
      <c r="SPG45" s="6"/>
      <c r="SPH45" s="6"/>
      <c r="SPI45" s="6"/>
      <c r="SPJ45" s="6"/>
      <c r="SPK45" s="6"/>
      <c r="SPL45" s="6"/>
      <c r="SPM45" s="6"/>
      <c r="SPN45" s="6"/>
      <c r="SPO45" s="6"/>
      <c r="SPP45" s="6"/>
      <c r="SPQ45" s="6"/>
      <c r="SPR45" s="6"/>
      <c r="SPS45" s="6"/>
      <c r="SPT45" s="6"/>
      <c r="SPU45" s="6"/>
      <c r="SPV45" s="6"/>
      <c r="SPW45" s="6"/>
      <c r="SPX45" s="6"/>
      <c r="SPY45" s="6"/>
      <c r="SPZ45" s="6"/>
      <c r="SQA45" s="6"/>
      <c r="SQB45" s="6"/>
      <c r="SQC45" s="6"/>
      <c r="SQD45" s="6"/>
      <c r="SQE45" s="6"/>
      <c r="SQF45" s="6"/>
      <c r="SQG45" s="6"/>
      <c r="SQH45" s="6"/>
      <c r="SQI45" s="6"/>
      <c r="SQJ45" s="6"/>
      <c r="SQK45" s="6"/>
      <c r="SQL45" s="6"/>
      <c r="SQM45" s="6"/>
      <c r="SQN45" s="6"/>
      <c r="SQO45" s="6"/>
      <c r="SQP45" s="6"/>
      <c r="SQQ45" s="6"/>
      <c r="SQR45" s="6"/>
      <c r="SQS45" s="6"/>
      <c r="SQT45" s="6"/>
      <c r="SQU45" s="6"/>
      <c r="SQV45" s="6"/>
      <c r="SQW45" s="6"/>
      <c r="SQX45" s="6"/>
      <c r="SQY45" s="6"/>
      <c r="SQZ45" s="6"/>
      <c r="SRA45" s="6"/>
      <c r="SRB45" s="6"/>
      <c r="SRC45" s="6"/>
      <c r="SRD45" s="6"/>
      <c r="SRE45" s="6"/>
      <c r="SRF45" s="6"/>
      <c r="SRG45" s="6"/>
      <c r="SRH45" s="6"/>
      <c r="SRI45" s="6"/>
      <c r="SRJ45" s="6"/>
      <c r="SRK45" s="6"/>
      <c r="SRL45" s="6"/>
      <c r="SRM45" s="6"/>
      <c r="SRN45" s="6"/>
      <c r="SRO45" s="6"/>
      <c r="SRP45" s="6"/>
      <c r="SRQ45" s="6"/>
      <c r="SRR45" s="6"/>
      <c r="SRS45" s="6"/>
      <c r="SRT45" s="6"/>
      <c r="SRU45" s="6"/>
      <c r="SRV45" s="6"/>
      <c r="SRW45" s="6"/>
      <c r="SRX45" s="6"/>
      <c r="SRY45" s="6"/>
      <c r="SRZ45" s="6"/>
      <c r="SSA45" s="6"/>
      <c r="SSB45" s="6"/>
      <c r="SSC45" s="6"/>
      <c r="SSD45" s="6"/>
      <c r="SSE45" s="6"/>
      <c r="SSF45" s="6"/>
      <c r="SSG45" s="6"/>
      <c r="SSH45" s="6"/>
      <c r="SSI45" s="6"/>
      <c r="SSJ45" s="6"/>
      <c r="SSK45" s="6"/>
      <c r="SSL45" s="6"/>
      <c r="SSM45" s="6"/>
      <c r="SSN45" s="6"/>
      <c r="SSO45" s="6"/>
      <c r="SSP45" s="6"/>
      <c r="SSQ45" s="6"/>
      <c r="SSR45" s="6"/>
      <c r="SSS45" s="6"/>
      <c r="SST45" s="6"/>
      <c r="SSU45" s="6"/>
      <c r="SSV45" s="6"/>
      <c r="SSW45" s="6"/>
      <c r="SSX45" s="6"/>
      <c r="SSY45" s="6"/>
      <c r="SSZ45" s="6"/>
      <c r="STA45" s="6"/>
      <c r="STB45" s="6"/>
      <c r="STC45" s="6"/>
      <c r="STD45" s="6"/>
      <c r="STE45" s="6"/>
      <c r="STF45" s="6"/>
      <c r="STG45" s="6"/>
      <c r="STH45" s="6"/>
      <c r="STI45" s="6"/>
      <c r="STJ45" s="6"/>
      <c r="STK45" s="6"/>
      <c r="STL45" s="6"/>
      <c r="STM45" s="6"/>
      <c r="STN45" s="6"/>
      <c r="STO45" s="6"/>
      <c r="STP45" s="6"/>
      <c r="STQ45" s="6"/>
      <c r="STR45" s="6"/>
      <c r="STS45" s="6"/>
      <c r="STT45" s="6"/>
      <c r="STU45" s="6"/>
      <c r="STV45" s="6"/>
      <c r="STW45" s="6"/>
      <c r="STX45" s="6"/>
      <c r="STY45" s="6"/>
      <c r="STZ45" s="6"/>
      <c r="SUA45" s="6"/>
      <c r="SUB45" s="6"/>
      <c r="SUC45" s="6"/>
      <c r="SUD45" s="6"/>
      <c r="SUE45" s="6"/>
      <c r="SUF45" s="6"/>
      <c r="SUG45" s="6"/>
      <c r="SUH45" s="6"/>
      <c r="SUI45" s="6"/>
      <c r="SUJ45" s="6"/>
      <c r="SUK45" s="6"/>
      <c r="SUL45" s="6"/>
      <c r="SUM45" s="6"/>
      <c r="SUN45" s="6"/>
      <c r="SUO45" s="6"/>
      <c r="SUP45" s="6"/>
      <c r="SUQ45" s="6"/>
      <c r="SUR45" s="6"/>
      <c r="SUS45" s="6"/>
      <c r="SUT45" s="6"/>
      <c r="SUU45" s="6"/>
      <c r="SUV45" s="6"/>
      <c r="SUW45" s="6"/>
      <c r="SUX45" s="6"/>
      <c r="SUY45" s="6"/>
      <c r="SUZ45" s="6"/>
      <c r="SVA45" s="6"/>
      <c r="SVB45" s="6"/>
      <c r="SVC45" s="6"/>
      <c r="SVD45" s="6"/>
      <c r="SVE45" s="6"/>
      <c r="SVF45" s="6"/>
      <c r="SVG45" s="6"/>
      <c r="SVH45" s="6"/>
      <c r="SVI45" s="6"/>
      <c r="SVJ45" s="6"/>
      <c r="SVK45" s="6"/>
      <c r="SVL45" s="6"/>
      <c r="SVM45" s="6"/>
      <c r="SVN45" s="6"/>
      <c r="SVO45" s="6"/>
      <c r="SVP45" s="6"/>
      <c r="SVQ45" s="6"/>
      <c r="SVR45" s="6"/>
      <c r="SVS45" s="6"/>
      <c r="SVT45" s="6"/>
      <c r="SVU45" s="6"/>
      <c r="SVV45" s="6"/>
      <c r="SVW45" s="6"/>
      <c r="SVX45" s="6"/>
      <c r="SVY45" s="6"/>
      <c r="SVZ45" s="6"/>
      <c r="SWA45" s="6"/>
      <c r="SWB45" s="6"/>
      <c r="SWC45" s="6"/>
      <c r="SWD45" s="6"/>
      <c r="SWE45" s="6"/>
      <c r="SWF45" s="6"/>
      <c r="SWG45" s="6"/>
      <c r="SWH45" s="6"/>
      <c r="SWI45" s="6"/>
      <c r="SWJ45" s="6"/>
      <c r="SWK45" s="6"/>
      <c r="SWL45" s="6"/>
      <c r="SWM45" s="6"/>
      <c r="SWN45" s="6"/>
      <c r="SWO45" s="6"/>
      <c r="SWP45" s="6"/>
      <c r="SWQ45" s="6"/>
      <c r="SWR45" s="6"/>
      <c r="SWS45" s="6"/>
      <c r="SWT45" s="6"/>
      <c r="SWU45" s="6"/>
      <c r="SWV45" s="6"/>
      <c r="SWW45" s="6"/>
      <c r="SWX45" s="6"/>
      <c r="SWY45" s="6"/>
      <c r="SWZ45" s="6"/>
      <c r="SXA45" s="6"/>
      <c r="SXB45" s="6"/>
      <c r="SXC45" s="6"/>
      <c r="SXD45" s="6"/>
      <c r="SXE45" s="6"/>
      <c r="SXF45" s="6"/>
      <c r="SXG45" s="6"/>
      <c r="SXH45" s="6"/>
      <c r="SXI45" s="6"/>
      <c r="SXJ45" s="6"/>
      <c r="SXK45" s="6"/>
      <c r="SXL45" s="6"/>
      <c r="SXM45" s="6"/>
      <c r="SXN45" s="6"/>
      <c r="SXO45" s="6"/>
      <c r="SXP45" s="6"/>
      <c r="SXQ45" s="6"/>
      <c r="SXR45" s="6"/>
      <c r="SXS45" s="6"/>
      <c r="SXT45" s="6"/>
      <c r="SXU45" s="6"/>
      <c r="SXV45" s="6"/>
      <c r="SXW45" s="6"/>
      <c r="SXX45" s="6"/>
      <c r="SXY45" s="6"/>
      <c r="SXZ45" s="6"/>
      <c r="SYA45" s="6"/>
      <c r="SYB45" s="6"/>
      <c r="SYC45" s="6"/>
      <c r="SYD45" s="6"/>
      <c r="SYE45" s="6"/>
      <c r="SYF45" s="6"/>
      <c r="SYG45" s="6"/>
      <c r="SYH45" s="6"/>
      <c r="SYI45" s="6"/>
      <c r="SYJ45" s="6"/>
      <c r="SYK45" s="6"/>
      <c r="SYL45" s="6"/>
      <c r="SYM45" s="6"/>
      <c r="SYN45" s="6"/>
      <c r="SYO45" s="6"/>
      <c r="SYP45" s="6"/>
      <c r="SYQ45" s="6"/>
      <c r="SYR45" s="6"/>
      <c r="SYS45" s="6"/>
      <c r="SYT45" s="6"/>
      <c r="SYU45" s="6"/>
      <c r="SYV45" s="6"/>
      <c r="SYW45" s="6"/>
      <c r="SYX45" s="6"/>
      <c r="SYY45" s="6"/>
      <c r="SYZ45" s="6"/>
      <c r="SZA45" s="6"/>
      <c r="SZB45" s="6"/>
      <c r="SZC45" s="6"/>
      <c r="SZD45" s="6"/>
      <c r="SZE45" s="6"/>
      <c r="SZF45" s="6"/>
      <c r="SZG45" s="6"/>
      <c r="SZH45" s="6"/>
      <c r="SZI45" s="6"/>
      <c r="SZJ45" s="6"/>
      <c r="SZK45" s="6"/>
      <c r="SZL45" s="6"/>
      <c r="SZM45" s="6"/>
      <c r="SZN45" s="6"/>
      <c r="SZO45" s="6"/>
      <c r="SZP45" s="6"/>
      <c r="SZQ45" s="6"/>
      <c r="SZR45" s="6"/>
      <c r="SZS45" s="6"/>
      <c r="SZT45" s="6"/>
      <c r="SZU45" s="6"/>
      <c r="SZV45" s="6"/>
      <c r="SZW45" s="6"/>
      <c r="SZX45" s="6"/>
      <c r="SZY45" s="6"/>
      <c r="SZZ45" s="6"/>
      <c r="TAA45" s="6"/>
      <c r="TAB45" s="6"/>
      <c r="TAC45" s="6"/>
      <c r="TAD45" s="6"/>
      <c r="TAE45" s="6"/>
      <c r="TAF45" s="6"/>
      <c r="TAG45" s="6"/>
      <c r="TAH45" s="6"/>
      <c r="TAI45" s="6"/>
      <c r="TAJ45" s="6"/>
      <c r="TAK45" s="6"/>
      <c r="TAL45" s="6"/>
      <c r="TAM45" s="6"/>
      <c r="TAN45" s="6"/>
      <c r="TAO45" s="6"/>
      <c r="TAP45" s="6"/>
      <c r="TAQ45" s="6"/>
      <c r="TAR45" s="6"/>
      <c r="TAS45" s="6"/>
      <c r="TAT45" s="6"/>
      <c r="TAU45" s="6"/>
      <c r="TAV45" s="6"/>
      <c r="TAW45" s="6"/>
      <c r="TAX45" s="6"/>
      <c r="TAY45" s="6"/>
      <c r="TAZ45" s="6"/>
      <c r="TBA45" s="6"/>
      <c r="TBB45" s="6"/>
      <c r="TBC45" s="6"/>
      <c r="TBD45" s="6"/>
      <c r="TBE45" s="6"/>
      <c r="TBF45" s="6"/>
      <c r="TBG45" s="6"/>
      <c r="TBH45" s="6"/>
      <c r="TBI45" s="6"/>
      <c r="TBJ45" s="6"/>
      <c r="TBK45" s="6"/>
      <c r="TBL45" s="6"/>
      <c r="TBM45" s="6"/>
      <c r="TBN45" s="6"/>
      <c r="TBO45" s="6"/>
      <c r="TBP45" s="6"/>
      <c r="TBQ45" s="6"/>
      <c r="TBR45" s="6"/>
      <c r="TBS45" s="6"/>
      <c r="TBT45" s="6"/>
      <c r="TBU45" s="6"/>
      <c r="TBV45" s="6"/>
      <c r="TBW45" s="6"/>
      <c r="TBX45" s="6"/>
      <c r="TBY45" s="6"/>
      <c r="TBZ45" s="6"/>
      <c r="TCA45" s="6"/>
      <c r="TCB45" s="6"/>
      <c r="TCC45" s="6"/>
      <c r="TCD45" s="6"/>
      <c r="TCE45" s="6"/>
      <c r="TCF45" s="6"/>
      <c r="TCG45" s="6"/>
      <c r="TCH45" s="6"/>
      <c r="TCI45" s="6"/>
      <c r="TCJ45" s="6"/>
      <c r="TCK45" s="6"/>
      <c r="TCL45" s="6"/>
      <c r="TCM45" s="6"/>
      <c r="TCN45" s="6"/>
      <c r="TCO45" s="6"/>
      <c r="TCP45" s="6"/>
      <c r="TCQ45" s="6"/>
      <c r="TCR45" s="6"/>
      <c r="TCS45" s="6"/>
      <c r="TCT45" s="6"/>
      <c r="TCU45" s="6"/>
      <c r="TCV45" s="6"/>
      <c r="TCW45" s="6"/>
      <c r="TCX45" s="6"/>
      <c r="TCY45" s="6"/>
      <c r="TCZ45" s="6"/>
      <c r="TDA45" s="6"/>
      <c r="TDB45" s="6"/>
      <c r="TDC45" s="6"/>
      <c r="TDD45" s="6"/>
      <c r="TDE45" s="6"/>
      <c r="TDF45" s="6"/>
      <c r="TDG45" s="6"/>
      <c r="TDH45" s="6"/>
      <c r="TDI45" s="6"/>
      <c r="TDJ45" s="6"/>
      <c r="TDK45" s="6"/>
      <c r="TDL45" s="6"/>
      <c r="TDM45" s="6"/>
      <c r="TDN45" s="6"/>
      <c r="TDO45" s="6"/>
      <c r="TDP45" s="6"/>
      <c r="TDQ45" s="6"/>
      <c r="TDR45" s="6"/>
      <c r="TDS45" s="6"/>
      <c r="TDT45" s="6"/>
      <c r="TDU45" s="6"/>
      <c r="TDV45" s="6"/>
      <c r="TDW45" s="6"/>
      <c r="TDX45" s="6"/>
      <c r="TDY45" s="6"/>
      <c r="TDZ45" s="6"/>
      <c r="TEA45" s="6"/>
      <c r="TEB45" s="6"/>
      <c r="TEC45" s="6"/>
      <c r="TED45" s="6"/>
      <c r="TEE45" s="6"/>
      <c r="TEF45" s="6"/>
      <c r="TEG45" s="6"/>
      <c r="TEH45" s="6"/>
      <c r="TEI45" s="6"/>
      <c r="TEJ45" s="6"/>
      <c r="TEK45" s="6"/>
      <c r="TEL45" s="6"/>
      <c r="TEM45" s="6"/>
      <c r="TEN45" s="6"/>
      <c r="TEO45" s="6"/>
      <c r="TEP45" s="6"/>
      <c r="TEQ45" s="6"/>
      <c r="TER45" s="6"/>
      <c r="TES45" s="6"/>
      <c r="TET45" s="6"/>
      <c r="TEU45" s="6"/>
      <c r="TEV45" s="6"/>
      <c r="TEW45" s="6"/>
      <c r="TEX45" s="6"/>
      <c r="TEY45" s="6"/>
      <c r="TEZ45" s="6"/>
      <c r="TFA45" s="6"/>
      <c r="TFB45" s="6"/>
      <c r="TFC45" s="6"/>
      <c r="TFD45" s="6"/>
      <c r="TFE45" s="6"/>
      <c r="TFF45" s="6"/>
      <c r="TFG45" s="6"/>
      <c r="TFH45" s="6"/>
      <c r="TFI45" s="6"/>
      <c r="TFJ45" s="6"/>
      <c r="TFK45" s="6"/>
      <c r="TFL45" s="6"/>
      <c r="TFM45" s="6"/>
      <c r="TFN45" s="6"/>
      <c r="TFO45" s="6"/>
      <c r="TFP45" s="6"/>
      <c r="TFQ45" s="6"/>
      <c r="TFR45" s="6"/>
      <c r="TFS45" s="6"/>
      <c r="TFT45" s="6"/>
      <c r="TFU45" s="6"/>
      <c r="TFV45" s="6"/>
      <c r="TFW45" s="6"/>
      <c r="TFX45" s="6"/>
      <c r="TFY45" s="6"/>
      <c r="TFZ45" s="6"/>
      <c r="TGA45" s="6"/>
      <c r="TGB45" s="6"/>
      <c r="TGC45" s="6"/>
      <c r="TGD45" s="6"/>
      <c r="TGE45" s="6"/>
      <c r="TGF45" s="6"/>
      <c r="TGG45" s="6"/>
      <c r="TGH45" s="6"/>
      <c r="TGI45" s="6"/>
      <c r="TGJ45" s="6"/>
      <c r="TGK45" s="6"/>
      <c r="TGL45" s="6"/>
      <c r="TGM45" s="6"/>
      <c r="TGN45" s="6"/>
      <c r="TGO45" s="6"/>
      <c r="TGP45" s="6"/>
      <c r="TGQ45" s="6"/>
      <c r="TGR45" s="6"/>
      <c r="TGS45" s="6"/>
      <c r="TGT45" s="6"/>
      <c r="TGU45" s="6"/>
      <c r="TGV45" s="6"/>
      <c r="TGW45" s="6"/>
      <c r="TGX45" s="6"/>
      <c r="TGY45" s="6"/>
      <c r="TGZ45" s="6"/>
      <c r="THA45" s="6"/>
      <c r="THB45" s="6"/>
      <c r="THC45" s="6"/>
      <c r="THD45" s="6"/>
      <c r="THE45" s="6"/>
      <c r="THF45" s="6"/>
      <c r="THG45" s="6"/>
      <c r="THH45" s="6"/>
      <c r="THI45" s="6"/>
      <c r="THJ45" s="6"/>
      <c r="THK45" s="6"/>
      <c r="THL45" s="6"/>
      <c r="THM45" s="6"/>
      <c r="THN45" s="6"/>
      <c r="THO45" s="6"/>
      <c r="THP45" s="6"/>
      <c r="THQ45" s="6"/>
      <c r="THR45" s="6"/>
      <c r="THS45" s="6"/>
      <c r="THT45" s="6"/>
      <c r="THU45" s="6"/>
      <c r="THV45" s="6"/>
      <c r="THW45" s="6"/>
      <c r="THX45" s="6"/>
      <c r="THY45" s="6"/>
      <c r="THZ45" s="6"/>
      <c r="TIA45" s="6"/>
      <c r="TIB45" s="6"/>
      <c r="TIC45" s="6"/>
      <c r="TID45" s="6"/>
      <c r="TIE45" s="6"/>
      <c r="TIF45" s="6"/>
      <c r="TIG45" s="6"/>
      <c r="TIH45" s="6"/>
      <c r="TII45" s="6"/>
      <c r="TIJ45" s="6"/>
      <c r="TIK45" s="6"/>
      <c r="TIL45" s="6"/>
      <c r="TIM45" s="6"/>
      <c r="TIN45" s="6"/>
      <c r="TIO45" s="6"/>
      <c r="TIP45" s="6"/>
      <c r="TIQ45" s="6"/>
      <c r="TIR45" s="6"/>
      <c r="TIS45" s="6"/>
      <c r="TIT45" s="6"/>
      <c r="TIU45" s="6"/>
      <c r="TIV45" s="6"/>
      <c r="TIW45" s="6"/>
      <c r="TIX45" s="6"/>
      <c r="TIY45" s="6"/>
      <c r="TIZ45" s="6"/>
      <c r="TJA45" s="6"/>
      <c r="TJB45" s="6"/>
      <c r="TJC45" s="6"/>
      <c r="TJD45" s="6"/>
      <c r="TJE45" s="6"/>
      <c r="TJF45" s="6"/>
      <c r="TJG45" s="6"/>
      <c r="TJH45" s="6"/>
      <c r="TJI45" s="6"/>
      <c r="TJJ45" s="6"/>
      <c r="TJK45" s="6"/>
      <c r="TJL45" s="6"/>
      <c r="TJM45" s="6"/>
      <c r="TJN45" s="6"/>
      <c r="TJO45" s="6"/>
      <c r="TJP45" s="6"/>
      <c r="TJQ45" s="6"/>
      <c r="TJR45" s="6"/>
      <c r="TJS45" s="6"/>
      <c r="TJT45" s="6"/>
      <c r="TJU45" s="6"/>
      <c r="TJV45" s="6"/>
      <c r="TJW45" s="6"/>
      <c r="TJX45" s="6"/>
      <c r="TJY45" s="6"/>
      <c r="TJZ45" s="6"/>
      <c r="TKA45" s="6"/>
      <c r="TKB45" s="6"/>
      <c r="TKC45" s="6"/>
      <c r="TKD45" s="6"/>
      <c r="TKE45" s="6"/>
      <c r="TKF45" s="6"/>
      <c r="TKG45" s="6"/>
      <c r="TKH45" s="6"/>
      <c r="TKI45" s="6"/>
      <c r="TKJ45" s="6"/>
      <c r="TKK45" s="6"/>
      <c r="TKL45" s="6"/>
      <c r="TKM45" s="6"/>
      <c r="TKN45" s="6"/>
      <c r="TKO45" s="6"/>
      <c r="TKP45" s="6"/>
      <c r="TKQ45" s="6"/>
      <c r="TKR45" s="6"/>
      <c r="TKS45" s="6"/>
      <c r="TKT45" s="6"/>
      <c r="TKU45" s="6"/>
      <c r="TKV45" s="6"/>
      <c r="TKW45" s="6"/>
      <c r="TKX45" s="6"/>
      <c r="TKY45" s="6"/>
      <c r="TKZ45" s="6"/>
      <c r="TLA45" s="6"/>
      <c r="TLB45" s="6"/>
      <c r="TLC45" s="6"/>
      <c r="TLD45" s="6"/>
      <c r="TLE45" s="6"/>
      <c r="TLF45" s="6"/>
      <c r="TLG45" s="6"/>
      <c r="TLH45" s="6"/>
      <c r="TLI45" s="6"/>
      <c r="TLJ45" s="6"/>
      <c r="TLK45" s="6"/>
      <c r="TLL45" s="6"/>
      <c r="TLM45" s="6"/>
      <c r="TLN45" s="6"/>
      <c r="TLO45" s="6"/>
      <c r="TLP45" s="6"/>
      <c r="TLQ45" s="6"/>
      <c r="TLR45" s="6"/>
      <c r="TLS45" s="6"/>
      <c r="TLT45" s="6"/>
      <c r="TLU45" s="6"/>
      <c r="TLV45" s="6"/>
      <c r="TLW45" s="6"/>
      <c r="TLX45" s="6"/>
      <c r="TLY45" s="6"/>
      <c r="TLZ45" s="6"/>
      <c r="TMA45" s="6"/>
      <c r="TMB45" s="6"/>
      <c r="TMC45" s="6"/>
      <c r="TMD45" s="6"/>
      <c r="TME45" s="6"/>
      <c r="TMF45" s="6"/>
      <c r="TMG45" s="6"/>
      <c r="TMH45" s="6"/>
      <c r="TMI45" s="6"/>
      <c r="TMJ45" s="6"/>
      <c r="TMK45" s="6"/>
      <c r="TML45" s="6"/>
      <c r="TMM45" s="6"/>
      <c r="TMN45" s="6"/>
      <c r="TMO45" s="6"/>
      <c r="TMP45" s="6"/>
      <c r="TMQ45" s="6"/>
      <c r="TMR45" s="6"/>
      <c r="TMS45" s="6"/>
      <c r="TMT45" s="6"/>
      <c r="TMU45" s="6"/>
      <c r="TMV45" s="6"/>
      <c r="TMW45" s="6"/>
      <c r="TMX45" s="6"/>
      <c r="TMY45" s="6"/>
      <c r="TMZ45" s="6"/>
      <c r="TNA45" s="6"/>
      <c r="TNB45" s="6"/>
      <c r="TNC45" s="6"/>
      <c r="TND45" s="6"/>
      <c r="TNE45" s="6"/>
      <c r="TNF45" s="6"/>
      <c r="TNG45" s="6"/>
      <c r="TNH45" s="6"/>
      <c r="TNI45" s="6"/>
      <c r="TNJ45" s="6"/>
      <c r="TNK45" s="6"/>
      <c r="TNL45" s="6"/>
      <c r="TNM45" s="6"/>
      <c r="TNN45" s="6"/>
      <c r="TNO45" s="6"/>
      <c r="TNP45" s="6"/>
      <c r="TNQ45" s="6"/>
      <c r="TNR45" s="6"/>
      <c r="TNS45" s="6"/>
      <c r="TNT45" s="6"/>
      <c r="TNU45" s="6"/>
      <c r="TNV45" s="6"/>
      <c r="TNW45" s="6"/>
      <c r="TNX45" s="6"/>
      <c r="TNY45" s="6"/>
      <c r="TNZ45" s="6"/>
      <c r="TOA45" s="6"/>
      <c r="TOB45" s="6"/>
      <c r="TOC45" s="6"/>
      <c r="TOD45" s="6"/>
      <c r="TOE45" s="6"/>
      <c r="TOF45" s="6"/>
      <c r="TOG45" s="6"/>
      <c r="TOH45" s="6"/>
      <c r="TOI45" s="6"/>
      <c r="TOJ45" s="6"/>
      <c r="TOK45" s="6"/>
      <c r="TOL45" s="6"/>
      <c r="TOM45" s="6"/>
      <c r="TON45" s="6"/>
      <c r="TOO45" s="6"/>
      <c r="TOP45" s="6"/>
      <c r="TOQ45" s="6"/>
      <c r="TOR45" s="6"/>
      <c r="TOS45" s="6"/>
      <c r="TOT45" s="6"/>
      <c r="TOU45" s="6"/>
      <c r="TOV45" s="6"/>
      <c r="TOW45" s="6"/>
      <c r="TOX45" s="6"/>
      <c r="TOY45" s="6"/>
      <c r="TOZ45" s="6"/>
      <c r="TPA45" s="6"/>
      <c r="TPB45" s="6"/>
      <c r="TPC45" s="6"/>
      <c r="TPD45" s="6"/>
      <c r="TPE45" s="6"/>
      <c r="TPF45" s="6"/>
      <c r="TPG45" s="6"/>
      <c r="TPH45" s="6"/>
      <c r="TPI45" s="6"/>
      <c r="TPJ45" s="6"/>
      <c r="TPK45" s="6"/>
      <c r="TPL45" s="6"/>
      <c r="TPM45" s="6"/>
      <c r="TPN45" s="6"/>
      <c r="TPO45" s="6"/>
      <c r="TPP45" s="6"/>
      <c r="TPQ45" s="6"/>
      <c r="TPR45" s="6"/>
      <c r="TPS45" s="6"/>
      <c r="TPT45" s="6"/>
      <c r="TPU45" s="6"/>
      <c r="TPV45" s="6"/>
      <c r="TPW45" s="6"/>
      <c r="TPX45" s="6"/>
      <c r="TPY45" s="6"/>
      <c r="TPZ45" s="6"/>
      <c r="TQA45" s="6"/>
      <c r="TQB45" s="6"/>
      <c r="TQC45" s="6"/>
      <c r="TQD45" s="6"/>
      <c r="TQE45" s="6"/>
      <c r="TQF45" s="6"/>
      <c r="TQG45" s="6"/>
      <c r="TQH45" s="6"/>
      <c r="TQI45" s="6"/>
      <c r="TQJ45" s="6"/>
      <c r="TQK45" s="6"/>
      <c r="TQL45" s="6"/>
      <c r="TQM45" s="6"/>
      <c r="TQN45" s="6"/>
      <c r="TQO45" s="6"/>
      <c r="TQP45" s="6"/>
      <c r="TQQ45" s="6"/>
      <c r="TQR45" s="6"/>
      <c r="TQS45" s="6"/>
      <c r="TQT45" s="6"/>
      <c r="TQU45" s="6"/>
      <c r="TQV45" s="6"/>
      <c r="TQW45" s="6"/>
      <c r="TQX45" s="6"/>
      <c r="TQY45" s="6"/>
      <c r="TQZ45" s="6"/>
      <c r="TRA45" s="6"/>
      <c r="TRB45" s="6"/>
      <c r="TRC45" s="6"/>
      <c r="TRD45" s="6"/>
      <c r="TRE45" s="6"/>
      <c r="TRF45" s="6"/>
      <c r="TRG45" s="6"/>
      <c r="TRH45" s="6"/>
      <c r="TRI45" s="6"/>
      <c r="TRJ45" s="6"/>
      <c r="TRK45" s="6"/>
      <c r="TRL45" s="6"/>
      <c r="TRM45" s="6"/>
      <c r="TRN45" s="6"/>
      <c r="TRO45" s="6"/>
      <c r="TRP45" s="6"/>
      <c r="TRQ45" s="6"/>
      <c r="TRR45" s="6"/>
      <c r="TRS45" s="6"/>
      <c r="TRT45" s="6"/>
      <c r="TRU45" s="6"/>
      <c r="TRV45" s="6"/>
      <c r="TRW45" s="6"/>
      <c r="TRX45" s="6"/>
      <c r="TRY45" s="6"/>
      <c r="TRZ45" s="6"/>
      <c r="TSA45" s="6"/>
      <c r="TSB45" s="6"/>
      <c r="TSC45" s="6"/>
      <c r="TSD45" s="6"/>
      <c r="TSE45" s="6"/>
      <c r="TSF45" s="6"/>
      <c r="TSG45" s="6"/>
      <c r="TSH45" s="6"/>
      <c r="TSI45" s="6"/>
      <c r="TSJ45" s="6"/>
      <c r="TSK45" s="6"/>
      <c r="TSL45" s="6"/>
      <c r="TSM45" s="6"/>
      <c r="TSN45" s="6"/>
      <c r="TSO45" s="6"/>
      <c r="TSP45" s="6"/>
      <c r="TSQ45" s="6"/>
      <c r="TSR45" s="6"/>
      <c r="TSS45" s="6"/>
      <c r="TST45" s="6"/>
      <c r="TSU45" s="6"/>
      <c r="TSV45" s="6"/>
      <c r="TSW45" s="6"/>
      <c r="TSX45" s="6"/>
      <c r="TSY45" s="6"/>
      <c r="TSZ45" s="6"/>
      <c r="TTA45" s="6"/>
      <c r="TTB45" s="6"/>
      <c r="TTC45" s="6"/>
      <c r="TTD45" s="6"/>
      <c r="TTE45" s="6"/>
      <c r="TTF45" s="6"/>
      <c r="TTG45" s="6"/>
      <c r="TTH45" s="6"/>
      <c r="TTI45" s="6"/>
      <c r="TTJ45" s="6"/>
      <c r="TTK45" s="6"/>
      <c r="TTL45" s="6"/>
      <c r="TTM45" s="6"/>
      <c r="TTN45" s="6"/>
      <c r="TTO45" s="6"/>
      <c r="TTP45" s="6"/>
      <c r="TTQ45" s="6"/>
      <c r="TTR45" s="6"/>
      <c r="TTS45" s="6"/>
      <c r="TTT45" s="6"/>
      <c r="TTU45" s="6"/>
      <c r="TTV45" s="6"/>
      <c r="TTW45" s="6"/>
      <c r="TTX45" s="6"/>
      <c r="TTY45" s="6"/>
      <c r="TTZ45" s="6"/>
      <c r="TUA45" s="6"/>
      <c r="TUB45" s="6"/>
      <c r="TUC45" s="6"/>
      <c r="TUD45" s="6"/>
      <c r="TUE45" s="6"/>
      <c r="TUF45" s="6"/>
      <c r="TUG45" s="6"/>
      <c r="TUH45" s="6"/>
      <c r="TUI45" s="6"/>
      <c r="TUJ45" s="6"/>
      <c r="TUK45" s="6"/>
      <c r="TUL45" s="6"/>
      <c r="TUM45" s="6"/>
      <c r="TUN45" s="6"/>
      <c r="TUO45" s="6"/>
      <c r="TUP45" s="6"/>
      <c r="TUQ45" s="6"/>
      <c r="TUR45" s="6"/>
      <c r="TUS45" s="6"/>
      <c r="TUT45" s="6"/>
      <c r="TUU45" s="6"/>
      <c r="TUV45" s="6"/>
      <c r="TUW45" s="6"/>
      <c r="TUX45" s="6"/>
      <c r="TUY45" s="6"/>
      <c r="TUZ45" s="6"/>
      <c r="TVA45" s="6"/>
      <c r="TVB45" s="6"/>
      <c r="TVC45" s="6"/>
      <c r="TVD45" s="6"/>
      <c r="TVE45" s="6"/>
      <c r="TVF45" s="6"/>
      <c r="TVG45" s="6"/>
      <c r="TVH45" s="6"/>
      <c r="TVI45" s="6"/>
      <c r="TVJ45" s="6"/>
      <c r="TVK45" s="6"/>
      <c r="TVL45" s="6"/>
      <c r="TVM45" s="6"/>
      <c r="TVN45" s="6"/>
      <c r="TVO45" s="6"/>
      <c r="TVP45" s="6"/>
      <c r="TVQ45" s="6"/>
      <c r="TVR45" s="6"/>
      <c r="TVS45" s="6"/>
      <c r="TVT45" s="6"/>
      <c r="TVU45" s="6"/>
      <c r="TVV45" s="6"/>
      <c r="TVW45" s="6"/>
      <c r="TVX45" s="6"/>
      <c r="TVY45" s="6"/>
      <c r="TVZ45" s="6"/>
      <c r="TWA45" s="6"/>
      <c r="TWB45" s="6"/>
      <c r="TWC45" s="6"/>
      <c r="TWD45" s="6"/>
      <c r="TWE45" s="6"/>
      <c r="TWF45" s="6"/>
      <c r="TWG45" s="6"/>
      <c r="TWH45" s="6"/>
      <c r="TWI45" s="6"/>
      <c r="TWJ45" s="6"/>
      <c r="TWK45" s="6"/>
      <c r="TWL45" s="6"/>
      <c r="TWM45" s="6"/>
      <c r="TWN45" s="6"/>
      <c r="TWO45" s="6"/>
      <c r="TWP45" s="6"/>
      <c r="TWQ45" s="6"/>
      <c r="TWR45" s="6"/>
      <c r="TWS45" s="6"/>
      <c r="TWT45" s="6"/>
      <c r="TWU45" s="6"/>
      <c r="TWV45" s="6"/>
      <c r="TWW45" s="6"/>
      <c r="TWX45" s="6"/>
      <c r="TWY45" s="6"/>
      <c r="TWZ45" s="6"/>
      <c r="TXA45" s="6"/>
      <c r="TXB45" s="6"/>
      <c r="TXC45" s="6"/>
      <c r="TXD45" s="6"/>
      <c r="TXE45" s="6"/>
      <c r="TXF45" s="6"/>
      <c r="TXG45" s="6"/>
      <c r="TXH45" s="6"/>
      <c r="TXI45" s="6"/>
      <c r="TXJ45" s="6"/>
      <c r="TXK45" s="6"/>
      <c r="TXL45" s="6"/>
      <c r="TXM45" s="6"/>
      <c r="TXN45" s="6"/>
      <c r="TXO45" s="6"/>
      <c r="TXP45" s="6"/>
      <c r="TXQ45" s="6"/>
      <c r="TXR45" s="6"/>
      <c r="TXS45" s="6"/>
      <c r="TXT45" s="6"/>
      <c r="TXU45" s="6"/>
      <c r="TXV45" s="6"/>
      <c r="TXW45" s="6"/>
      <c r="TXX45" s="6"/>
      <c r="TXY45" s="6"/>
      <c r="TXZ45" s="6"/>
      <c r="TYA45" s="6"/>
      <c r="TYB45" s="6"/>
      <c r="TYC45" s="6"/>
      <c r="TYD45" s="6"/>
      <c r="TYE45" s="6"/>
      <c r="TYF45" s="6"/>
      <c r="TYG45" s="6"/>
      <c r="TYH45" s="6"/>
      <c r="TYI45" s="6"/>
      <c r="TYJ45" s="6"/>
      <c r="TYK45" s="6"/>
      <c r="TYL45" s="6"/>
      <c r="TYM45" s="6"/>
      <c r="TYN45" s="6"/>
      <c r="TYO45" s="6"/>
      <c r="TYP45" s="6"/>
      <c r="TYQ45" s="6"/>
      <c r="TYR45" s="6"/>
      <c r="TYS45" s="6"/>
      <c r="TYT45" s="6"/>
      <c r="TYU45" s="6"/>
      <c r="TYV45" s="6"/>
      <c r="TYW45" s="6"/>
      <c r="TYX45" s="6"/>
      <c r="TYY45" s="6"/>
      <c r="TYZ45" s="6"/>
      <c r="TZA45" s="6"/>
      <c r="TZB45" s="6"/>
      <c r="TZC45" s="6"/>
      <c r="TZD45" s="6"/>
      <c r="TZE45" s="6"/>
      <c r="TZF45" s="6"/>
      <c r="TZG45" s="6"/>
      <c r="TZH45" s="6"/>
      <c r="TZI45" s="6"/>
      <c r="TZJ45" s="6"/>
      <c r="TZK45" s="6"/>
      <c r="TZL45" s="6"/>
      <c r="TZM45" s="6"/>
      <c r="TZN45" s="6"/>
      <c r="TZO45" s="6"/>
      <c r="TZP45" s="6"/>
      <c r="TZQ45" s="6"/>
      <c r="TZR45" s="6"/>
      <c r="TZS45" s="6"/>
      <c r="TZT45" s="6"/>
      <c r="TZU45" s="6"/>
      <c r="TZV45" s="6"/>
      <c r="TZW45" s="6"/>
      <c r="TZX45" s="6"/>
      <c r="TZY45" s="6"/>
      <c r="TZZ45" s="6"/>
      <c r="UAA45" s="6"/>
      <c r="UAB45" s="6"/>
      <c r="UAC45" s="6"/>
      <c r="UAD45" s="6"/>
      <c r="UAE45" s="6"/>
      <c r="UAF45" s="6"/>
      <c r="UAG45" s="6"/>
      <c r="UAH45" s="6"/>
      <c r="UAI45" s="6"/>
      <c r="UAJ45" s="6"/>
      <c r="UAK45" s="6"/>
      <c r="UAL45" s="6"/>
      <c r="UAM45" s="6"/>
      <c r="UAN45" s="6"/>
      <c r="UAO45" s="6"/>
      <c r="UAP45" s="6"/>
      <c r="UAQ45" s="6"/>
      <c r="UAR45" s="6"/>
      <c r="UAS45" s="6"/>
      <c r="UAT45" s="6"/>
      <c r="UAU45" s="6"/>
      <c r="UAV45" s="6"/>
      <c r="UAW45" s="6"/>
      <c r="UAX45" s="6"/>
      <c r="UAY45" s="6"/>
      <c r="UAZ45" s="6"/>
      <c r="UBA45" s="6"/>
      <c r="UBB45" s="6"/>
      <c r="UBC45" s="6"/>
      <c r="UBD45" s="6"/>
      <c r="UBE45" s="6"/>
      <c r="UBF45" s="6"/>
      <c r="UBG45" s="6"/>
      <c r="UBH45" s="6"/>
      <c r="UBI45" s="6"/>
      <c r="UBJ45" s="6"/>
      <c r="UBK45" s="6"/>
      <c r="UBL45" s="6"/>
      <c r="UBM45" s="6"/>
      <c r="UBN45" s="6"/>
      <c r="UBO45" s="6"/>
      <c r="UBP45" s="6"/>
      <c r="UBQ45" s="6"/>
      <c r="UBR45" s="6"/>
      <c r="UBS45" s="6"/>
      <c r="UBT45" s="6"/>
      <c r="UBU45" s="6"/>
      <c r="UBV45" s="6"/>
      <c r="UBW45" s="6"/>
      <c r="UBX45" s="6"/>
      <c r="UBY45" s="6"/>
      <c r="UBZ45" s="6"/>
      <c r="UCA45" s="6"/>
      <c r="UCB45" s="6"/>
      <c r="UCC45" s="6"/>
      <c r="UCD45" s="6"/>
      <c r="UCE45" s="6"/>
      <c r="UCF45" s="6"/>
      <c r="UCG45" s="6"/>
      <c r="UCH45" s="6"/>
      <c r="UCI45" s="6"/>
      <c r="UCJ45" s="6"/>
      <c r="UCK45" s="6"/>
      <c r="UCL45" s="6"/>
      <c r="UCM45" s="6"/>
      <c r="UCN45" s="6"/>
      <c r="UCO45" s="6"/>
      <c r="UCP45" s="6"/>
      <c r="UCQ45" s="6"/>
      <c r="UCR45" s="6"/>
      <c r="UCS45" s="6"/>
      <c r="UCT45" s="6"/>
      <c r="UCU45" s="6"/>
      <c r="UCV45" s="6"/>
      <c r="UCW45" s="6"/>
      <c r="UCX45" s="6"/>
      <c r="UCY45" s="6"/>
      <c r="UCZ45" s="6"/>
      <c r="UDA45" s="6"/>
      <c r="UDB45" s="6"/>
      <c r="UDC45" s="6"/>
      <c r="UDD45" s="6"/>
      <c r="UDE45" s="6"/>
      <c r="UDF45" s="6"/>
      <c r="UDG45" s="6"/>
      <c r="UDH45" s="6"/>
      <c r="UDI45" s="6"/>
      <c r="UDJ45" s="6"/>
      <c r="UDK45" s="6"/>
      <c r="UDL45" s="6"/>
      <c r="UDM45" s="6"/>
      <c r="UDN45" s="6"/>
      <c r="UDO45" s="6"/>
      <c r="UDP45" s="6"/>
      <c r="UDQ45" s="6"/>
      <c r="UDR45" s="6"/>
      <c r="UDS45" s="6"/>
      <c r="UDT45" s="6"/>
      <c r="UDU45" s="6"/>
      <c r="UDV45" s="6"/>
      <c r="UDW45" s="6"/>
      <c r="UDX45" s="6"/>
      <c r="UDY45" s="6"/>
      <c r="UDZ45" s="6"/>
      <c r="UEA45" s="6"/>
      <c r="UEB45" s="6"/>
      <c r="UEC45" s="6"/>
      <c r="UED45" s="6"/>
      <c r="UEE45" s="6"/>
      <c r="UEF45" s="6"/>
      <c r="UEG45" s="6"/>
      <c r="UEH45" s="6"/>
      <c r="UEI45" s="6"/>
      <c r="UEJ45" s="6"/>
      <c r="UEK45" s="6"/>
      <c r="UEL45" s="6"/>
      <c r="UEM45" s="6"/>
      <c r="UEN45" s="6"/>
      <c r="UEO45" s="6"/>
      <c r="UEP45" s="6"/>
      <c r="UEQ45" s="6"/>
      <c r="UER45" s="6"/>
      <c r="UES45" s="6"/>
      <c r="UET45" s="6"/>
      <c r="UEU45" s="6"/>
      <c r="UEV45" s="6"/>
      <c r="UEW45" s="6"/>
      <c r="UEX45" s="6"/>
      <c r="UEY45" s="6"/>
      <c r="UEZ45" s="6"/>
      <c r="UFA45" s="6"/>
      <c r="UFB45" s="6"/>
      <c r="UFC45" s="6"/>
      <c r="UFD45" s="6"/>
      <c r="UFE45" s="6"/>
      <c r="UFF45" s="6"/>
      <c r="UFG45" s="6"/>
      <c r="UFH45" s="6"/>
      <c r="UFI45" s="6"/>
      <c r="UFJ45" s="6"/>
      <c r="UFK45" s="6"/>
      <c r="UFL45" s="6"/>
      <c r="UFM45" s="6"/>
      <c r="UFN45" s="6"/>
      <c r="UFO45" s="6"/>
      <c r="UFP45" s="6"/>
      <c r="UFQ45" s="6"/>
      <c r="UFR45" s="6"/>
      <c r="UFS45" s="6"/>
      <c r="UFT45" s="6"/>
      <c r="UFU45" s="6"/>
      <c r="UFV45" s="6"/>
      <c r="UFW45" s="6"/>
      <c r="UFX45" s="6"/>
      <c r="UFY45" s="6"/>
      <c r="UFZ45" s="6"/>
      <c r="UGA45" s="6"/>
      <c r="UGB45" s="6"/>
      <c r="UGC45" s="6"/>
      <c r="UGD45" s="6"/>
      <c r="UGE45" s="6"/>
      <c r="UGF45" s="6"/>
      <c r="UGG45" s="6"/>
      <c r="UGH45" s="6"/>
      <c r="UGI45" s="6"/>
      <c r="UGJ45" s="6"/>
      <c r="UGK45" s="6"/>
      <c r="UGL45" s="6"/>
      <c r="UGM45" s="6"/>
      <c r="UGN45" s="6"/>
      <c r="UGO45" s="6"/>
      <c r="UGP45" s="6"/>
      <c r="UGQ45" s="6"/>
      <c r="UGR45" s="6"/>
      <c r="UGS45" s="6"/>
      <c r="UGT45" s="6"/>
      <c r="UGU45" s="6"/>
      <c r="UGV45" s="6"/>
      <c r="UGW45" s="6"/>
      <c r="UGX45" s="6"/>
      <c r="UGY45" s="6"/>
      <c r="UGZ45" s="6"/>
      <c r="UHA45" s="6"/>
      <c r="UHB45" s="6"/>
      <c r="UHC45" s="6"/>
      <c r="UHD45" s="6"/>
      <c r="UHE45" s="6"/>
      <c r="UHF45" s="6"/>
      <c r="UHG45" s="6"/>
      <c r="UHH45" s="6"/>
      <c r="UHI45" s="6"/>
      <c r="UHJ45" s="6"/>
      <c r="UHK45" s="6"/>
      <c r="UHL45" s="6"/>
      <c r="UHM45" s="6"/>
      <c r="UHN45" s="6"/>
      <c r="UHO45" s="6"/>
      <c r="UHP45" s="6"/>
      <c r="UHQ45" s="6"/>
      <c r="UHR45" s="6"/>
      <c r="UHS45" s="6"/>
      <c r="UHT45" s="6"/>
      <c r="UHU45" s="6"/>
      <c r="UHV45" s="6"/>
      <c r="UHW45" s="6"/>
      <c r="UHX45" s="6"/>
      <c r="UHY45" s="6"/>
      <c r="UHZ45" s="6"/>
      <c r="UIA45" s="6"/>
      <c r="UIB45" s="6"/>
      <c r="UIC45" s="6"/>
      <c r="UID45" s="6"/>
      <c r="UIE45" s="6"/>
      <c r="UIF45" s="6"/>
      <c r="UIG45" s="6"/>
      <c r="UIH45" s="6"/>
      <c r="UII45" s="6"/>
      <c r="UIJ45" s="6"/>
      <c r="UIK45" s="6"/>
      <c r="UIL45" s="6"/>
      <c r="UIM45" s="6"/>
      <c r="UIN45" s="6"/>
      <c r="UIO45" s="6"/>
      <c r="UIP45" s="6"/>
      <c r="UIQ45" s="6"/>
      <c r="UIR45" s="6"/>
      <c r="UIS45" s="6"/>
      <c r="UIT45" s="6"/>
      <c r="UIU45" s="6"/>
      <c r="UIV45" s="6"/>
      <c r="UIW45" s="6"/>
      <c r="UIX45" s="6"/>
      <c r="UIY45" s="6"/>
      <c r="UIZ45" s="6"/>
      <c r="UJA45" s="6"/>
      <c r="UJB45" s="6"/>
      <c r="UJC45" s="6"/>
      <c r="UJD45" s="6"/>
      <c r="UJE45" s="6"/>
      <c r="UJF45" s="6"/>
      <c r="UJG45" s="6"/>
      <c r="UJH45" s="6"/>
      <c r="UJI45" s="6"/>
      <c r="UJJ45" s="6"/>
      <c r="UJK45" s="6"/>
      <c r="UJL45" s="6"/>
      <c r="UJM45" s="6"/>
      <c r="UJN45" s="6"/>
      <c r="UJO45" s="6"/>
      <c r="UJP45" s="6"/>
      <c r="UJQ45" s="6"/>
      <c r="UJR45" s="6"/>
      <c r="UJS45" s="6"/>
      <c r="UJT45" s="6"/>
      <c r="UJU45" s="6"/>
      <c r="UJV45" s="6"/>
      <c r="UJW45" s="6"/>
      <c r="UJX45" s="6"/>
      <c r="UJY45" s="6"/>
      <c r="UJZ45" s="6"/>
      <c r="UKA45" s="6"/>
      <c r="UKB45" s="6"/>
      <c r="UKC45" s="6"/>
      <c r="UKD45" s="6"/>
      <c r="UKE45" s="6"/>
      <c r="UKF45" s="6"/>
      <c r="UKG45" s="6"/>
      <c r="UKH45" s="6"/>
      <c r="UKI45" s="6"/>
      <c r="UKJ45" s="6"/>
      <c r="UKK45" s="6"/>
      <c r="UKL45" s="6"/>
      <c r="UKM45" s="6"/>
      <c r="UKN45" s="6"/>
      <c r="UKO45" s="6"/>
      <c r="UKP45" s="6"/>
      <c r="UKQ45" s="6"/>
      <c r="UKR45" s="6"/>
      <c r="UKS45" s="6"/>
      <c r="UKT45" s="6"/>
      <c r="UKU45" s="6"/>
      <c r="UKV45" s="6"/>
      <c r="UKW45" s="6"/>
      <c r="UKX45" s="6"/>
      <c r="UKY45" s="6"/>
      <c r="UKZ45" s="6"/>
      <c r="ULA45" s="6"/>
      <c r="ULB45" s="6"/>
      <c r="ULC45" s="6"/>
      <c r="ULD45" s="6"/>
      <c r="ULE45" s="6"/>
      <c r="ULF45" s="6"/>
      <c r="ULG45" s="6"/>
      <c r="ULH45" s="6"/>
      <c r="ULI45" s="6"/>
      <c r="ULJ45" s="6"/>
      <c r="ULK45" s="6"/>
      <c r="ULL45" s="6"/>
      <c r="ULM45" s="6"/>
      <c r="ULN45" s="6"/>
      <c r="ULO45" s="6"/>
      <c r="ULP45" s="6"/>
      <c r="ULQ45" s="6"/>
      <c r="ULR45" s="6"/>
      <c r="ULS45" s="6"/>
      <c r="ULT45" s="6"/>
      <c r="ULU45" s="6"/>
      <c r="ULV45" s="6"/>
      <c r="ULW45" s="6"/>
      <c r="ULX45" s="6"/>
      <c r="ULY45" s="6"/>
      <c r="ULZ45" s="6"/>
      <c r="UMA45" s="6"/>
      <c r="UMB45" s="6"/>
      <c r="UMC45" s="6"/>
      <c r="UMD45" s="6"/>
      <c r="UME45" s="6"/>
      <c r="UMF45" s="6"/>
      <c r="UMG45" s="6"/>
      <c r="UMH45" s="6"/>
      <c r="UMI45" s="6"/>
      <c r="UMJ45" s="6"/>
      <c r="UMK45" s="6"/>
      <c r="UML45" s="6"/>
      <c r="UMM45" s="6"/>
      <c r="UMN45" s="6"/>
      <c r="UMO45" s="6"/>
      <c r="UMP45" s="6"/>
      <c r="UMQ45" s="6"/>
      <c r="UMR45" s="6"/>
      <c r="UMS45" s="6"/>
      <c r="UMT45" s="6"/>
      <c r="UMU45" s="6"/>
      <c r="UMV45" s="6"/>
      <c r="UMW45" s="6"/>
      <c r="UMX45" s="6"/>
      <c r="UMY45" s="6"/>
      <c r="UMZ45" s="6"/>
      <c r="UNA45" s="6"/>
      <c r="UNB45" s="6"/>
      <c r="UNC45" s="6"/>
      <c r="UND45" s="6"/>
      <c r="UNE45" s="6"/>
      <c r="UNF45" s="6"/>
      <c r="UNG45" s="6"/>
      <c r="UNH45" s="6"/>
      <c r="UNI45" s="6"/>
      <c r="UNJ45" s="6"/>
      <c r="UNK45" s="6"/>
      <c r="UNL45" s="6"/>
      <c r="UNM45" s="6"/>
      <c r="UNN45" s="6"/>
      <c r="UNO45" s="6"/>
      <c r="UNP45" s="6"/>
      <c r="UNQ45" s="6"/>
      <c r="UNR45" s="6"/>
      <c r="UNS45" s="6"/>
      <c r="UNT45" s="6"/>
      <c r="UNU45" s="6"/>
      <c r="UNV45" s="6"/>
      <c r="UNW45" s="6"/>
      <c r="UNX45" s="6"/>
      <c r="UNY45" s="6"/>
      <c r="UNZ45" s="6"/>
      <c r="UOA45" s="6"/>
      <c r="UOB45" s="6"/>
      <c r="UOC45" s="6"/>
      <c r="UOD45" s="6"/>
      <c r="UOE45" s="6"/>
      <c r="UOF45" s="6"/>
      <c r="UOG45" s="6"/>
      <c r="UOH45" s="6"/>
      <c r="UOI45" s="6"/>
      <c r="UOJ45" s="6"/>
      <c r="UOK45" s="6"/>
      <c r="UOL45" s="6"/>
      <c r="UOM45" s="6"/>
      <c r="UON45" s="6"/>
      <c r="UOO45" s="6"/>
      <c r="UOP45" s="6"/>
      <c r="UOQ45" s="6"/>
      <c r="UOR45" s="6"/>
      <c r="UOS45" s="6"/>
      <c r="UOT45" s="6"/>
      <c r="UOU45" s="6"/>
      <c r="UOV45" s="6"/>
      <c r="UOW45" s="6"/>
      <c r="UOX45" s="6"/>
      <c r="UOY45" s="6"/>
      <c r="UOZ45" s="6"/>
      <c r="UPA45" s="6"/>
      <c r="UPB45" s="6"/>
      <c r="UPC45" s="6"/>
      <c r="UPD45" s="6"/>
      <c r="UPE45" s="6"/>
      <c r="UPF45" s="6"/>
      <c r="UPG45" s="6"/>
      <c r="UPH45" s="6"/>
      <c r="UPI45" s="6"/>
      <c r="UPJ45" s="6"/>
      <c r="UPK45" s="6"/>
      <c r="UPL45" s="6"/>
      <c r="UPM45" s="6"/>
      <c r="UPN45" s="6"/>
      <c r="UPO45" s="6"/>
      <c r="UPP45" s="6"/>
      <c r="UPQ45" s="6"/>
      <c r="UPR45" s="6"/>
      <c r="UPS45" s="6"/>
      <c r="UPT45" s="6"/>
      <c r="UPU45" s="6"/>
      <c r="UPV45" s="6"/>
      <c r="UPW45" s="6"/>
      <c r="UPX45" s="6"/>
      <c r="UPY45" s="6"/>
      <c r="UPZ45" s="6"/>
      <c r="UQA45" s="6"/>
      <c r="UQB45" s="6"/>
      <c r="UQC45" s="6"/>
      <c r="UQD45" s="6"/>
      <c r="UQE45" s="6"/>
      <c r="UQF45" s="6"/>
      <c r="UQG45" s="6"/>
      <c r="UQH45" s="6"/>
      <c r="UQI45" s="6"/>
      <c r="UQJ45" s="6"/>
      <c r="UQK45" s="6"/>
      <c r="UQL45" s="6"/>
      <c r="UQM45" s="6"/>
      <c r="UQN45" s="6"/>
      <c r="UQO45" s="6"/>
      <c r="UQP45" s="6"/>
      <c r="UQQ45" s="6"/>
      <c r="UQR45" s="6"/>
      <c r="UQS45" s="6"/>
      <c r="UQT45" s="6"/>
      <c r="UQU45" s="6"/>
      <c r="UQV45" s="6"/>
      <c r="UQW45" s="6"/>
      <c r="UQX45" s="6"/>
      <c r="UQY45" s="6"/>
      <c r="UQZ45" s="6"/>
      <c r="URA45" s="6"/>
      <c r="URB45" s="6"/>
      <c r="URC45" s="6"/>
      <c r="URD45" s="6"/>
      <c r="URE45" s="6"/>
      <c r="URF45" s="6"/>
      <c r="URG45" s="6"/>
      <c r="URH45" s="6"/>
      <c r="URI45" s="6"/>
      <c r="URJ45" s="6"/>
      <c r="URK45" s="6"/>
      <c r="URL45" s="6"/>
      <c r="URM45" s="6"/>
      <c r="URN45" s="6"/>
      <c r="URO45" s="6"/>
      <c r="URP45" s="6"/>
      <c r="URQ45" s="6"/>
      <c r="URR45" s="6"/>
      <c r="URS45" s="6"/>
      <c r="URT45" s="6"/>
      <c r="URU45" s="6"/>
      <c r="URV45" s="6"/>
      <c r="URW45" s="6"/>
      <c r="URX45" s="6"/>
      <c r="URY45" s="6"/>
      <c r="URZ45" s="6"/>
      <c r="USA45" s="6"/>
      <c r="USB45" s="6"/>
      <c r="USC45" s="6"/>
      <c r="USD45" s="6"/>
      <c r="USE45" s="6"/>
      <c r="USF45" s="6"/>
      <c r="USG45" s="6"/>
      <c r="USH45" s="6"/>
      <c r="USI45" s="6"/>
      <c r="USJ45" s="6"/>
      <c r="USK45" s="6"/>
      <c r="USL45" s="6"/>
      <c r="USM45" s="6"/>
      <c r="USN45" s="6"/>
      <c r="USO45" s="6"/>
      <c r="USP45" s="6"/>
      <c r="USQ45" s="6"/>
      <c r="USR45" s="6"/>
      <c r="USS45" s="6"/>
      <c r="UST45" s="6"/>
      <c r="USU45" s="6"/>
      <c r="USV45" s="6"/>
      <c r="USW45" s="6"/>
      <c r="USX45" s="6"/>
      <c r="USY45" s="6"/>
      <c r="USZ45" s="6"/>
      <c r="UTA45" s="6"/>
      <c r="UTB45" s="6"/>
      <c r="UTC45" s="6"/>
      <c r="UTD45" s="6"/>
      <c r="UTE45" s="6"/>
      <c r="UTF45" s="6"/>
      <c r="UTG45" s="6"/>
      <c r="UTH45" s="6"/>
      <c r="UTI45" s="6"/>
      <c r="UTJ45" s="6"/>
      <c r="UTK45" s="6"/>
      <c r="UTL45" s="6"/>
      <c r="UTM45" s="6"/>
      <c r="UTN45" s="6"/>
      <c r="UTO45" s="6"/>
      <c r="UTP45" s="6"/>
      <c r="UTQ45" s="6"/>
      <c r="UTR45" s="6"/>
      <c r="UTS45" s="6"/>
      <c r="UTT45" s="6"/>
      <c r="UTU45" s="6"/>
      <c r="UTV45" s="6"/>
      <c r="UTW45" s="6"/>
      <c r="UTX45" s="6"/>
      <c r="UTY45" s="6"/>
      <c r="UTZ45" s="6"/>
      <c r="UUA45" s="6"/>
      <c r="UUB45" s="6"/>
      <c r="UUC45" s="6"/>
      <c r="UUD45" s="6"/>
      <c r="UUE45" s="6"/>
      <c r="UUF45" s="6"/>
      <c r="UUG45" s="6"/>
      <c r="UUH45" s="6"/>
      <c r="UUI45" s="6"/>
      <c r="UUJ45" s="6"/>
      <c r="UUK45" s="6"/>
      <c r="UUL45" s="6"/>
      <c r="UUM45" s="6"/>
      <c r="UUN45" s="6"/>
      <c r="UUO45" s="6"/>
      <c r="UUP45" s="6"/>
      <c r="UUQ45" s="6"/>
      <c r="UUR45" s="6"/>
      <c r="UUS45" s="6"/>
      <c r="UUT45" s="6"/>
      <c r="UUU45" s="6"/>
      <c r="UUV45" s="6"/>
      <c r="UUW45" s="6"/>
      <c r="UUX45" s="6"/>
      <c r="UUY45" s="6"/>
      <c r="UUZ45" s="6"/>
      <c r="UVA45" s="6"/>
      <c r="UVB45" s="6"/>
      <c r="UVC45" s="6"/>
      <c r="UVD45" s="6"/>
      <c r="UVE45" s="6"/>
      <c r="UVF45" s="6"/>
      <c r="UVG45" s="6"/>
      <c r="UVH45" s="6"/>
      <c r="UVI45" s="6"/>
      <c r="UVJ45" s="6"/>
      <c r="UVK45" s="6"/>
      <c r="UVL45" s="6"/>
      <c r="UVM45" s="6"/>
      <c r="UVN45" s="6"/>
      <c r="UVO45" s="6"/>
      <c r="UVP45" s="6"/>
      <c r="UVQ45" s="6"/>
      <c r="UVR45" s="6"/>
      <c r="UVS45" s="6"/>
      <c r="UVT45" s="6"/>
      <c r="UVU45" s="6"/>
      <c r="UVV45" s="6"/>
      <c r="UVW45" s="6"/>
      <c r="UVX45" s="6"/>
      <c r="UVY45" s="6"/>
      <c r="UVZ45" s="6"/>
      <c r="UWA45" s="6"/>
      <c r="UWB45" s="6"/>
      <c r="UWC45" s="6"/>
      <c r="UWD45" s="6"/>
      <c r="UWE45" s="6"/>
      <c r="UWF45" s="6"/>
      <c r="UWG45" s="6"/>
      <c r="UWH45" s="6"/>
      <c r="UWI45" s="6"/>
      <c r="UWJ45" s="6"/>
      <c r="UWK45" s="6"/>
      <c r="UWL45" s="6"/>
      <c r="UWM45" s="6"/>
      <c r="UWN45" s="6"/>
      <c r="UWO45" s="6"/>
      <c r="UWP45" s="6"/>
      <c r="UWQ45" s="6"/>
      <c r="UWR45" s="6"/>
      <c r="UWS45" s="6"/>
      <c r="UWT45" s="6"/>
      <c r="UWU45" s="6"/>
      <c r="UWV45" s="6"/>
      <c r="UWW45" s="6"/>
      <c r="UWX45" s="6"/>
      <c r="UWY45" s="6"/>
      <c r="UWZ45" s="6"/>
      <c r="UXA45" s="6"/>
      <c r="UXB45" s="6"/>
      <c r="UXC45" s="6"/>
      <c r="UXD45" s="6"/>
      <c r="UXE45" s="6"/>
      <c r="UXF45" s="6"/>
      <c r="UXG45" s="6"/>
      <c r="UXH45" s="6"/>
      <c r="UXI45" s="6"/>
      <c r="UXJ45" s="6"/>
      <c r="UXK45" s="6"/>
      <c r="UXL45" s="6"/>
      <c r="UXM45" s="6"/>
      <c r="UXN45" s="6"/>
      <c r="UXO45" s="6"/>
      <c r="UXP45" s="6"/>
      <c r="UXQ45" s="6"/>
      <c r="UXR45" s="6"/>
      <c r="UXS45" s="6"/>
      <c r="UXT45" s="6"/>
      <c r="UXU45" s="6"/>
      <c r="UXV45" s="6"/>
      <c r="UXW45" s="6"/>
      <c r="UXX45" s="6"/>
      <c r="UXY45" s="6"/>
      <c r="UXZ45" s="6"/>
      <c r="UYA45" s="6"/>
      <c r="UYB45" s="6"/>
      <c r="UYC45" s="6"/>
      <c r="UYD45" s="6"/>
      <c r="UYE45" s="6"/>
      <c r="UYF45" s="6"/>
      <c r="UYG45" s="6"/>
      <c r="UYH45" s="6"/>
      <c r="UYI45" s="6"/>
      <c r="UYJ45" s="6"/>
      <c r="UYK45" s="6"/>
      <c r="UYL45" s="6"/>
      <c r="UYM45" s="6"/>
      <c r="UYN45" s="6"/>
      <c r="UYO45" s="6"/>
      <c r="UYP45" s="6"/>
      <c r="UYQ45" s="6"/>
      <c r="UYR45" s="6"/>
      <c r="UYS45" s="6"/>
      <c r="UYT45" s="6"/>
      <c r="UYU45" s="6"/>
      <c r="UYV45" s="6"/>
      <c r="UYW45" s="6"/>
      <c r="UYX45" s="6"/>
      <c r="UYY45" s="6"/>
      <c r="UYZ45" s="6"/>
      <c r="UZA45" s="6"/>
      <c r="UZB45" s="6"/>
      <c r="UZC45" s="6"/>
      <c r="UZD45" s="6"/>
      <c r="UZE45" s="6"/>
      <c r="UZF45" s="6"/>
      <c r="UZG45" s="6"/>
      <c r="UZH45" s="6"/>
      <c r="UZI45" s="6"/>
      <c r="UZJ45" s="6"/>
      <c r="UZK45" s="6"/>
      <c r="UZL45" s="6"/>
      <c r="UZM45" s="6"/>
      <c r="UZN45" s="6"/>
      <c r="UZO45" s="6"/>
      <c r="UZP45" s="6"/>
      <c r="UZQ45" s="6"/>
      <c r="UZR45" s="6"/>
      <c r="UZS45" s="6"/>
      <c r="UZT45" s="6"/>
      <c r="UZU45" s="6"/>
      <c r="UZV45" s="6"/>
      <c r="UZW45" s="6"/>
      <c r="UZX45" s="6"/>
      <c r="UZY45" s="6"/>
      <c r="UZZ45" s="6"/>
      <c r="VAA45" s="6"/>
      <c r="VAB45" s="6"/>
      <c r="VAC45" s="6"/>
      <c r="VAD45" s="6"/>
      <c r="VAE45" s="6"/>
      <c r="VAF45" s="6"/>
      <c r="VAG45" s="6"/>
      <c r="VAH45" s="6"/>
      <c r="VAI45" s="6"/>
      <c r="VAJ45" s="6"/>
      <c r="VAK45" s="6"/>
      <c r="VAL45" s="6"/>
      <c r="VAM45" s="6"/>
      <c r="VAN45" s="6"/>
      <c r="VAO45" s="6"/>
      <c r="VAP45" s="6"/>
      <c r="VAQ45" s="6"/>
      <c r="VAR45" s="6"/>
      <c r="VAS45" s="6"/>
      <c r="VAT45" s="6"/>
      <c r="VAU45" s="6"/>
      <c r="VAV45" s="6"/>
      <c r="VAW45" s="6"/>
      <c r="VAX45" s="6"/>
      <c r="VAY45" s="6"/>
      <c r="VAZ45" s="6"/>
      <c r="VBA45" s="6"/>
      <c r="VBB45" s="6"/>
      <c r="VBC45" s="6"/>
      <c r="VBD45" s="6"/>
      <c r="VBE45" s="6"/>
      <c r="VBF45" s="6"/>
      <c r="VBG45" s="6"/>
      <c r="VBH45" s="6"/>
      <c r="VBI45" s="6"/>
      <c r="VBJ45" s="6"/>
      <c r="VBK45" s="6"/>
      <c r="VBL45" s="6"/>
      <c r="VBM45" s="6"/>
      <c r="VBN45" s="6"/>
      <c r="VBO45" s="6"/>
      <c r="VBP45" s="6"/>
      <c r="VBQ45" s="6"/>
      <c r="VBR45" s="6"/>
      <c r="VBS45" s="6"/>
      <c r="VBT45" s="6"/>
      <c r="VBU45" s="6"/>
      <c r="VBV45" s="6"/>
      <c r="VBW45" s="6"/>
      <c r="VBX45" s="6"/>
      <c r="VBY45" s="6"/>
      <c r="VBZ45" s="6"/>
      <c r="VCA45" s="6"/>
      <c r="VCB45" s="6"/>
      <c r="VCC45" s="6"/>
      <c r="VCD45" s="6"/>
      <c r="VCE45" s="6"/>
      <c r="VCF45" s="6"/>
      <c r="VCG45" s="6"/>
      <c r="VCH45" s="6"/>
      <c r="VCI45" s="6"/>
      <c r="VCJ45" s="6"/>
      <c r="VCK45" s="6"/>
      <c r="VCL45" s="6"/>
      <c r="VCM45" s="6"/>
      <c r="VCN45" s="6"/>
      <c r="VCO45" s="6"/>
      <c r="VCP45" s="6"/>
      <c r="VCQ45" s="6"/>
      <c r="VCR45" s="6"/>
      <c r="VCS45" s="6"/>
      <c r="VCT45" s="6"/>
      <c r="VCU45" s="6"/>
      <c r="VCV45" s="6"/>
      <c r="VCW45" s="6"/>
      <c r="VCX45" s="6"/>
      <c r="VCY45" s="6"/>
      <c r="VCZ45" s="6"/>
      <c r="VDA45" s="6"/>
      <c r="VDB45" s="6"/>
      <c r="VDC45" s="6"/>
      <c r="VDD45" s="6"/>
      <c r="VDE45" s="6"/>
      <c r="VDF45" s="6"/>
      <c r="VDG45" s="6"/>
      <c r="VDH45" s="6"/>
      <c r="VDI45" s="6"/>
      <c r="VDJ45" s="6"/>
      <c r="VDK45" s="6"/>
      <c r="VDL45" s="6"/>
      <c r="VDM45" s="6"/>
      <c r="VDN45" s="6"/>
      <c r="VDO45" s="6"/>
      <c r="VDP45" s="6"/>
      <c r="VDQ45" s="6"/>
      <c r="VDR45" s="6"/>
      <c r="VDS45" s="6"/>
      <c r="VDT45" s="6"/>
      <c r="VDU45" s="6"/>
      <c r="VDV45" s="6"/>
      <c r="VDW45" s="6"/>
      <c r="VDX45" s="6"/>
      <c r="VDY45" s="6"/>
      <c r="VDZ45" s="6"/>
      <c r="VEA45" s="6"/>
      <c r="VEB45" s="6"/>
      <c r="VEC45" s="6"/>
      <c r="VED45" s="6"/>
      <c r="VEE45" s="6"/>
      <c r="VEF45" s="6"/>
      <c r="VEG45" s="6"/>
      <c r="VEH45" s="6"/>
      <c r="VEI45" s="6"/>
      <c r="VEJ45" s="6"/>
      <c r="VEK45" s="6"/>
      <c r="VEL45" s="6"/>
      <c r="VEM45" s="6"/>
      <c r="VEN45" s="6"/>
      <c r="VEO45" s="6"/>
      <c r="VEP45" s="6"/>
      <c r="VEQ45" s="6"/>
      <c r="VER45" s="6"/>
      <c r="VES45" s="6"/>
      <c r="VET45" s="6"/>
      <c r="VEU45" s="6"/>
      <c r="VEV45" s="6"/>
      <c r="VEW45" s="6"/>
      <c r="VEX45" s="6"/>
      <c r="VEY45" s="6"/>
      <c r="VEZ45" s="6"/>
      <c r="VFA45" s="6"/>
      <c r="VFB45" s="6"/>
      <c r="VFC45" s="6"/>
      <c r="VFD45" s="6"/>
      <c r="VFE45" s="6"/>
      <c r="VFF45" s="6"/>
      <c r="VFG45" s="6"/>
      <c r="VFH45" s="6"/>
      <c r="VFI45" s="6"/>
      <c r="VFJ45" s="6"/>
      <c r="VFK45" s="6"/>
      <c r="VFL45" s="6"/>
      <c r="VFM45" s="6"/>
      <c r="VFN45" s="6"/>
      <c r="VFO45" s="6"/>
      <c r="VFP45" s="6"/>
      <c r="VFQ45" s="6"/>
      <c r="VFR45" s="6"/>
      <c r="VFS45" s="6"/>
      <c r="VFT45" s="6"/>
      <c r="VFU45" s="6"/>
      <c r="VFV45" s="6"/>
      <c r="VFW45" s="6"/>
      <c r="VFX45" s="6"/>
      <c r="VFY45" s="6"/>
      <c r="VFZ45" s="6"/>
      <c r="VGA45" s="6"/>
      <c r="VGB45" s="6"/>
      <c r="VGC45" s="6"/>
      <c r="VGD45" s="6"/>
      <c r="VGE45" s="6"/>
      <c r="VGF45" s="6"/>
      <c r="VGG45" s="6"/>
      <c r="VGH45" s="6"/>
      <c r="VGI45" s="6"/>
      <c r="VGJ45" s="6"/>
      <c r="VGK45" s="6"/>
      <c r="VGL45" s="6"/>
      <c r="VGM45" s="6"/>
      <c r="VGN45" s="6"/>
      <c r="VGO45" s="6"/>
      <c r="VGP45" s="6"/>
      <c r="VGQ45" s="6"/>
      <c r="VGR45" s="6"/>
      <c r="VGS45" s="6"/>
      <c r="VGT45" s="6"/>
      <c r="VGU45" s="6"/>
      <c r="VGV45" s="6"/>
      <c r="VGW45" s="6"/>
      <c r="VGX45" s="6"/>
      <c r="VGY45" s="6"/>
      <c r="VGZ45" s="6"/>
      <c r="VHA45" s="6"/>
      <c r="VHB45" s="6"/>
      <c r="VHC45" s="6"/>
      <c r="VHD45" s="6"/>
      <c r="VHE45" s="6"/>
      <c r="VHF45" s="6"/>
      <c r="VHG45" s="6"/>
      <c r="VHH45" s="6"/>
      <c r="VHI45" s="6"/>
      <c r="VHJ45" s="6"/>
      <c r="VHK45" s="6"/>
      <c r="VHL45" s="6"/>
      <c r="VHM45" s="6"/>
      <c r="VHN45" s="6"/>
      <c r="VHO45" s="6"/>
      <c r="VHP45" s="6"/>
      <c r="VHQ45" s="6"/>
      <c r="VHR45" s="6"/>
      <c r="VHS45" s="6"/>
      <c r="VHT45" s="6"/>
      <c r="VHU45" s="6"/>
      <c r="VHV45" s="6"/>
      <c r="VHW45" s="6"/>
      <c r="VHX45" s="6"/>
      <c r="VHY45" s="6"/>
      <c r="VHZ45" s="6"/>
      <c r="VIA45" s="6"/>
      <c r="VIB45" s="6"/>
      <c r="VIC45" s="6"/>
      <c r="VID45" s="6"/>
      <c r="VIE45" s="6"/>
      <c r="VIF45" s="6"/>
      <c r="VIG45" s="6"/>
      <c r="VIH45" s="6"/>
      <c r="VII45" s="6"/>
      <c r="VIJ45" s="6"/>
      <c r="VIK45" s="6"/>
      <c r="VIL45" s="6"/>
      <c r="VIM45" s="6"/>
      <c r="VIN45" s="6"/>
      <c r="VIO45" s="6"/>
      <c r="VIP45" s="6"/>
      <c r="VIQ45" s="6"/>
      <c r="VIR45" s="6"/>
      <c r="VIS45" s="6"/>
      <c r="VIT45" s="6"/>
      <c r="VIU45" s="6"/>
      <c r="VIV45" s="6"/>
      <c r="VIW45" s="6"/>
      <c r="VIX45" s="6"/>
      <c r="VIY45" s="6"/>
      <c r="VIZ45" s="6"/>
      <c r="VJA45" s="6"/>
      <c r="VJB45" s="6"/>
      <c r="VJC45" s="6"/>
      <c r="VJD45" s="6"/>
      <c r="VJE45" s="6"/>
      <c r="VJF45" s="6"/>
      <c r="VJG45" s="6"/>
      <c r="VJH45" s="6"/>
      <c r="VJI45" s="6"/>
      <c r="VJJ45" s="6"/>
      <c r="VJK45" s="6"/>
      <c r="VJL45" s="6"/>
      <c r="VJM45" s="6"/>
      <c r="VJN45" s="6"/>
      <c r="VJO45" s="6"/>
      <c r="VJP45" s="6"/>
      <c r="VJQ45" s="6"/>
      <c r="VJR45" s="6"/>
      <c r="VJS45" s="6"/>
      <c r="VJT45" s="6"/>
      <c r="VJU45" s="6"/>
      <c r="VJV45" s="6"/>
      <c r="VJW45" s="6"/>
      <c r="VJX45" s="6"/>
      <c r="VJY45" s="6"/>
      <c r="VJZ45" s="6"/>
      <c r="VKA45" s="6"/>
      <c r="VKB45" s="6"/>
      <c r="VKC45" s="6"/>
      <c r="VKD45" s="6"/>
      <c r="VKE45" s="6"/>
      <c r="VKF45" s="6"/>
      <c r="VKG45" s="6"/>
      <c r="VKH45" s="6"/>
      <c r="VKI45" s="6"/>
      <c r="VKJ45" s="6"/>
      <c r="VKK45" s="6"/>
      <c r="VKL45" s="6"/>
      <c r="VKM45" s="6"/>
      <c r="VKN45" s="6"/>
      <c r="VKO45" s="6"/>
      <c r="VKP45" s="6"/>
      <c r="VKQ45" s="6"/>
      <c r="VKR45" s="6"/>
      <c r="VKS45" s="6"/>
      <c r="VKT45" s="6"/>
      <c r="VKU45" s="6"/>
      <c r="VKV45" s="6"/>
      <c r="VKW45" s="6"/>
      <c r="VKX45" s="6"/>
      <c r="VKY45" s="6"/>
      <c r="VKZ45" s="6"/>
      <c r="VLA45" s="6"/>
      <c r="VLB45" s="6"/>
      <c r="VLC45" s="6"/>
      <c r="VLD45" s="6"/>
      <c r="VLE45" s="6"/>
      <c r="VLF45" s="6"/>
      <c r="VLG45" s="6"/>
      <c r="VLH45" s="6"/>
      <c r="VLI45" s="6"/>
      <c r="VLJ45" s="6"/>
      <c r="VLK45" s="6"/>
      <c r="VLL45" s="6"/>
      <c r="VLM45" s="6"/>
      <c r="VLN45" s="6"/>
      <c r="VLO45" s="6"/>
      <c r="VLP45" s="6"/>
      <c r="VLQ45" s="6"/>
      <c r="VLR45" s="6"/>
      <c r="VLS45" s="6"/>
      <c r="VLT45" s="6"/>
      <c r="VLU45" s="6"/>
      <c r="VLV45" s="6"/>
      <c r="VLW45" s="6"/>
      <c r="VLX45" s="6"/>
      <c r="VLY45" s="6"/>
      <c r="VLZ45" s="6"/>
      <c r="VMA45" s="6"/>
      <c r="VMB45" s="6"/>
      <c r="VMC45" s="6"/>
      <c r="VMD45" s="6"/>
      <c r="VME45" s="6"/>
      <c r="VMF45" s="6"/>
      <c r="VMG45" s="6"/>
      <c r="VMH45" s="6"/>
      <c r="VMI45" s="6"/>
      <c r="VMJ45" s="6"/>
      <c r="VMK45" s="6"/>
      <c r="VML45" s="6"/>
      <c r="VMM45" s="6"/>
      <c r="VMN45" s="6"/>
      <c r="VMO45" s="6"/>
      <c r="VMP45" s="6"/>
      <c r="VMQ45" s="6"/>
      <c r="VMR45" s="6"/>
      <c r="VMS45" s="6"/>
      <c r="VMT45" s="6"/>
      <c r="VMU45" s="6"/>
      <c r="VMV45" s="6"/>
      <c r="VMW45" s="6"/>
      <c r="VMX45" s="6"/>
      <c r="VMY45" s="6"/>
      <c r="VMZ45" s="6"/>
      <c r="VNA45" s="6"/>
      <c r="VNB45" s="6"/>
      <c r="VNC45" s="6"/>
      <c r="VND45" s="6"/>
      <c r="VNE45" s="6"/>
      <c r="VNF45" s="6"/>
      <c r="VNG45" s="6"/>
      <c r="VNH45" s="6"/>
      <c r="VNI45" s="6"/>
      <c r="VNJ45" s="6"/>
      <c r="VNK45" s="6"/>
      <c r="VNL45" s="6"/>
      <c r="VNM45" s="6"/>
      <c r="VNN45" s="6"/>
      <c r="VNO45" s="6"/>
      <c r="VNP45" s="6"/>
      <c r="VNQ45" s="6"/>
      <c r="VNR45" s="6"/>
      <c r="VNS45" s="6"/>
      <c r="VNT45" s="6"/>
      <c r="VNU45" s="6"/>
      <c r="VNV45" s="6"/>
      <c r="VNW45" s="6"/>
      <c r="VNX45" s="6"/>
      <c r="VNY45" s="6"/>
      <c r="VNZ45" s="6"/>
      <c r="VOA45" s="6"/>
      <c r="VOB45" s="6"/>
      <c r="VOC45" s="6"/>
      <c r="VOD45" s="6"/>
      <c r="VOE45" s="6"/>
      <c r="VOF45" s="6"/>
      <c r="VOG45" s="6"/>
      <c r="VOH45" s="6"/>
      <c r="VOI45" s="6"/>
      <c r="VOJ45" s="6"/>
      <c r="VOK45" s="6"/>
      <c r="VOL45" s="6"/>
      <c r="VOM45" s="6"/>
      <c r="VON45" s="6"/>
      <c r="VOO45" s="6"/>
      <c r="VOP45" s="6"/>
      <c r="VOQ45" s="6"/>
      <c r="VOR45" s="6"/>
      <c r="VOS45" s="6"/>
      <c r="VOT45" s="6"/>
      <c r="VOU45" s="6"/>
      <c r="VOV45" s="6"/>
      <c r="VOW45" s="6"/>
      <c r="VOX45" s="6"/>
      <c r="VOY45" s="6"/>
      <c r="VOZ45" s="6"/>
      <c r="VPA45" s="6"/>
      <c r="VPB45" s="6"/>
      <c r="VPC45" s="6"/>
      <c r="VPD45" s="6"/>
      <c r="VPE45" s="6"/>
      <c r="VPF45" s="6"/>
      <c r="VPG45" s="6"/>
      <c r="VPH45" s="6"/>
      <c r="VPI45" s="6"/>
      <c r="VPJ45" s="6"/>
      <c r="VPK45" s="6"/>
      <c r="VPL45" s="6"/>
      <c r="VPM45" s="6"/>
      <c r="VPN45" s="6"/>
      <c r="VPO45" s="6"/>
      <c r="VPP45" s="6"/>
      <c r="VPQ45" s="6"/>
      <c r="VPR45" s="6"/>
      <c r="VPS45" s="6"/>
      <c r="VPT45" s="6"/>
      <c r="VPU45" s="6"/>
      <c r="VPV45" s="6"/>
      <c r="VPW45" s="6"/>
      <c r="VPX45" s="6"/>
      <c r="VPY45" s="6"/>
      <c r="VPZ45" s="6"/>
      <c r="VQA45" s="6"/>
      <c r="VQB45" s="6"/>
      <c r="VQC45" s="6"/>
      <c r="VQD45" s="6"/>
      <c r="VQE45" s="6"/>
      <c r="VQF45" s="6"/>
      <c r="VQG45" s="6"/>
      <c r="VQH45" s="6"/>
      <c r="VQI45" s="6"/>
      <c r="VQJ45" s="6"/>
      <c r="VQK45" s="6"/>
      <c r="VQL45" s="6"/>
      <c r="VQM45" s="6"/>
      <c r="VQN45" s="6"/>
      <c r="VQO45" s="6"/>
      <c r="VQP45" s="6"/>
      <c r="VQQ45" s="6"/>
      <c r="VQR45" s="6"/>
      <c r="VQS45" s="6"/>
      <c r="VQT45" s="6"/>
      <c r="VQU45" s="6"/>
      <c r="VQV45" s="6"/>
      <c r="VQW45" s="6"/>
      <c r="VQX45" s="6"/>
      <c r="VQY45" s="6"/>
      <c r="VQZ45" s="6"/>
      <c r="VRA45" s="6"/>
      <c r="VRB45" s="6"/>
      <c r="VRC45" s="6"/>
      <c r="VRD45" s="6"/>
      <c r="VRE45" s="6"/>
      <c r="VRF45" s="6"/>
      <c r="VRG45" s="6"/>
      <c r="VRH45" s="6"/>
      <c r="VRI45" s="6"/>
      <c r="VRJ45" s="6"/>
      <c r="VRK45" s="6"/>
      <c r="VRL45" s="6"/>
      <c r="VRM45" s="6"/>
      <c r="VRN45" s="6"/>
      <c r="VRO45" s="6"/>
      <c r="VRP45" s="6"/>
      <c r="VRQ45" s="6"/>
      <c r="VRR45" s="6"/>
      <c r="VRS45" s="6"/>
      <c r="VRT45" s="6"/>
      <c r="VRU45" s="6"/>
      <c r="VRV45" s="6"/>
      <c r="VRW45" s="6"/>
      <c r="VRX45" s="6"/>
      <c r="VRY45" s="6"/>
      <c r="VRZ45" s="6"/>
      <c r="VSA45" s="6"/>
      <c r="VSB45" s="6"/>
      <c r="VSC45" s="6"/>
      <c r="VSD45" s="6"/>
      <c r="VSE45" s="6"/>
      <c r="VSF45" s="6"/>
      <c r="VSG45" s="6"/>
      <c r="VSH45" s="6"/>
      <c r="VSI45" s="6"/>
      <c r="VSJ45" s="6"/>
      <c r="VSK45" s="6"/>
      <c r="VSL45" s="6"/>
      <c r="VSM45" s="6"/>
      <c r="VSN45" s="6"/>
      <c r="VSO45" s="6"/>
      <c r="VSP45" s="6"/>
      <c r="VSQ45" s="6"/>
      <c r="VSR45" s="6"/>
      <c r="VSS45" s="6"/>
      <c r="VST45" s="6"/>
      <c r="VSU45" s="6"/>
      <c r="VSV45" s="6"/>
      <c r="VSW45" s="6"/>
      <c r="VSX45" s="6"/>
      <c r="VSY45" s="6"/>
      <c r="VSZ45" s="6"/>
      <c r="VTA45" s="6"/>
      <c r="VTB45" s="6"/>
      <c r="VTC45" s="6"/>
      <c r="VTD45" s="6"/>
      <c r="VTE45" s="6"/>
      <c r="VTF45" s="6"/>
      <c r="VTG45" s="6"/>
      <c r="VTH45" s="6"/>
      <c r="VTI45" s="6"/>
      <c r="VTJ45" s="6"/>
      <c r="VTK45" s="6"/>
      <c r="VTL45" s="6"/>
      <c r="VTM45" s="6"/>
      <c r="VTN45" s="6"/>
      <c r="VTO45" s="6"/>
      <c r="VTP45" s="6"/>
      <c r="VTQ45" s="6"/>
      <c r="VTR45" s="6"/>
      <c r="VTS45" s="6"/>
      <c r="VTT45" s="6"/>
      <c r="VTU45" s="6"/>
      <c r="VTV45" s="6"/>
      <c r="VTW45" s="6"/>
      <c r="VTX45" s="6"/>
      <c r="VTY45" s="6"/>
      <c r="VTZ45" s="6"/>
      <c r="VUA45" s="6"/>
      <c r="VUB45" s="6"/>
      <c r="VUC45" s="6"/>
      <c r="VUD45" s="6"/>
      <c r="VUE45" s="6"/>
      <c r="VUF45" s="6"/>
      <c r="VUG45" s="6"/>
      <c r="VUH45" s="6"/>
      <c r="VUI45" s="6"/>
      <c r="VUJ45" s="6"/>
      <c r="VUK45" s="6"/>
      <c r="VUL45" s="6"/>
      <c r="VUM45" s="6"/>
      <c r="VUN45" s="6"/>
      <c r="VUO45" s="6"/>
      <c r="VUP45" s="6"/>
      <c r="VUQ45" s="6"/>
      <c r="VUR45" s="6"/>
      <c r="VUS45" s="6"/>
      <c r="VUT45" s="6"/>
      <c r="VUU45" s="6"/>
      <c r="VUV45" s="6"/>
      <c r="VUW45" s="6"/>
      <c r="VUX45" s="6"/>
      <c r="VUY45" s="6"/>
      <c r="VUZ45" s="6"/>
      <c r="VVA45" s="6"/>
      <c r="VVB45" s="6"/>
      <c r="VVC45" s="6"/>
      <c r="VVD45" s="6"/>
      <c r="VVE45" s="6"/>
      <c r="VVF45" s="6"/>
      <c r="VVG45" s="6"/>
      <c r="VVH45" s="6"/>
      <c r="VVI45" s="6"/>
      <c r="VVJ45" s="6"/>
      <c r="VVK45" s="6"/>
      <c r="VVL45" s="6"/>
      <c r="VVM45" s="6"/>
      <c r="VVN45" s="6"/>
      <c r="VVO45" s="6"/>
      <c r="VVP45" s="6"/>
      <c r="VVQ45" s="6"/>
      <c r="VVR45" s="6"/>
      <c r="VVS45" s="6"/>
      <c r="VVT45" s="6"/>
      <c r="VVU45" s="6"/>
      <c r="VVV45" s="6"/>
      <c r="VVW45" s="6"/>
      <c r="VVX45" s="6"/>
      <c r="VVY45" s="6"/>
      <c r="VVZ45" s="6"/>
      <c r="VWA45" s="6"/>
      <c r="VWB45" s="6"/>
      <c r="VWC45" s="6"/>
      <c r="VWD45" s="6"/>
      <c r="VWE45" s="6"/>
      <c r="VWF45" s="6"/>
      <c r="VWG45" s="6"/>
      <c r="VWH45" s="6"/>
      <c r="VWI45" s="6"/>
      <c r="VWJ45" s="6"/>
      <c r="VWK45" s="6"/>
      <c r="VWL45" s="6"/>
      <c r="VWM45" s="6"/>
      <c r="VWN45" s="6"/>
      <c r="VWO45" s="6"/>
      <c r="VWP45" s="6"/>
      <c r="VWQ45" s="6"/>
      <c r="VWR45" s="6"/>
      <c r="VWS45" s="6"/>
      <c r="VWT45" s="6"/>
      <c r="VWU45" s="6"/>
      <c r="VWV45" s="6"/>
      <c r="VWW45" s="6"/>
      <c r="VWX45" s="6"/>
      <c r="VWY45" s="6"/>
      <c r="VWZ45" s="6"/>
      <c r="VXA45" s="6"/>
      <c r="VXB45" s="6"/>
      <c r="VXC45" s="6"/>
      <c r="VXD45" s="6"/>
      <c r="VXE45" s="6"/>
      <c r="VXF45" s="6"/>
      <c r="VXG45" s="6"/>
      <c r="VXH45" s="6"/>
      <c r="VXI45" s="6"/>
      <c r="VXJ45" s="6"/>
      <c r="VXK45" s="6"/>
      <c r="VXL45" s="6"/>
      <c r="VXM45" s="6"/>
      <c r="VXN45" s="6"/>
      <c r="VXO45" s="6"/>
      <c r="VXP45" s="6"/>
      <c r="VXQ45" s="6"/>
      <c r="VXR45" s="6"/>
      <c r="VXS45" s="6"/>
      <c r="VXT45" s="6"/>
      <c r="VXU45" s="6"/>
      <c r="VXV45" s="6"/>
      <c r="VXW45" s="6"/>
      <c r="VXX45" s="6"/>
      <c r="VXY45" s="6"/>
      <c r="VXZ45" s="6"/>
      <c r="VYA45" s="6"/>
      <c r="VYB45" s="6"/>
      <c r="VYC45" s="6"/>
      <c r="VYD45" s="6"/>
      <c r="VYE45" s="6"/>
      <c r="VYF45" s="6"/>
      <c r="VYG45" s="6"/>
      <c r="VYH45" s="6"/>
      <c r="VYI45" s="6"/>
      <c r="VYJ45" s="6"/>
      <c r="VYK45" s="6"/>
      <c r="VYL45" s="6"/>
      <c r="VYM45" s="6"/>
      <c r="VYN45" s="6"/>
      <c r="VYO45" s="6"/>
      <c r="VYP45" s="6"/>
      <c r="VYQ45" s="6"/>
      <c r="VYR45" s="6"/>
      <c r="VYS45" s="6"/>
      <c r="VYT45" s="6"/>
      <c r="VYU45" s="6"/>
      <c r="VYV45" s="6"/>
      <c r="VYW45" s="6"/>
      <c r="VYX45" s="6"/>
      <c r="VYY45" s="6"/>
      <c r="VYZ45" s="6"/>
      <c r="VZA45" s="6"/>
      <c r="VZB45" s="6"/>
      <c r="VZC45" s="6"/>
      <c r="VZD45" s="6"/>
      <c r="VZE45" s="6"/>
      <c r="VZF45" s="6"/>
      <c r="VZG45" s="6"/>
      <c r="VZH45" s="6"/>
      <c r="VZI45" s="6"/>
      <c r="VZJ45" s="6"/>
      <c r="VZK45" s="6"/>
      <c r="VZL45" s="6"/>
      <c r="VZM45" s="6"/>
      <c r="VZN45" s="6"/>
      <c r="VZO45" s="6"/>
      <c r="VZP45" s="6"/>
      <c r="VZQ45" s="6"/>
      <c r="VZR45" s="6"/>
      <c r="VZS45" s="6"/>
      <c r="VZT45" s="6"/>
      <c r="VZU45" s="6"/>
      <c r="VZV45" s="6"/>
      <c r="VZW45" s="6"/>
      <c r="VZX45" s="6"/>
      <c r="VZY45" s="6"/>
      <c r="VZZ45" s="6"/>
      <c r="WAA45" s="6"/>
      <c r="WAB45" s="6"/>
      <c r="WAC45" s="6"/>
      <c r="WAD45" s="6"/>
      <c r="WAE45" s="6"/>
      <c r="WAF45" s="6"/>
      <c r="WAG45" s="6"/>
      <c r="WAH45" s="6"/>
      <c r="WAI45" s="6"/>
      <c r="WAJ45" s="6"/>
      <c r="WAK45" s="6"/>
      <c r="WAL45" s="6"/>
      <c r="WAM45" s="6"/>
      <c r="WAN45" s="6"/>
      <c r="WAO45" s="6"/>
      <c r="WAP45" s="6"/>
      <c r="WAQ45" s="6"/>
      <c r="WAR45" s="6"/>
      <c r="WAS45" s="6"/>
      <c r="WAT45" s="6"/>
      <c r="WAU45" s="6"/>
      <c r="WAV45" s="6"/>
      <c r="WAW45" s="6"/>
      <c r="WAX45" s="6"/>
      <c r="WAY45" s="6"/>
      <c r="WAZ45" s="6"/>
      <c r="WBA45" s="6"/>
      <c r="WBB45" s="6"/>
      <c r="WBC45" s="6"/>
      <c r="WBD45" s="6"/>
      <c r="WBE45" s="6"/>
      <c r="WBF45" s="6"/>
      <c r="WBG45" s="6"/>
      <c r="WBH45" s="6"/>
      <c r="WBI45" s="6"/>
      <c r="WBJ45" s="6"/>
      <c r="WBK45" s="6"/>
      <c r="WBL45" s="6"/>
      <c r="WBM45" s="6"/>
      <c r="WBN45" s="6"/>
      <c r="WBO45" s="6"/>
      <c r="WBP45" s="6"/>
      <c r="WBQ45" s="6"/>
      <c r="WBR45" s="6"/>
      <c r="WBS45" s="6"/>
      <c r="WBT45" s="6"/>
      <c r="WBU45" s="6"/>
      <c r="WBV45" s="6"/>
      <c r="WBW45" s="6"/>
      <c r="WBX45" s="6"/>
      <c r="WBY45" s="6"/>
      <c r="WBZ45" s="6"/>
      <c r="WCA45" s="6"/>
      <c r="WCB45" s="6"/>
      <c r="WCC45" s="6"/>
      <c r="WCD45" s="6"/>
      <c r="WCE45" s="6"/>
      <c r="WCF45" s="6"/>
      <c r="WCG45" s="6"/>
      <c r="WCH45" s="6"/>
      <c r="WCI45" s="6"/>
      <c r="WCJ45" s="6"/>
      <c r="WCK45" s="6"/>
      <c r="WCL45" s="6"/>
      <c r="WCM45" s="6"/>
      <c r="WCN45" s="6"/>
      <c r="WCO45" s="6"/>
      <c r="WCP45" s="6"/>
      <c r="WCQ45" s="6"/>
      <c r="WCR45" s="6"/>
      <c r="WCS45" s="6"/>
      <c r="WCT45" s="6"/>
      <c r="WCU45" s="6"/>
      <c r="WCV45" s="6"/>
      <c r="WCW45" s="6"/>
      <c r="WCX45" s="6"/>
      <c r="WCY45" s="6"/>
      <c r="WCZ45" s="6"/>
      <c r="WDA45" s="6"/>
      <c r="WDB45" s="6"/>
      <c r="WDC45" s="6"/>
      <c r="WDD45" s="6"/>
      <c r="WDE45" s="6"/>
      <c r="WDF45" s="6"/>
      <c r="WDG45" s="6"/>
      <c r="WDH45" s="6"/>
      <c r="WDI45" s="6"/>
      <c r="WDJ45" s="6"/>
      <c r="WDK45" s="6"/>
      <c r="WDL45" s="6"/>
      <c r="WDM45" s="6"/>
      <c r="WDN45" s="6"/>
      <c r="WDO45" s="6"/>
      <c r="WDP45" s="6"/>
      <c r="WDQ45" s="6"/>
      <c r="WDR45" s="6"/>
      <c r="WDS45" s="6"/>
      <c r="WDT45" s="6"/>
      <c r="WDU45" s="6"/>
      <c r="WDV45" s="6"/>
      <c r="WDW45" s="6"/>
      <c r="WDX45" s="6"/>
      <c r="WDY45" s="6"/>
      <c r="WDZ45" s="6"/>
      <c r="WEA45" s="6"/>
      <c r="WEB45" s="6"/>
      <c r="WEC45" s="6"/>
      <c r="WED45" s="6"/>
      <c r="WEE45" s="6"/>
      <c r="WEF45" s="6"/>
      <c r="WEG45" s="6"/>
      <c r="WEH45" s="6"/>
      <c r="WEI45" s="6"/>
      <c r="WEJ45" s="6"/>
      <c r="WEK45" s="6"/>
      <c r="WEL45" s="6"/>
      <c r="WEM45" s="6"/>
      <c r="WEN45" s="6"/>
      <c r="WEO45" s="6"/>
      <c r="WEP45" s="6"/>
      <c r="WEQ45" s="6"/>
      <c r="WER45" s="6"/>
      <c r="WES45" s="6"/>
      <c r="WET45" s="6"/>
      <c r="WEU45" s="6"/>
      <c r="WEV45" s="6"/>
      <c r="WEW45" s="6"/>
      <c r="WEX45" s="6"/>
      <c r="WEY45" s="6"/>
      <c r="WEZ45" s="6"/>
      <c r="WFA45" s="6"/>
      <c r="WFB45" s="6"/>
      <c r="WFC45" s="6"/>
      <c r="WFD45" s="6"/>
      <c r="WFE45" s="6"/>
      <c r="WFF45" s="6"/>
      <c r="WFG45" s="6"/>
      <c r="WFH45" s="6"/>
      <c r="WFI45" s="6"/>
      <c r="WFJ45" s="6"/>
      <c r="WFK45" s="6"/>
      <c r="WFL45" s="6"/>
      <c r="WFM45" s="6"/>
      <c r="WFN45" s="6"/>
      <c r="WFO45" s="6"/>
      <c r="WFP45" s="6"/>
      <c r="WFQ45" s="6"/>
      <c r="WFR45" s="6"/>
      <c r="WFS45" s="6"/>
      <c r="WFT45" s="6"/>
      <c r="WFU45" s="6"/>
      <c r="WFV45" s="6"/>
      <c r="WFW45" s="6"/>
      <c r="WFX45" s="6"/>
      <c r="WFY45" s="6"/>
      <c r="WFZ45" s="6"/>
      <c r="WGA45" s="6"/>
      <c r="WGB45" s="6"/>
      <c r="WGC45" s="6"/>
      <c r="WGD45" s="6"/>
      <c r="WGE45" s="6"/>
      <c r="WGF45" s="6"/>
      <c r="WGG45" s="6"/>
      <c r="WGH45" s="6"/>
      <c r="WGI45" s="6"/>
      <c r="WGJ45" s="6"/>
      <c r="WGK45" s="6"/>
      <c r="WGL45" s="6"/>
      <c r="WGM45" s="6"/>
      <c r="WGN45" s="6"/>
      <c r="WGO45" s="6"/>
      <c r="WGP45" s="6"/>
      <c r="WGQ45" s="6"/>
      <c r="WGR45" s="6"/>
      <c r="WGS45" s="6"/>
      <c r="WGT45" s="6"/>
      <c r="WGU45" s="6"/>
      <c r="WGV45" s="6"/>
      <c r="WGW45" s="6"/>
      <c r="WGX45" s="6"/>
      <c r="WGY45" s="6"/>
      <c r="WGZ45" s="6"/>
      <c r="WHA45" s="6"/>
      <c r="WHB45" s="6"/>
      <c r="WHC45" s="6"/>
      <c r="WHD45" s="6"/>
      <c r="WHE45" s="6"/>
      <c r="WHF45" s="6"/>
      <c r="WHG45" s="6"/>
      <c r="WHH45" s="6"/>
      <c r="WHI45" s="6"/>
      <c r="WHJ45" s="6"/>
      <c r="WHK45" s="6"/>
      <c r="WHL45" s="6"/>
      <c r="WHM45" s="6"/>
      <c r="WHN45" s="6"/>
      <c r="WHO45" s="6"/>
      <c r="WHP45" s="6"/>
      <c r="WHQ45" s="6"/>
      <c r="WHR45" s="6"/>
      <c r="WHS45" s="6"/>
      <c r="WHT45" s="6"/>
      <c r="WHU45" s="6"/>
      <c r="WHV45" s="6"/>
      <c r="WHW45" s="6"/>
      <c r="WHX45" s="6"/>
      <c r="WHY45" s="6"/>
      <c r="WHZ45" s="6"/>
      <c r="WIA45" s="6"/>
      <c r="WIB45" s="6"/>
      <c r="WIC45" s="6"/>
      <c r="WID45" s="6"/>
      <c r="WIE45" s="6"/>
      <c r="WIF45" s="6"/>
      <c r="WIG45" s="6"/>
      <c r="WIH45" s="6"/>
      <c r="WII45" s="6"/>
      <c r="WIJ45" s="6"/>
      <c r="WIK45" s="6"/>
      <c r="WIL45" s="6"/>
      <c r="WIM45" s="6"/>
      <c r="WIN45" s="6"/>
      <c r="WIO45" s="6"/>
      <c r="WIP45" s="6"/>
      <c r="WIQ45" s="6"/>
      <c r="WIR45" s="6"/>
      <c r="WIS45" s="6"/>
      <c r="WIT45" s="6"/>
      <c r="WIU45" s="6"/>
      <c r="WIV45" s="6"/>
      <c r="WIW45" s="6"/>
      <c r="WIX45" s="6"/>
      <c r="WIY45" s="6"/>
      <c r="WIZ45" s="6"/>
      <c r="WJA45" s="6"/>
      <c r="WJB45" s="6"/>
      <c r="WJC45" s="6"/>
      <c r="WJD45" s="6"/>
      <c r="WJE45" s="6"/>
      <c r="WJF45" s="6"/>
      <c r="WJG45" s="6"/>
      <c r="WJH45" s="6"/>
      <c r="WJI45" s="6"/>
      <c r="WJJ45" s="6"/>
      <c r="WJK45" s="6"/>
      <c r="WJL45" s="6"/>
      <c r="WJM45" s="6"/>
      <c r="WJN45" s="6"/>
      <c r="WJO45" s="6"/>
      <c r="WJP45" s="6"/>
      <c r="WJQ45" s="6"/>
      <c r="WJR45" s="6"/>
      <c r="WJS45" s="6"/>
      <c r="WJT45" s="6"/>
      <c r="WJU45" s="6"/>
      <c r="WJV45" s="6"/>
      <c r="WJW45" s="6"/>
      <c r="WJX45" s="6"/>
      <c r="WJY45" s="6"/>
      <c r="WJZ45" s="6"/>
      <c r="WKA45" s="6"/>
      <c r="WKB45" s="6"/>
      <c r="WKC45" s="6"/>
      <c r="WKD45" s="6"/>
      <c r="WKE45" s="6"/>
      <c r="WKF45" s="6"/>
      <c r="WKG45" s="6"/>
      <c r="WKH45" s="6"/>
      <c r="WKI45" s="6"/>
      <c r="WKJ45" s="6"/>
      <c r="WKK45" s="6"/>
      <c r="WKL45" s="6"/>
      <c r="WKM45" s="6"/>
      <c r="WKN45" s="6"/>
      <c r="WKO45" s="6"/>
      <c r="WKP45" s="6"/>
      <c r="WKQ45" s="6"/>
      <c r="WKR45" s="6"/>
      <c r="WKS45" s="6"/>
      <c r="WKT45" s="6"/>
      <c r="WKU45" s="6"/>
      <c r="WKV45" s="6"/>
      <c r="WKW45" s="6"/>
      <c r="WKX45" s="6"/>
      <c r="WKY45" s="6"/>
      <c r="WKZ45" s="6"/>
      <c r="WLA45" s="6"/>
      <c r="WLB45" s="6"/>
      <c r="WLC45" s="6"/>
      <c r="WLD45" s="6"/>
      <c r="WLE45" s="6"/>
      <c r="WLF45" s="6"/>
      <c r="WLG45" s="6"/>
      <c r="WLH45" s="6"/>
      <c r="WLI45" s="6"/>
      <c r="WLJ45" s="6"/>
      <c r="WLK45" s="6"/>
      <c r="WLL45" s="6"/>
      <c r="WLM45" s="6"/>
      <c r="WLN45" s="6"/>
      <c r="WLO45" s="6"/>
      <c r="WLP45" s="6"/>
      <c r="WLQ45" s="6"/>
      <c r="WLR45" s="6"/>
      <c r="WLS45" s="6"/>
      <c r="WLT45" s="6"/>
      <c r="WLU45" s="6"/>
      <c r="WLV45" s="6"/>
      <c r="WLW45" s="6"/>
      <c r="WLX45" s="6"/>
      <c r="WLY45" s="6"/>
      <c r="WLZ45" s="6"/>
      <c r="WMA45" s="6"/>
      <c r="WMB45" s="6"/>
      <c r="WMC45" s="6"/>
      <c r="WMD45" s="6"/>
      <c r="WME45" s="6"/>
      <c r="WMF45" s="6"/>
      <c r="WMG45" s="6"/>
      <c r="WMH45" s="6"/>
      <c r="WMI45" s="6"/>
      <c r="WMJ45" s="6"/>
      <c r="WMK45" s="6"/>
      <c r="WML45" s="6"/>
      <c r="WMM45" s="6"/>
      <c r="WMN45" s="6"/>
      <c r="WMO45" s="6"/>
      <c r="WMP45" s="6"/>
      <c r="WMQ45" s="6"/>
      <c r="WMR45" s="6"/>
      <c r="WMS45" s="6"/>
      <c r="WMT45" s="6"/>
      <c r="WMU45" s="6"/>
      <c r="WMV45" s="6"/>
      <c r="WMW45" s="6"/>
      <c r="WMX45" s="6"/>
      <c r="WMY45" s="6"/>
      <c r="WMZ45" s="6"/>
      <c r="WNA45" s="6"/>
      <c r="WNB45" s="6"/>
      <c r="WNC45" s="6"/>
      <c r="WND45" s="6"/>
      <c r="WNE45" s="6"/>
      <c r="WNF45" s="6"/>
      <c r="WNG45" s="6"/>
      <c r="WNH45" s="6"/>
      <c r="WNI45" s="6"/>
      <c r="WNJ45" s="6"/>
      <c r="WNK45" s="6"/>
      <c r="WNL45" s="6"/>
      <c r="WNM45" s="6"/>
      <c r="WNN45" s="6"/>
      <c r="WNO45" s="6"/>
      <c r="WNP45" s="6"/>
      <c r="WNQ45" s="6"/>
      <c r="WNR45" s="6"/>
      <c r="WNS45" s="6"/>
      <c r="WNT45" s="6"/>
      <c r="WNU45" s="6"/>
      <c r="WNV45" s="6"/>
      <c r="WNW45" s="6"/>
      <c r="WNX45" s="6"/>
      <c r="WNY45" s="6"/>
      <c r="WNZ45" s="6"/>
      <c r="WOA45" s="6"/>
      <c r="WOB45" s="6"/>
      <c r="WOC45" s="6"/>
      <c r="WOD45" s="6"/>
      <c r="WOE45" s="6"/>
      <c r="WOF45" s="6"/>
      <c r="WOG45" s="6"/>
      <c r="WOH45" s="6"/>
      <c r="WOI45" s="6"/>
      <c r="WOJ45" s="6"/>
      <c r="WOK45" s="6"/>
      <c r="WOL45" s="6"/>
      <c r="WOM45" s="6"/>
      <c r="WON45" s="6"/>
      <c r="WOO45" s="6"/>
      <c r="WOP45" s="6"/>
      <c r="WOQ45" s="6"/>
      <c r="WOR45" s="6"/>
      <c r="WOS45" s="6"/>
      <c r="WOT45" s="6"/>
      <c r="WOU45" s="6"/>
      <c r="WOV45" s="6"/>
      <c r="WOW45" s="6"/>
      <c r="WOX45" s="6"/>
      <c r="WOY45" s="6"/>
      <c r="WOZ45" s="6"/>
      <c r="WPA45" s="6"/>
      <c r="WPB45" s="6"/>
      <c r="WPC45" s="6"/>
      <c r="WPD45" s="6"/>
      <c r="WPE45" s="6"/>
      <c r="WPF45" s="6"/>
      <c r="WPG45" s="6"/>
      <c r="WPH45" s="6"/>
      <c r="WPI45" s="6"/>
      <c r="WPJ45" s="6"/>
      <c r="WPK45" s="6"/>
      <c r="WPL45" s="6"/>
      <c r="WPM45" s="6"/>
      <c r="WPN45" s="6"/>
      <c r="WPO45" s="6"/>
      <c r="WPP45" s="6"/>
      <c r="WPQ45" s="6"/>
      <c r="WPR45" s="6"/>
      <c r="WPS45" s="6"/>
      <c r="WPT45" s="6"/>
      <c r="WPU45" s="6"/>
      <c r="WPV45" s="6"/>
      <c r="WPW45" s="6"/>
      <c r="WPX45" s="6"/>
      <c r="WPY45" s="6"/>
      <c r="WPZ45" s="6"/>
      <c r="WQA45" s="6"/>
      <c r="WQB45" s="6"/>
      <c r="WQC45" s="6"/>
      <c r="WQD45" s="6"/>
      <c r="WQE45" s="6"/>
      <c r="WQF45" s="6"/>
      <c r="WQG45" s="6"/>
      <c r="WQH45" s="6"/>
      <c r="WQI45" s="6"/>
      <c r="WQJ45" s="6"/>
      <c r="WQK45" s="6"/>
      <c r="WQL45" s="6"/>
      <c r="WQM45" s="6"/>
      <c r="WQN45" s="6"/>
      <c r="WQO45" s="6"/>
      <c r="WQP45" s="6"/>
      <c r="WQQ45" s="6"/>
      <c r="WQR45" s="6"/>
      <c r="WQS45" s="6"/>
      <c r="WQT45" s="6"/>
      <c r="WQU45" s="6"/>
      <c r="WQV45" s="6"/>
      <c r="WQW45" s="6"/>
      <c r="WQX45" s="6"/>
      <c r="WQY45" s="6"/>
      <c r="WQZ45" s="6"/>
      <c r="WRA45" s="6"/>
      <c r="WRB45" s="6"/>
      <c r="WRC45" s="6"/>
      <c r="WRD45" s="6"/>
      <c r="WRE45" s="6"/>
      <c r="WRF45" s="6"/>
      <c r="WRG45" s="6"/>
      <c r="WRH45" s="6"/>
      <c r="WRI45" s="6"/>
      <c r="WRJ45" s="6"/>
      <c r="WRK45" s="6"/>
      <c r="WRL45" s="6"/>
      <c r="WRM45" s="6"/>
      <c r="WRN45" s="6"/>
      <c r="WRO45" s="6"/>
      <c r="WRP45" s="6"/>
      <c r="WRQ45" s="6"/>
      <c r="WRR45" s="6"/>
      <c r="WRS45" s="6"/>
      <c r="WRT45" s="6"/>
      <c r="WRU45" s="6"/>
      <c r="WRV45" s="6"/>
      <c r="WRW45" s="6"/>
      <c r="WRX45" s="6"/>
      <c r="WRY45" s="6"/>
      <c r="WRZ45" s="6"/>
      <c r="WSA45" s="6"/>
      <c r="WSB45" s="6"/>
      <c r="WSC45" s="6"/>
      <c r="WSD45" s="6"/>
      <c r="WSE45" s="6"/>
      <c r="WSF45" s="6"/>
      <c r="WSG45" s="6"/>
      <c r="WSH45" s="6"/>
      <c r="WSI45" s="6"/>
      <c r="WSJ45" s="6"/>
      <c r="WSK45" s="6"/>
      <c r="WSL45" s="6"/>
      <c r="WSM45" s="6"/>
      <c r="WSN45" s="6"/>
      <c r="WSO45" s="6"/>
      <c r="WSP45" s="6"/>
      <c r="WSQ45" s="6"/>
      <c r="WSR45" s="6"/>
      <c r="WSS45" s="6"/>
      <c r="WST45" s="6"/>
      <c r="WSU45" s="6"/>
      <c r="WSV45" s="6"/>
      <c r="WSW45" s="6"/>
      <c r="WSX45" s="6"/>
      <c r="WSY45" s="6"/>
      <c r="WSZ45" s="6"/>
      <c r="WTA45" s="6"/>
      <c r="WTB45" s="6"/>
      <c r="WTC45" s="6"/>
      <c r="WTD45" s="6"/>
      <c r="WTE45" s="6"/>
      <c r="WTF45" s="6"/>
      <c r="WTG45" s="6"/>
      <c r="WTH45" s="6"/>
      <c r="WTI45" s="6"/>
      <c r="WTJ45" s="6"/>
      <c r="WTK45" s="6"/>
      <c r="WTL45" s="6"/>
      <c r="WTM45" s="6"/>
      <c r="WTN45" s="6"/>
      <c r="WTO45" s="6"/>
      <c r="WTP45" s="6"/>
      <c r="WTQ45" s="6"/>
      <c r="WTR45" s="6"/>
      <c r="WTS45" s="6"/>
      <c r="WTT45" s="6"/>
      <c r="WTU45" s="6"/>
      <c r="WTV45" s="6"/>
      <c r="WTW45" s="6"/>
      <c r="WTX45" s="6"/>
      <c r="WTY45" s="6"/>
      <c r="WTZ45" s="6"/>
      <c r="WUA45" s="6"/>
      <c r="WUB45" s="6"/>
      <c r="WUC45" s="6"/>
      <c r="WUD45" s="6"/>
      <c r="WUE45" s="6"/>
      <c r="WUF45" s="6"/>
      <c r="WUG45" s="6"/>
      <c r="WUH45" s="6"/>
      <c r="WUI45" s="6"/>
      <c r="WUJ45" s="6"/>
      <c r="WUK45" s="6"/>
      <c r="WUL45" s="6"/>
      <c r="WUM45" s="6"/>
      <c r="WUN45" s="6"/>
      <c r="WUO45" s="6"/>
      <c r="WUP45" s="6"/>
      <c r="WUQ45" s="6"/>
      <c r="WUR45" s="6"/>
      <c r="WUS45" s="6"/>
      <c r="WUT45" s="6"/>
      <c r="WUU45" s="6"/>
      <c r="WUV45" s="6"/>
      <c r="WUW45" s="6"/>
      <c r="WUX45" s="6"/>
      <c r="WUY45" s="6"/>
      <c r="WUZ45" s="6"/>
      <c r="WVA45" s="6"/>
      <c r="WVB45" s="6"/>
      <c r="WVC45" s="6"/>
      <c r="WVD45" s="6"/>
      <c r="WVE45" s="6"/>
      <c r="WVF45" s="6"/>
      <c r="WVG45" s="6"/>
      <c r="WVH45" s="6"/>
      <c r="WVI45" s="6"/>
      <c r="WVJ45" s="6"/>
      <c r="WVK45" s="6"/>
      <c r="WVL45" s="6"/>
      <c r="WVM45" s="6"/>
      <c r="WVN45" s="6"/>
      <c r="WVO45" s="6"/>
      <c r="WVP45" s="6"/>
      <c r="WVQ45" s="6"/>
      <c r="WVR45" s="6"/>
      <c r="WVS45" s="6"/>
      <c r="WVT45" s="6"/>
      <c r="WVU45" s="6"/>
      <c r="WVV45" s="6"/>
      <c r="WVW45" s="6"/>
      <c r="WVX45" s="6"/>
      <c r="WVY45" s="6"/>
      <c r="WVZ45" s="6"/>
      <c r="WWA45" s="6"/>
      <c r="WWB45" s="6"/>
      <c r="WWC45" s="6"/>
      <c r="WWD45" s="6"/>
      <c r="WWE45" s="6"/>
      <c r="WWF45" s="6"/>
      <c r="WWG45" s="6"/>
      <c r="WWH45" s="6"/>
      <c r="WWI45" s="6"/>
      <c r="WWJ45" s="6"/>
      <c r="WWK45" s="6"/>
      <c r="WWL45" s="6"/>
      <c r="WWM45" s="6"/>
      <c r="WWN45" s="6"/>
      <c r="WWO45" s="6"/>
      <c r="WWP45" s="6"/>
      <c r="WWQ45" s="6"/>
      <c r="WWR45" s="6"/>
      <c r="WWS45" s="6"/>
      <c r="WWT45" s="6"/>
      <c r="WWU45" s="6"/>
      <c r="WWV45" s="6"/>
      <c r="WWW45" s="6"/>
      <c r="WWX45" s="6"/>
      <c r="WWY45" s="6"/>
      <c r="WWZ45" s="6"/>
      <c r="WXA45" s="6"/>
      <c r="WXB45" s="6"/>
      <c r="WXC45" s="6"/>
      <c r="WXD45" s="6"/>
      <c r="WXE45" s="6"/>
      <c r="WXF45" s="6"/>
      <c r="WXG45" s="6"/>
      <c r="WXH45" s="6"/>
      <c r="WXI45" s="6"/>
      <c r="WXJ45" s="6"/>
      <c r="WXK45" s="6"/>
      <c r="WXL45" s="6"/>
      <c r="WXM45" s="6"/>
      <c r="WXN45" s="6"/>
      <c r="WXO45" s="6"/>
      <c r="WXP45" s="6"/>
      <c r="WXQ45" s="6"/>
      <c r="WXR45" s="6"/>
      <c r="WXS45" s="6"/>
      <c r="WXT45" s="6"/>
      <c r="WXU45" s="6"/>
      <c r="WXV45" s="6"/>
      <c r="WXW45" s="6"/>
      <c r="WXX45" s="6"/>
      <c r="WXY45" s="6"/>
      <c r="WXZ45" s="6"/>
      <c r="WYA45" s="6"/>
      <c r="WYB45" s="6"/>
      <c r="WYC45" s="6"/>
      <c r="WYD45" s="6"/>
      <c r="WYE45" s="6"/>
      <c r="WYF45" s="6"/>
      <c r="WYG45" s="6"/>
      <c r="WYH45" s="6"/>
      <c r="WYI45" s="6"/>
      <c r="WYJ45" s="6"/>
      <c r="WYK45" s="6"/>
      <c r="WYL45" s="6"/>
      <c r="WYM45" s="6"/>
      <c r="WYN45" s="6"/>
      <c r="WYO45" s="6"/>
      <c r="WYP45" s="6"/>
      <c r="WYQ45" s="6"/>
      <c r="WYR45" s="6"/>
      <c r="WYS45" s="6"/>
      <c r="WYT45" s="6"/>
      <c r="WYU45" s="6"/>
      <c r="WYV45" s="6"/>
      <c r="WYW45" s="6"/>
      <c r="WYX45" s="6"/>
      <c r="WYY45" s="6"/>
      <c r="WYZ45" s="6"/>
      <c r="WZA45" s="6"/>
      <c r="WZB45" s="6"/>
      <c r="WZC45" s="6"/>
      <c r="WZD45" s="6"/>
      <c r="WZE45" s="6"/>
      <c r="WZF45" s="6"/>
      <c r="WZG45" s="6"/>
      <c r="WZH45" s="6"/>
      <c r="WZI45" s="6"/>
      <c r="WZJ45" s="6"/>
      <c r="WZK45" s="6"/>
      <c r="WZL45" s="6"/>
      <c r="WZM45" s="6"/>
      <c r="WZN45" s="6"/>
      <c r="WZO45" s="6"/>
      <c r="WZP45" s="6"/>
      <c r="WZQ45" s="6"/>
      <c r="WZR45" s="6"/>
      <c r="WZS45" s="6"/>
      <c r="WZT45" s="6"/>
      <c r="WZU45" s="6"/>
      <c r="WZV45" s="6"/>
      <c r="WZW45" s="6"/>
      <c r="WZX45" s="6"/>
      <c r="WZY45" s="6"/>
      <c r="WZZ45" s="6"/>
      <c r="XAA45" s="6"/>
      <c r="XAB45" s="6"/>
      <c r="XAC45" s="6"/>
      <c r="XAD45" s="6"/>
      <c r="XAE45" s="6"/>
      <c r="XAF45" s="6"/>
      <c r="XAG45" s="6"/>
      <c r="XAH45" s="6"/>
      <c r="XAI45" s="6"/>
      <c r="XAJ45" s="6"/>
      <c r="XAK45" s="6"/>
      <c r="XAL45" s="6"/>
      <c r="XAM45" s="6"/>
      <c r="XAN45" s="6"/>
      <c r="XAO45" s="6"/>
      <c r="XAP45" s="6"/>
      <c r="XAQ45" s="6"/>
      <c r="XAR45" s="6"/>
      <c r="XAS45" s="6"/>
      <c r="XAT45" s="6"/>
      <c r="XAU45" s="6"/>
      <c r="XAV45" s="6"/>
      <c r="XAW45" s="6"/>
      <c r="XAX45" s="6"/>
      <c r="XAY45" s="6"/>
      <c r="XAZ45" s="6"/>
      <c r="XBA45" s="6"/>
      <c r="XBB45" s="6"/>
      <c r="XBC45" s="6"/>
      <c r="XBD45" s="6"/>
      <c r="XBE45" s="6"/>
      <c r="XBF45" s="6"/>
      <c r="XBG45" s="6"/>
      <c r="XBH45" s="6"/>
      <c r="XBI45" s="6"/>
      <c r="XBJ45" s="6"/>
      <c r="XBK45" s="6"/>
      <c r="XBL45" s="6"/>
      <c r="XBM45" s="6"/>
      <c r="XBN45" s="6"/>
      <c r="XBO45" s="6"/>
      <c r="XBP45" s="6"/>
      <c r="XBQ45" s="6"/>
      <c r="XBR45" s="6"/>
      <c r="XBS45" s="6"/>
      <c r="XBT45" s="6"/>
      <c r="XBU45" s="6"/>
      <c r="XBV45" s="6"/>
      <c r="XBW45" s="6"/>
      <c r="XBX45" s="6"/>
      <c r="XBY45" s="6"/>
      <c r="XBZ45" s="6"/>
      <c r="XCA45" s="6"/>
      <c r="XCB45" s="6"/>
      <c r="XCC45" s="6"/>
      <c r="XCD45" s="6"/>
      <c r="XCE45" s="6"/>
      <c r="XCF45" s="6"/>
      <c r="XCG45" s="6"/>
      <c r="XCH45" s="6"/>
      <c r="XCI45" s="6"/>
      <c r="XCJ45" s="6"/>
      <c r="XCK45" s="6"/>
      <c r="XCL45" s="6"/>
      <c r="XCM45" s="6"/>
      <c r="XCN45" s="6"/>
      <c r="XCO45" s="6"/>
      <c r="XCP45" s="6"/>
      <c r="XCQ45" s="6"/>
      <c r="XCR45" s="6"/>
      <c r="XCS45" s="6"/>
      <c r="XCT45" s="6"/>
      <c r="XCU45" s="6"/>
      <c r="XCV45" s="6"/>
      <c r="XCW45" s="6"/>
      <c r="XCX45" s="6"/>
      <c r="XCY45" s="6"/>
      <c r="XCZ45" s="6"/>
      <c r="XDA45" s="6"/>
      <c r="XDB45" s="6"/>
      <c r="XDC45" s="6"/>
      <c r="XDD45" s="6"/>
      <c r="XDE45" s="6"/>
      <c r="XDF45" s="6"/>
      <c r="XDG45" s="6"/>
      <c r="XDH45" s="6"/>
      <c r="XDI45" s="6"/>
      <c r="XDJ45" s="6"/>
      <c r="XDK45" s="6"/>
      <c r="XDL45" s="6"/>
      <c r="XDM45" s="6"/>
      <c r="XDN45" s="6"/>
      <c r="XDO45" s="6"/>
      <c r="XDP45" s="6"/>
      <c r="XDQ45" s="6"/>
      <c r="XDR45" s="6"/>
      <c r="XDS45" s="6"/>
      <c r="XDT45" s="6"/>
      <c r="XDU45" s="6"/>
      <c r="XDV45" s="6"/>
      <c r="XDW45" s="6"/>
      <c r="XDX45" s="6"/>
      <c r="XDY45" s="6"/>
      <c r="XDZ45" s="6"/>
      <c r="XEA45" s="6"/>
      <c r="XEB45" s="6"/>
      <c r="XEC45" s="6"/>
      <c r="XED45" s="6"/>
      <c r="XEE45" s="6"/>
      <c r="XEF45" s="6"/>
      <c r="XEG45" s="6"/>
      <c r="XEH45" s="6"/>
      <c r="XEI45" s="6"/>
      <c r="XEJ45" s="6"/>
      <c r="XEK45" s="6"/>
      <c r="XEL45" s="6"/>
      <c r="XEM45" s="6"/>
      <c r="XEN45" s="6"/>
      <c r="XEO45" s="6"/>
      <c r="XEP45" s="6"/>
      <c r="XEQ45" s="6"/>
      <c r="XER45" s="6"/>
      <c r="XES45" s="6"/>
      <c r="XET45" s="6"/>
      <c r="XEU45" s="6"/>
      <c r="XEV45" s="6"/>
      <c r="XEW45" s="6"/>
      <c r="XEX45" s="6"/>
      <c r="XEY45" s="6"/>
      <c r="XEZ45" s="6"/>
      <c r="XFA45" s="6"/>
      <c r="XFB45" s="6"/>
      <c r="XFC45" s="6"/>
    </row>
    <row r="46" customHeight="1" spans="1:1024 1025:16383">
      <c r="I46" s="88" t="s">
        <v>112</v>
      </c>
      <c r="Q46" s="88" t="s">
        <v>113</v>
      </c>
    </row>
    <row r="47" s="2" customFormat="1" customHeight="1" spans="1:1024 1025:16383">
      <c r="A47" s="9"/>
      <c r="B47" s="7"/>
      <c r="C47" s="7"/>
      <c r="D47" s="7"/>
      <c r="E47" s="7"/>
      <c r="F47" s="7"/>
      <c r="G47" s="7"/>
      <c r="H47" s="7"/>
    </row>
    <row r="48" s="2" customFormat="1" customHeight="1" spans="1:1024 1025:16383">
      <c r="A48" s="9"/>
      <c r="B48" s="7"/>
      <c r="C48" s="7"/>
      <c r="D48" s="7"/>
      <c r="E48" s="7"/>
      <c r="F48" s="7"/>
      <c r="G48" s="7"/>
      <c r="H48" s="7"/>
    </row>
    <row r="49" s="2" customFormat="1" customHeight="1" spans="1:20">
      <c r="A49" s="9"/>
      <c r="B49" s="7"/>
      <c r="C49" s="7"/>
      <c r="D49" s="7"/>
      <c r="E49" s="7"/>
      <c r="F49" s="7"/>
      <c r="G49" s="7"/>
      <c r="H49" s="7"/>
    </row>
    <row r="50" s="2" customFormat="1" customHeight="1" spans="1:20">
      <c r="A50" s="9"/>
      <c r="B50" s="7"/>
      <c r="C50" s="7"/>
      <c r="D50" s="7"/>
      <c r="E50" s="7"/>
      <c r="F50" s="7"/>
      <c r="G50" s="7"/>
      <c r="H50" s="7"/>
    </row>
    <row r="51" s="2" customFormat="1" customHeight="1" spans="1:20">
      <c r="A51" s="9"/>
      <c r="B51" s="7"/>
      <c r="C51" s="7"/>
      <c r="D51" s="7"/>
      <c r="E51" s="7"/>
      <c r="F51" s="7"/>
      <c r="G51" s="7"/>
      <c r="H51" s="7"/>
      <c r="R51" s="25" t="s">
        <v>75</v>
      </c>
      <c r="S51" s="25" t="s">
        <v>95</v>
      </c>
      <c r="T51" s="25" t="s">
        <v>96</v>
      </c>
    </row>
    <row r="52" s="2" customFormat="1" customHeight="1" spans="1:20">
      <c r="A52" s="9"/>
      <c r="B52" s="7"/>
      <c r="C52" s="7"/>
      <c r="D52" s="7"/>
      <c r="E52" s="7"/>
      <c r="F52" s="7"/>
      <c r="G52" s="7"/>
      <c r="H52" s="7"/>
      <c r="R52" s="60">
        <v>46266</v>
      </c>
      <c r="S52" s="29">
        <v>-0.000980053907880834</v>
      </c>
      <c r="T52" s="29">
        <v>0.0490604053180772</v>
      </c>
    </row>
    <row r="53" s="2" customFormat="1" customHeight="1" spans="1:20">
      <c r="A53" s="9"/>
      <c r="B53" s="7"/>
      <c r="C53" s="7"/>
      <c r="D53" s="7"/>
      <c r="E53" s="7"/>
      <c r="F53" s="7"/>
      <c r="G53" s="7"/>
      <c r="H53" s="7"/>
      <c r="R53" s="60">
        <v>46296</v>
      </c>
      <c r="S53" s="29">
        <v>-0.00201043664454174</v>
      </c>
      <c r="T53" s="29">
        <v>0.0140456625712873</v>
      </c>
    </row>
    <row r="54" s="2" customFormat="1" customHeight="1" spans="1:20">
      <c r="A54" s="9"/>
      <c r="B54" s="7"/>
      <c r="C54" s="7"/>
      <c r="D54" s="7"/>
      <c r="E54" s="7"/>
      <c r="F54" s="7"/>
      <c r="G54" s="7"/>
      <c r="H54" s="7"/>
      <c r="R54" s="60">
        <v>46327</v>
      </c>
      <c r="S54" s="29">
        <v>0.00378692979922516</v>
      </c>
      <c r="T54" s="29">
        <v>0.0108013498852591</v>
      </c>
    </row>
    <row r="55" s="2" customFormat="1" customHeight="1" spans="1:20">
      <c r="A55" s="9"/>
      <c r="B55" s="7"/>
      <c r="C55" s="7"/>
      <c r="D55" s="7"/>
      <c r="E55" s="7"/>
      <c r="F55" s="7"/>
      <c r="G55" s="7"/>
      <c r="H55" s="7"/>
      <c r="R55" s="60">
        <v>46358</v>
      </c>
      <c r="S55" s="29">
        <v>-0.0158835290405578</v>
      </c>
      <c r="T55" s="29">
        <v>0.0207142330949883</v>
      </c>
    </row>
    <row r="56" s="2" customFormat="1" customHeight="1" spans="1:20">
      <c r="A56" s="9"/>
      <c r="B56" s="7"/>
      <c r="C56" s="7"/>
      <c r="D56" s="7"/>
      <c r="E56" s="7"/>
      <c r="F56" s="7"/>
      <c r="G56" s="7"/>
      <c r="H56" s="7"/>
      <c r="R56" s="60">
        <v>46388</v>
      </c>
      <c r="S56" s="29">
        <v>0.00818615495480097</v>
      </c>
      <c r="T56" s="29">
        <v>0.0200173682373274</v>
      </c>
    </row>
    <row r="57" s="2" customFormat="1" customHeight="1" spans="1:20">
      <c r="A57" s="9"/>
      <c r="B57" s="7"/>
      <c r="C57" s="7"/>
      <c r="D57" s="7"/>
      <c r="E57" s="7"/>
      <c r="F57" s="7"/>
      <c r="G57" s="7"/>
      <c r="H57" s="7"/>
      <c r="R57" s="60">
        <v>46419</v>
      </c>
      <c r="S57" s="29">
        <v>0.00324568234244013</v>
      </c>
      <c r="T57" s="29">
        <v>0.00762335036055713</v>
      </c>
    </row>
    <row r="58" s="2" customFormat="1" customHeight="1" spans="1:20">
      <c r="A58" s="9"/>
      <c r="B58" s="7"/>
      <c r="C58" s="7"/>
      <c r="D58" s="7"/>
      <c r="E58" s="7"/>
      <c r="F58" s="7"/>
      <c r="G58" s="7"/>
      <c r="H58" s="7"/>
    </row>
    <row r="59" s="2" customFormat="1" customHeight="1" spans="1:20">
      <c r="A59" s="9"/>
      <c r="B59" s="7"/>
      <c r="C59" s="7"/>
      <c r="D59" s="7"/>
      <c r="E59" s="7"/>
      <c r="F59" s="7"/>
      <c r="G59" s="7"/>
      <c r="H59" s="7"/>
    </row>
    <row r="60" s="2" customFormat="1" customHeight="1" spans="1:20">
      <c r="A60" s="9"/>
      <c r="B60" s="7"/>
      <c r="C60" s="7"/>
      <c r="D60" s="7"/>
      <c r="E60" s="7"/>
      <c r="F60" s="7"/>
      <c r="G60" s="7"/>
      <c r="H60" s="7"/>
    </row>
    <row r="61" s="2" customFormat="1" customHeight="1" spans="1:20">
      <c r="A61" s="9"/>
      <c r="B61" s="7"/>
      <c r="C61" s="7"/>
      <c r="D61" s="7"/>
      <c r="E61" s="7"/>
      <c r="F61" s="7"/>
      <c r="G61" s="7"/>
      <c r="H61" s="7"/>
    </row>
    <row r="62" s="2" customFormat="1" customHeight="1" spans="1:20">
      <c r="A62" s="9"/>
      <c r="B62" s="7"/>
      <c r="C62" s="7"/>
      <c r="D62" s="7"/>
      <c r="E62" s="7"/>
      <c r="F62" s="7"/>
      <c r="G62" s="7"/>
      <c r="H62" s="7"/>
    </row>
    <row r="63" s="2" customFormat="1" customHeight="1" spans="1:20">
      <c r="A63" s="9"/>
      <c r="B63" s="7"/>
      <c r="C63" s="7"/>
      <c r="D63" s="7"/>
      <c r="E63" s="7"/>
      <c r="F63" s="7"/>
      <c r="G63" s="7"/>
      <c r="H63" s="7"/>
    </row>
  </sheetData>
  <mergeCells count="1">
    <mergeCell ref="B47:H63"/>
  </mergeCell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生猪数据库·目录</vt:lpstr>
      <vt:lpstr>出栏价</vt:lpstr>
      <vt:lpstr>体重</vt:lpstr>
      <vt:lpstr>90kg与150kg大猪出栏占比</vt:lpstr>
      <vt:lpstr>养殖利润</vt:lpstr>
      <vt:lpstr>养殖成本预期、当期</vt:lpstr>
      <vt:lpstr>标肥价差</vt:lpstr>
      <vt:lpstr>150公斤标肥价差</vt:lpstr>
      <vt:lpstr>二元母猪</vt:lpstr>
      <vt:lpstr>15公斤仔猪</vt:lpstr>
      <vt:lpstr>断奶仔猪</vt:lpstr>
      <vt:lpstr>毛白价差</vt:lpstr>
      <vt:lpstr>猪肉价</vt:lpstr>
      <vt:lpstr>猪肉价季节性</vt:lpstr>
      <vt:lpstr>猪肉月均价</vt:lpstr>
      <vt:lpstr>冻品库存多样本</vt:lpstr>
      <vt:lpstr>冻品库存率季节性</vt:lpstr>
      <vt:lpstr>周度口径屠宰量（2022.10.28）</vt:lpstr>
      <vt:lpstr>日度屠宰量</vt:lpstr>
      <vt:lpstr>二号鲜冻价</vt:lpstr>
      <vt:lpstr>淘汰母猪宰杀量</vt:lpstr>
      <vt:lpstr>开工率</vt:lpstr>
      <vt:lpstr>生产指标</vt:lpstr>
      <vt:lpstr>能繁母猪</vt:lpstr>
      <vt:lpstr>小猪</vt:lpstr>
      <vt:lpstr>大猪</vt:lpstr>
      <vt:lpstr>商品猪</vt:lpstr>
      <vt:lpstr>月度供应测算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孙甜°C</cp:lastModifiedBy>
  <dcterms:created xsi:type="dcterms:W3CDTF">2022-05-20T02:15:00Z</dcterms:created>
  <dcterms:modified xsi:type="dcterms:W3CDTF">2026-09-24T07:21:52Z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E9D596402E8D48F5B877035FF9E6D7AA_13</vt:lpwstr>
  </property>
  <property fmtid="{D5CDD505-2E9C-101B-9397-08002B2CF9AE}" pid="4" name="CalculationRule">
    <vt:i4>0</vt:i4>
  </property>
</Properties>
</file>